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65" yWindow="15" windowWidth="9720" windowHeight="5520" firstSheet="1" activeTab="2"/>
  </bookViews>
  <sheets>
    <sheet name="Upper Limit" sheetId="2" state="hidden" r:id="rId1"/>
    <sheet name="Help" sheetId="5" r:id="rId2"/>
    <sheet name="SampleCalc" sheetId="1" r:id="rId3"/>
    <sheet name="SamplePrint" sheetId="3" r:id="rId4"/>
  </sheets>
  <definedNames>
    <definedName name="_atr0">'Upper Limit'!$E$51:$Z$300</definedName>
    <definedName name="_atr1">'Upper Limit'!$F$51:$Z$300</definedName>
    <definedName name="_atr10">'Upper Limit'!$O$51:$Z$300</definedName>
    <definedName name="_atr11">'Upper Limit'!$P$51:$Z$300</definedName>
    <definedName name="_atr12">'Upper Limit'!$Q$51:$Z$300</definedName>
    <definedName name="_atr13">'Upper Limit'!$R$51:$Z$300</definedName>
    <definedName name="_atr14">'Upper Limit'!$S$51:$Z$300</definedName>
    <definedName name="_atr15">'Upper Limit'!$T$51:$Z$300</definedName>
    <definedName name="_atr16">'Upper Limit'!$U$51:$Z$300</definedName>
    <definedName name="_atr17">'Upper Limit'!$V$51:$Z$300</definedName>
    <definedName name="_atr18">'Upper Limit'!$W$51:$Z$300</definedName>
    <definedName name="_atr19">'Upper Limit'!$X$51:$Z$300</definedName>
    <definedName name="_atr2">'Upper Limit'!$G$51:$Z$300</definedName>
    <definedName name="_atr20">'Upper Limit'!$Y$51:$Z$300</definedName>
    <definedName name="_atr3">'Upper Limit'!$H$51:$Z$300</definedName>
    <definedName name="_atr4">'Upper Limit'!$I$51:$Z$300</definedName>
    <definedName name="_atr5">'Upper Limit'!$J$51:$Z$300</definedName>
    <definedName name="_atr6">'Upper Limit'!$K$51:$Z$300</definedName>
    <definedName name="_atr7">'Upper Limit'!$L$51:$Z$300</definedName>
    <definedName name="_atr8">'Upper Limit'!$M$51:$Z$300</definedName>
    <definedName name="_atr9">'Upper Limit'!$N$51:$Z$300</definedName>
    <definedName name="_xlnm.Print_Area" localSheetId="2">SampleCalc!$A$5:$C$42</definedName>
  </definedNames>
  <calcPr calcId="125725" calcMode="manual" iterate="1" iterateCount="299" iterateDelta="1"/>
</workbook>
</file>

<file path=xl/calcChain.xml><?xml version="1.0" encoding="utf-8"?>
<calcChain xmlns="http://schemas.openxmlformats.org/spreadsheetml/2006/main">
  <c r="B14" i="1"/>
  <c r="B15"/>
  <c r="C15"/>
  <c r="C16"/>
  <c r="B17"/>
  <c r="B21"/>
  <c r="C21"/>
  <c r="A22"/>
  <c r="B22"/>
  <c r="C22"/>
  <c r="A23"/>
  <c r="B23"/>
  <c r="C23"/>
  <c r="A24"/>
  <c r="B24"/>
  <c r="C24"/>
  <c r="A25"/>
  <c r="B25"/>
  <c r="C25"/>
  <c r="A26"/>
  <c r="B26"/>
  <c r="C26"/>
  <c r="A27"/>
  <c r="B27"/>
  <c r="C27"/>
  <c r="A28"/>
  <c r="B28"/>
  <c r="C28"/>
  <c r="A29"/>
  <c r="B29"/>
  <c r="C29"/>
  <c r="A30"/>
  <c r="B30"/>
  <c r="C30"/>
  <c r="A31"/>
  <c r="B31"/>
  <c r="C31"/>
  <c r="A32"/>
  <c r="B32"/>
  <c r="C32"/>
  <c r="A33"/>
  <c r="B33"/>
  <c r="C33"/>
  <c r="A34"/>
  <c r="B34"/>
  <c r="C34"/>
  <c r="A35"/>
  <c r="B35"/>
  <c r="C35"/>
  <c r="A36"/>
  <c r="B36"/>
  <c r="C36"/>
  <c r="A37"/>
  <c r="B37"/>
  <c r="C37"/>
  <c r="A38"/>
  <c r="B38"/>
  <c r="C38"/>
  <c r="A39"/>
  <c r="B39"/>
  <c r="C39"/>
  <c r="A40"/>
  <c r="B40"/>
  <c r="C40"/>
  <c r="A41"/>
  <c r="B41"/>
  <c r="C41"/>
  <c r="E51" i="2"/>
  <c r="F51"/>
  <c r="G51"/>
  <c r="H51"/>
  <c r="I51"/>
  <c r="J51"/>
  <c r="K51"/>
  <c r="L51"/>
  <c r="M51"/>
  <c r="N51"/>
  <c r="O51"/>
  <c r="P51"/>
  <c r="Q51"/>
  <c r="R51"/>
  <c r="S51"/>
  <c r="T51"/>
  <c r="U51"/>
  <c r="V51"/>
  <c r="W51"/>
  <c r="X51"/>
  <c r="Y51"/>
  <c r="E52"/>
  <c r="F52"/>
  <c r="G52"/>
  <c r="H52"/>
  <c r="I52"/>
  <c r="J52"/>
  <c r="K52"/>
  <c r="L52"/>
  <c r="M52"/>
  <c r="N52"/>
  <c r="O52"/>
  <c r="P52"/>
  <c r="Q52"/>
  <c r="R52"/>
  <c r="S52"/>
  <c r="T52"/>
  <c r="U52"/>
  <c r="V52"/>
  <c r="W52"/>
  <c r="X52"/>
  <c r="Y52"/>
  <c r="E53"/>
  <c r="F53"/>
  <c r="G53"/>
  <c r="H53"/>
  <c r="I53"/>
  <c r="J53"/>
  <c r="K53"/>
  <c r="L53"/>
  <c r="M53"/>
  <c r="N53"/>
  <c r="O53"/>
  <c r="P53"/>
  <c r="Q53"/>
  <c r="R53"/>
  <c r="S53"/>
  <c r="T53"/>
  <c r="U53"/>
  <c r="V53"/>
  <c r="W53"/>
  <c r="X53"/>
  <c r="Y53"/>
  <c r="E54"/>
  <c r="F54"/>
  <c r="G54"/>
  <c r="H54"/>
  <c r="I54"/>
  <c r="J54"/>
  <c r="K54"/>
  <c r="L54"/>
  <c r="M54"/>
  <c r="N54"/>
  <c r="O54"/>
  <c r="P54"/>
  <c r="Q54"/>
  <c r="R54"/>
  <c r="S54"/>
  <c r="T54"/>
  <c r="U54"/>
  <c r="V54"/>
  <c r="W54"/>
  <c r="X54"/>
  <c r="Y54"/>
  <c r="E55"/>
  <c r="F55"/>
  <c r="G55"/>
  <c r="H55"/>
  <c r="I55"/>
  <c r="J55"/>
  <c r="K55"/>
  <c r="L55"/>
  <c r="M55"/>
  <c r="N55"/>
  <c r="O55"/>
  <c r="P55"/>
  <c r="Q55"/>
  <c r="R55"/>
  <c r="S55"/>
  <c r="T55"/>
  <c r="U55"/>
  <c r="V55"/>
  <c r="W55"/>
  <c r="X55"/>
  <c r="Y55"/>
  <c r="E56"/>
  <c r="F56"/>
  <c r="G56"/>
  <c r="H56"/>
  <c r="I56"/>
  <c r="J56"/>
  <c r="K56"/>
  <c r="L56"/>
  <c r="M56"/>
  <c r="N56"/>
  <c r="O56"/>
  <c r="P56"/>
  <c r="Q56"/>
  <c r="R56"/>
  <c r="S56"/>
  <c r="T56"/>
  <c r="U56"/>
  <c r="V56"/>
  <c r="W56"/>
  <c r="X56"/>
  <c r="Y56"/>
  <c r="E57"/>
  <c r="F57"/>
  <c r="G57"/>
  <c r="H57"/>
  <c r="I57"/>
  <c r="J57"/>
  <c r="K57"/>
  <c r="L57"/>
  <c r="M57"/>
  <c r="N57"/>
  <c r="O57"/>
  <c r="P57"/>
  <c r="Q57"/>
  <c r="R57"/>
  <c r="S57"/>
  <c r="T57"/>
  <c r="U57"/>
  <c r="V57"/>
  <c r="W57"/>
  <c r="X57"/>
  <c r="Y57"/>
  <c r="E58"/>
  <c r="F58"/>
  <c r="G58"/>
  <c r="H58"/>
  <c r="I58"/>
  <c r="J58"/>
  <c r="K58"/>
  <c r="L58"/>
  <c r="M58"/>
  <c r="N58"/>
  <c r="O58"/>
  <c r="P58"/>
  <c r="Q58"/>
  <c r="R58"/>
  <c r="S58"/>
  <c r="T58"/>
  <c r="U58"/>
  <c r="V58"/>
  <c r="W58"/>
  <c r="X58"/>
  <c r="Y58"/>
  <c r="E59"/>
  <c r="F59"/>
  <c r="G59"/>
  <c r="H59"/>
  <c r="I59"/>
  <c r="J59"/>
  <c r="K59"/>
  <c r="L59"/>
  <c r="M59"/>
  <c r="N59"/>
  <c r="O59"/>
  <c r="P59"/>
  <c r="Q59"/>
  <c r="R59"/>
  <c r="S59"/>
  <c r="T59"/>
  <c r="U59"/>
  <c r="V59"/>
  <c r="W59"/>
  <c r="X59"/>
  <c r="Y59"/>
  <c r="E60"/>
  <c r="F60"/>
  <c r="G60"/>
  <c r="H60"/>
  <c r="I60"/>
  <c r="J60"/>
  <c r="K60"/>
  <c r="L60"/>
  <c r="M60"/>
  <c r="N60"/>
  <c r="O60"/>
  <c r="P60"/>
  <c r="Q60"/>
  <c r="R60"/>
  <c r="S60"/>
  <c r="T60"/>
  <c r="U60"/>
  <c r="V60"/>
  <c r="W60"/>
  <c r="X60"/>
  <c r="Y60"/>
  <c r="E61"/>
  <c r="F61"/>
  <c r="G61"/>
  <c r="H61"/>
  <c r="I61"/>
  <c r="J61"/>
  <c r="K61"/>
  <c r="L61"/>
  <c r="M61"/>
  <c r="N61"/>
  <c r="O61"/>
  <c r="P61"/>
  <c r="Q61"/>
  <c r="R61"/>
  <c r="S61"/>
  <c r="T61"/>
  <c r="U61"/>
  <c r="V61"/>
  <c r="W61"/>
  <c r="X61"/>
  <c r="Y61"/>
  <c r="E62"/>
  <c r="F62"/>
  <c r="G62"/>
  <c r="H62"/>
  <c r="I62"/>
  <c r="J62"/>
  <c r="K62"/>
  <c r="L62"/>
  <c r="M62"/>
  <c r="N62"/>
  <c r="O62"/>
  <c r="P62"/>
  <c r="Q62"/>
  <c r="R62"/>
  <c r="S62"/>
  <c r="T62"/>
  <c r="U62"/>
  <c r="V62"/>
  <c r="W62"/>
  <c r="X62"/>
  <c r="Y62"/>
  <c r="E63"/>
  <c r="F63"/>
  <c r="G63"/>
  <c r="H63"/>
  <c r="I63"/>
  <c r="J63"/>
  <c r="K63"/>
  <c r="L63"/>
  <c r="M63"/>
  <c r="N63"/>
  <c r="O63"/>
  <c r="P63"/>
  <c r="Q63"/>
  <c r="R63"/>
  <c r="S63"/>
  <c r="T63"/>
  <c r="U63"/>
  <c r="V63"/>
  <c r="W63"/>
  <c r="X63"/>
  <c r="Y63"/>
  <c r="E64"/>
  <c r="F64"/>
  <c r="G64"/>
  <c r="H64"/>
  <c r="I64"/>
  <c r="J64"/>
  <c r="K64"/>
  <c r="L64"/>
  <c r="M64"/>
  <c r="N64"/>
  <c r="O64"/>
  <c r="P64"/>
  <c r="Q64"/>
  <c r="R64"/>
  <c r="S64"/>
  <c r="T64"/>
  <c r="U64"/>
  <c r="V64"/>
  <c r="W64"/>
  <c r="X64"/>
  <c r="Y64"/>
  <c r="E65"/>
  <c r="F65"/>
  <c r="G65"/>
  <c r="H65"/>
  <c r="I65"/>
  <c r="J65"/>
  <c r="K65"/>
  <c r="L65"/>
  <c r="M65"/>
  <c r="N65"/>
  <c r="O65"/>
  <c r="P65"/>
  <c r="Q65"/>
  <c r="R65"/>
  <c r="S65"/>
  <c r="T65"/>
  <c r="U65"/>
  <c r="V65"/>
  <c r="W65"/>
  <c r="X65"/>
  <c r="Y65"/>
  <c r="E66"/>
  <c r="F66"/>
  <c r="G66"/>
  <c r="H66"/>
  <c r="I66"/>
  <c r="J66"/>
  <c r="K66"/>
  <c r="L66"/>
  <c r="M66"/>
  <c r="N66"/>
  <c r="O66"/>
  <c r="P66"/>
  <c r="Q66"/>
  <c r="R66"/>
  <c r="S66"/>
  <c r="T66"/>
  <c r="U66"/>
  <c r="V66"/>
  <c r="W66"/>
  <c r="X66"/>
  <c r="Y66"/>
  <c r="E67"/>
  <c r="F67"/>
  <c r="G67"/>
  <c r="H67"/>
  <c r="I67"/>
  <c r="J67"/>
  <c r="K67"/>
  <c r="L67"/>
  <c r="M67"/>
  <c r="N67"/>
  <c r="O67"/>
  <c r="P67"/>
  <c r="Q67"/>
  <c r="R67"/>
  <c r="S67"/>
  <c r="T67"/>
  <c r="U67"/>
  <c r="V67"/>
  <c r="W67"/>
  <c r="X67"/>
  <c r="Y67"/>
  <c r="E68"/>
  <c r="F68"/>
  <c r="G68"/>
  <c r="H68"/>
  <c r="I68"/>
  <c r="J68"/>
  <c r="K68"/>
  <c r="L68"/>
  <c r="M68"/>
  <c r="N68"/>
  <c r="O68"/>
  <c r="P68"/>
  <c r="Q68"/>
  <c r="R68"/>
  <c r="S68"/>
  <c r="T68"/>
  <c r="U68"/>
  <c r="V68"/>
  <c r="W68"/>
  <c r="X68"/>
  <c r="Y68"/>
  <c r="E69"/>
  <c r="F69"/>
  <c r="G69"/>
  <c r="H69"/>
  <c r="I69"/>
  <c r="J69"/>
  <c r="K69"/>
  <c r="L69"/>
  <c r="M69"/>
  <c r="N69"/>
  <c r="O69"/>
  <c r="P69"/>
  <c r="Q69"/>
  <c r="R69"/>
  <c r="S69"/>
  <c r="T69"/>
  <c r="U69"/>
  <c r="V69"/>
  <c r="W69"/>
  <c r="X69"/>
  <c r="Y69"/>
  <c r="E70"/>
  <c r="F70"/>
  <c r="G70"/>
  <c r="H70"/>
  <c r="I70"/>
  <c r="J70"/>
  <c r="K70"/>
  <c r="L70"/>
  <c r="M70"/>
  <c r="N70"/>
  <c r="O70"/>
  <c r="P70"/>
  <c r="Q70"/>
  <c r="R70"/>
  <c r="S70"/>
  <c r="T70"/>
  <c r="U70"/>
  <c r="V70"/>
  <c r="W70"/>
  <c r="X70"/>
  <c r="Y70"/>
  <c r="E71"/>
  <c r="F71"/>
  <c r="G71"/>
  <c r="H71"/>
  <c r="I71"/>
  <c r="J71"/>
  <c r="K71"/>
  <c r="L71"/>
  <c r="M71"/>
  <c r="N71"/>
  <c r="O71"/>
  <c r="P71"/>
  <c r="Q71"/>
  <c r="R71"/>
  <c r="S71"/>
  <c r="T71"/>
  <c r="U71"/>
  <c r="V71"/>
  <c r="W71"/>
  <c r="X71"/>
  <c r="Y71"/>
  <c r="E72"/>
  <c r="F72"/>
  <c r="G72"/>
  <c r="H72"/>
  <c r="I72"/>
  <c r="J72"/>
  <c r="K72"/>
  <c r="L72"/>
  <c r="M72"/>
  <c r="N72"/>
  <c r="O72"/>
  <c r="P72"/>
  <c r="Q72"/>
  <c r="R72"/>
  <c r="S72"/>
  <c r="T72"/>
  <c r="U72"/>
  <c r="V72"/>
  <c r="W72"/>
  <c r="X72"/>
  <c r="Y72"/>
  <c r="E73"/>
  <c r="F73"/>
  <c r="G73"/>
  <c r="H73"/>
  <c r="I73"/>
  <c r="J73"/>
  <c r="K73"/>
  <c r="L73"/>
  <c r="M73"/>
  <c r="N73"/>
  <c r="O73"/>
  <c r="P73"/>
  <c r="Q73"/>
  <c r="R73"/>
  <c r="S73"/>
  <c r="T73"/>
  <c r="U73"/>
  <c r="V73"/>
  <c r="W73"/>
  <c r="X73"/>
  <c r="Y73"/>
  <c r="E74"/>
  <c r="F74"/>
  <c r="G74"/>
  <c r="H74"/>
  <c r="I74"/>
  <c r="J74"/>
  <c r="K74"/>
  <c r="L74"/>
  <c r="M74"/>
  <c r="N74"/>
  <c r="O74"/>
  <c r="P74"/>
  <c r="Q74"/>
  <c r="R74"/>
  <c r="S74"/>
  <c r="T74"/>
  <c r="U74"/>
  <c r="V74"/>
  <c r="W74"/>
  <c r="X74"/>
  <c r="Y74"/>
  <c r="E75"/>
  <c r="F75"/>
  <c r="G75"/>
  <c r="H75"/>
  <c r="I75"/>
  <c r="J75"/>
  <c r="K75"/>
  <c r="L75"/>
  <c r="M75"/>
  <c r="N75"/>
  <c r="O75"/>
  <c r="P75"/>
  <c r="Q75"/>
  <c r="R75"/>
  <c r="S75"/>
  <c r="T75"/>
  <c r="U75"/>
  <c r="V75"/>
  <c r="W75"/>
  <c r="X75"/>
  <c r="Y75"/>
  <c r="E76"/>
  <c r="F76"/>
  <c r="G76"/>
  <c r="H76"/>
  <c r="I76"/>
  <c r="J76"/>
  <c r="K76"/>
  <c r="L76"/>
  <c r="M76"/>
  <c r="N76"/>
  <c r="O76"/>
  <c r="P76"/>
  <c r="Q76"/>
  <c r="R76"/>
  <c r="S76"/>
  <c r="T76"/>
  <c r="U76"/>
  <c r="V76"/>
  <c r="W76"/>
  <c r="X76"/>
  <c r="Y76"/>
  <c r="E77"/>
  <c r="F77"/>
  <c r="G77"/>
  <c r="H77"/>
  <c r="I77"/>
  <c r="J77"/>
  <c r="K77"/>
  <c r="L77"/>
  <c r="M77"/>
  <c r="N77"/>
  <c r="O77"/>
  <c r="P77"/>
  <c r="Q77"/>
  <c r="R77"/>
  <c r="S77"/>
  <c r="T77"/>
  <c r="U77"/>
  <c r="V77"/>
  <c r="W77"/>
  <c r="X77"/>
  <c r="Y77"/>
  <c r="E78"/>
  <c r="F78"/>
  <c r="G78"/>
  <c r="H78"/>
  <c r="I78"/>
  <c r="J78"/>
  <c r="K78"/>
  <c r="L78"/>
  <c r="M78"/>
  <c r="N78"/>
  <c r="O78"/>
  <c r="P78"/>
  <c r="Q78"/>
  <c r="R78"/>
  <c r="S78"/>
  <c r="T78"/>
  <c r="U78"/>
  <c r="V78"/>
  <c r="W78"/>
  <c r="X78"/>
  <c r="Y78"/>
  <c r="E79"/>
  <c r="F79"/>
  <c r="G79"/>
  <c r="H79"/>
  <c r="I79"/>
  <c r="J79"/>
  <c r="K79"/>
  <c r="L79"/>
  <c r="M79"/>
  <c r="N79"/>
  <c r="O79"/>
  <c r="P79"/>
  <c r="Q79"/>
  <c r="R79"/>
  <c r="S79"/>
  <c r="T79"/>
  <c r="U79"/>
  <c r="V79"/>
  <c r="W79"/>
  <c r="X79"/>
  <c r="Y79"/>
  <c r="E80"/>
  <c r="F80"/>
  <c r="G80"/>
  <c r="H80"/>
  <c r="I80"/>
  <c r="J80"/>
  <c r="K80"/>
  <c r="L80"/>
  <c r="M80"/>
  <c r="N80"/>
  <c r="O80"/>
  <c r="P80"/>
  <c r="Q80"/>
  <c r="R80"/>
  <c r="S80"/>
  <c r="T80"/>
  <c r="U80"/>
  <c r="V80"/>
  <c r="W80"/>
  <c r="X80"/>
  <c r="Y80"/>
  <c r="E81"/>
  <c r="F81"/>
  <c r="G81"/>
  <c r="H81"/>
  <c r="I81"/>
  <c r="J81"/>
  <c r="K81"/>
  <c r="L81"/>
  <c r="M81"/>
  <c r="N81"/>
  <c r="O81"/>
  <c r="P81"/>
  <c r="Q81"/>
  <c r="R81"/>
  <c r="S81"/>
  <c r="T81"/>
  <c r="U81"/>
  <c r="V81"/>
  <c r="W81"/>
  <c r="X81"/>
  <c r="Y81"/>
  <c r="E82"/>
  <c r="F82"/>
  <c r="G82"/>
  <c r="H82"/>
  <c r="I82"/>
  <c r="J82"/>
  <c r="K82"/>
  <c r="L82"/>
  <c r="M82"/>
  <c r="N82"/>
  <c r="O82"/>
  <c r="P82"/>
  <c r="Q82"/>
  <c r="R82"/>
  <c r="S82"/>
  <c r="T82"/>
  <c r="U82"/>
  <c r="V82"/>
  <c r="W82"/>
  <c r="X82"/>
  <c r="Y82"/>
  <c r="E83"/>
  <c r="F83"/>
  <c r="G83"/>
  <c r="H83"/>
  <c r="I83"/>
  <c r="J83"/>
  <c r="K83"/>
  <c r="L83"/>
  <c r="M83"/>
  <c r="N83"/>
  <c r="O83"/>
  <c r="P83"/>
  <c r="Q83"/>
  <c r="R83"/>
  <c r="S83"/>
  <c r="T83"/>
  <c r="U83"/>
  <c r="V83"/>
  <c r="W83"/>
  <c r="X83"/>
  <c r="Y83"/>
  <c r="E84"/>
  <c r="F84"/>
  <c r="G84"/>
  <c r="H84"/>
  <c r="I84"/>
  <c r="J84"/>
  <c r="K84"/>
  <c r="L84"/>
  <c r="M84"/>
  <c r="N84"/>
  <c r="O84"/>
  <c r="P84"/>
  <c r="Q84"/>
  <c r="R84"/>
  <c r="S84"/>
  <c r="T84"/>
  <c r="U84"/>
  <c r="V84"/>
  <c r="W84"/>
  <c r="X84"/>
  <c r="Y84"/>
  <c r="E85"/>
  <c r="F85"/>
  <c r="G85"/>
  <c r="H85"/>
  <c r="I85"/>
  <c r="J85"/>
  <c r="K85"/>
  <c r="L85"/>
  <c r="M85"/>
  <c r="N85"/>
  <c r="O85"/>
  <c r="P85"/>
  <c r="Q85"/>
  <c r="R85"/>
  <c r="S85"/>
  <c r="T85"/>
  <c r="U85"/>
  <c r="V85"/>
  <c r="W85"/>
  <c r="X85"/>
  <c r="Y85"/>
  <c r="E86"/>
  <c r="F86"/>
  <c r="G86"/>
  <c r="H86"/>
  <c r="I86"/>
  <c r="J86"/>
  <c r="K86"/>
  <c r="L86"/>
  <c r="M86"/>
  <c r="N86"/>
  <c r="O86"/>
  <c r="P86"/>
  <c r="Q86"/>
  <c r="R86"/>
  <c r="S86"/>
  <c r="T86"/>
  <c r="U86"/>
  <c r="V86"/>
  <c r="W86"/>
  <c r="X86"/>
  <c r="Y86"/>
  <c r="E87"/>
  <c r="F87"/>
  <c r="G87"/>
  <c r="H87"/>
  <c r="I87"/>
  <c r="J87"/>
  <c r="K87"/>
  <c r="L87"/>
  <c r="M87"/>
  <c r="N87"/>
  <c r="O87"/>
  <c r="P87"/>
  <c r="Q87"/>
  <c r="R87"/>
  <c r="S87"/>
  <c r="T87"/>
  <c r="U87"/>
  <c r="V87"/>
  <c r="W87"/>
  <c r="X87"/>
  <c r="Y87"/>
  <c r="E88"/>
  <c r="F88"/>
  <c r="G88"/>
  <c r="H88"/>
  <c r="I88"/>
  <c r="J88"/>
  <c r="K88"/>
  <c r="L88"/>
  <c r="M88"/>
  <c r="N88"/>
  <c r="O88"/>
  <c r="P88"/>
  <c r="Q88"/>
  <c r="R88"/>
  <c r="S88"/>
  <c r="T88"/>
  <c r="U88"/>
  <c r="V88"/>
  <c r="W88"/>
  <c r="X88"/>
  <c r="Y88"/>
  <c r="E89"/>
  <c r="F89"/>
  <c r="G89"/>
  <c r="H89"/>
  <c r="I89"/>
  <c r="J89"/>
  <c r="K89"/>
  <c r="L89"/>
  <c r="M89"/>
  <c r="N89"/>
  <c r="O89"/>
  <c r="P89"/>
  <c r="Q89"/>
  <c r="R89"/>
  <c r="S89"/>
  <c r="T89"/>
  <c r="U89"/>
  <c r="V89"/>
  <c r="W89"/>
  <c r="X89"/>
  <c r="Y89"/>
  <c r="E90"/>
  <c r="F90"/>
  <c r="G90"/>
  <c r="H90"/>
  <c r="I90"/>
  <c r="J90"/>
  <c r="K90"/>
  <c r="L90"/>
  <c r="M90"/>
  <c r="N90"/>
  <c r="O90"/>
  <c r="P90"/>
  <c r="Q90"/>
  <c r="R90"/>
  <c r="S90"/>
  <c r="T90"/>
  <c r="U90"/>
  <c r="V90"/>
  <c r="W90"/>
  <c r="X90"/>
  <c r="Y90"/>
  <c r="E91"/>
  <c r="F91"/>
  <c r="G91"/>
  <c r="H91"/>
  <c r="I91"/>
  <c r="J91"/>
  <c r="K91"/>
  <c r="L91"/>
  <c r="M91"/>
  <c r="N91"/>
  <c r="O91"/>
  <c r="P91"/>
  <c r="Q91"/>
  <c r="R91"/>
  <c r="S91"/>
  <c r="T91"/>
  <c r="U91"/>
  <c r="V91"/>
  <c r="W91"/>
  <c r="X91"/>
  <c r="Y91"/>
  <c r="E92"/>
  <c r="F92"/>
  <c r="G92"/>
  <c r="H92"/>
  <c r="I92"/>
  <c r="J92"/>
  <c r="K92"/>
  <c r="L92"/>
  <c r="M92"/>
  <c r="N92"/>
  <c r="O92"/>
  <c r="P92"/>
  <c r="Q92"/>
  <c r="R92"/>
  <c r="S92"/>
  <c r="T92"/>
  <c r="U92"/>
  <c r="V92"/>
  <c r="W92"/>
  <c r="X92"/>
  <c r="Y92"/>
  <c r="E93"/>
  <c r="F93"/>
  <c r="G93"/>
  <c r="H93"/>
  <c r="I93"/>
  <c r="J93"/>
  <c r="K93"/>
  <c r="L93"/>
  <c r="M93"/>
  <c r="N93"/>
  <c r="O93"/>
  <c r="P93"/>
  <c r="Q93"/>
  <c r="R93"/>
  <c r="S93"/>
  <c r="T93"/>
  <c r="U93"/>
  <c r="V93"/>
  <c r="W93"/>
  <c r="X93"/>
  <c r="Y93"/>
  <c r="E94"/>
  <c r="F94"/>
  <c r="G94"/>
  <c r="H94"/>
  <c r="I94"/>
  <c r="J94"/>
  <c r="K94"/>
  <c r="L94"/>
  <c r="M94"/>
  <c r="N94"/>
  <c r="O94"/>
  <c r="P94"/>
  <c r="Q94"/>
  <c r="R94"/>
  <c r="S94"/>
  <c r="T94"/>
  <c r="U94"/>
  <c r="V94"/>
  <c r="W94"/>
  <c r="X94"/>
  <c r="Y94"/>
  <c r="E95"/>
  <c r="F95"/>
  <c r="G95"/>
  <c r="H95"/>
  <c r="I95"/>
  <c r="J95"/>
  <c r="K95"/>
  <c r="L95"/>
  <c r="M95"/>
  <c r="N95"/>
  <c r="O95"/>
  <c r="P95"/>
  <c r="Q95"/>
  <c r="R95"/>
  <c r="S95"/>
  <c r="T95"/>
  <c r="U95"/>
  <c r="V95"/>
  <c r="W95"/>
  <c r="X95"/>
  <c r="Y95"/>
  <c r="E96"/>
  <c r="F96"/>
  <c r="G96"/>
  <c r="H96"/>
  <c r="I96"/>
  <c r="J96"/>
  <c r="K96"/>
  <c r="L96"/>
  <c r="M96"/>
  <c r="N96"/>
  <c r="O96"/>
  <c r="P96"/>
  <c r="Q96"/>
  <c r="R96"/>
  <c r="S96"/>
  <c r="T96"/>
  <c r="U96"/>
  <c r="V96"/>
  <c r="W96"/>
  <c r="X96"/>
  <c r="Y96"/>
  <c r="E97"/>
  <c r="F97"/>
  <c r="G97"/>
  <c r="H97"/>
  <c r="I97"/>
  <c r="J97"/>
  <c r="K97"/>
  <c r="L97"/>
  <c r="M97"/>
  <c r="N97"/>
  <c r="O97"/>
  <c r="P97"/>
  <c r="Q97"/>
  <c r="R97"/>
  <c r="S97"/>
  <c r="T97"/>
  <c r="U97"/>
  <c r="V97"/>
  <c r="W97"/>
  <c r="X97"/>
  <c r="Y97"/>
  <c r="E98"/>
  <c r="F98"/>
  <c r="G98"/>
  <c r="H98"/>
  <c r="I98"/>
  <c r="J98"/>
  <c r="K98"/>
  <c r="L98"/>
  <c r="M98"/>
  <c r="N98"/>
  <c r="O98"/>
  <c r="P98"/>
  <c r="Q98"/>
  <c r="R98"/>
  <c r="S98"/>
  <c r="T98"/>
  <c r="U98"/>
  <c r="V98"/>
  <c r="W98"/>
  <c r="X98"/>
  <c r="Y98"/>
  <c r="E99"/>
  <c r="F99"/>
  <c r="G99"/>
  <c r="H99"/>
  <c r="I99"/>
  <c r="J99"/>
  <c r="K99"/>
  <c r="L99"/>
  <c r="M99"/>
  <c r="N99"/>
  <c r="O99"/>
  <c r="P99"/>
  <c r="Q99"/>
  <c r="R99"/>
  <c r="S99"/>
  <c r="T99"/>
  <c r="U99"/>
  <c r="V99"/>
  <c r="W99"/>
  <c r="X99"/>
  <c r="Y99"/>
  <c r="E100"/>
  <c r="F100"/>
  <c r="G100"/>
  <c r="H100"/>
  <c r="I100"/>
  <c r="J100"/>
  <c r="K100"/>
  <c r="L100"/>
  <c r="M100"/>
  <c r="N100"/>
  <c r="O100"/>
  <c r="P100"/>
  <c r="Q100"/>
  <c r="R100"/>
  <c r="S100"/>
  <c r="T100"/>
  <c r="U100"/>
  <c r="V100"/>
  <c r="W100"/>
  <c r="X100"/>
  <c r="Y100"/>
  <c r="E101"/>
  <c r="F101"/>
  <c r="G101"/>
  <c r="H101"/>
  <c r="I101"/>
  <c r="J101"/>
  <c r="K101"/>
  <c r="L101"/>
  <c r="M101"/>
  <c r="N101"/>
  <c r="O101"/>
  <c r="P101"/>
  <c r="Q101"/>
  <c r="R101"/>
  <c r="S101"/>
  <c r="T101"/>
  <c r="U101"/>
  <c r="V101"/>
  <c r="W101"/>
  <c r="X101"/>
  <c r="Y101"/>
  <c r="E102"/>
  <c r="F102"/>
  <c r="G102"/>
  <c r="H102"/>
  <c r="I102"/>
  <c r="J102"/>
  <c r="K102"/>
  <c r="L102"/>
  <c r="M102"/>
  <c r="N102"/>
  <c r="O102"/>
  <c r="P102"/>
  <c r="Q102"/>
  <c r="R102"/>
  <c r="S102"/>
  <c r="T102"/>
  <c r="U102"/>
  <c r="V102"/>
  <c r="W102"/>
  <c r="X102"/>
  <c r="Y102"/>
  <c r="E103"/>
  <c r="F103"/>
  <c r="G103"/>
  <c r="H103"/>
  <c r="I103"/>
  <c r="J103"/>
  <c r="K103"/>
  <c r="L103"/>
  <c r="M103"/>
  <c r="N103"/>
  <c r="O103"/>
  <c r="P103"/>
  <c r="Q103"/>
  <c r="R103"/>
  <c r="S103"/>
  <c r="T103"/>
  <c r="U103"/>
  <c r="V103"/>
  <c r="W103"/>
  <c r="X103"/>
  <c r="Y103"/>
  <c r="E104"/>
  <c r="F104"/>
  <c r="G104"/>
  <c r="H104"/>
  <c r="I104"/>
  <c r="J104"/>
  <c r="K104"/>
  <c r="L104"/>
  <c r="M104"/>
  <c r="N104"/>
  <c r="O104"/>
  <c r="P104"/>
  <c r="Q104"/>
  <c r="R104"/>
  <c r="S104"/>
  <c r="T104"/>
  <c r="U104"/>
  <c r="V104"/>
  <c r="W104"/>
  <c r="X104"/>
  <c r="Y104"/>
  <c r="E105"/>
  <c r="F105"/>
  <c r="G105"/>
  <c r="H105"/>
  <c r="I105"/>
  <c r="J105"/>
  <c r="K105"/>
  <c r="L105"/>
  <c r="M105"/>
  <c r="N105"/>
  <c r="O105"/>
  <c r="P105"/>
  <c r="Q105"/>
  <c r="R105"/>
  <c r="S105"/>
  <c r="T105"/>
  <c r="U105"/>
  <c r="V105"/>
  <c r="W105"/>
  <c r="X105"/>
  <c r="Y105"/>
  <c r="E106"/>
  <c r="F106"/>
  <c r="G106"/>
  <c r="H106"/>
  <c r="I106"/>
  <c r="J106"/>
  <c r="K106"/>
  <c r="L106"/>
  <c r="M106"/>
  <c r="N106"/>
  <c r="O106"/>
  <c r="P106"/>
  <c r="Q106"/>
  <c r="R106"/>
  <c r="S106"/>
  <c r="T106"/>
  <c r="U106"/>
  <c r="V106"/>
  <c r="W106"/>
  <c r="X106"/>
  <c r="Y106"/>
  <c r="E107"/>
  <c r="F107"/>
  <c r="G107"/>
  <c r="H107"/>
  <c r="I107"/>
  <c r="J107"/>
  <c r="K107"/>
  <c r="L107"/>
  <c r="M107"/>
  <c r="N107"/>
  <c r="O107"/>
  <c r="P107"/>
  <c r="Q107"/>
  <c r="R107"/>
  <c r="S107"/>
  <c r="T107"/>
  <c r="U107"/>
  <c r="V107"/>
  <c r="W107"/>
  <c r="X107"/>
  <c r="Y107"/>
  <c r="E108"/>
  <c r="F108"/>
  <c r="G108"/>
  <c r="H108"/>
  <c r="I108"/>
  <c r="J108"/>
  <c r="K108"/>
  <c r="L108"/>
  <c r="M108"/>
  <c r="N108"/>
  <c r="O108"/>
  <c r="P108"/>
  <c r="Q108"/>
  <c r="R108"/>
  <c r="S108"/>
  <c r="T108"/>
  <c r="U108"/>
  <c r="V108"/>
  <c r="W108"/>
  <c r="X108"/>
  <c r="Y108"/>
  <c r="E109"/>
  <c r="F109"/>
  <c r="G109"/>
  <c r="H109"/>
  <c r="I109"/>
  <c r="J109"/>
  <c r="K109"/>
  <c r="L109"/>
  <c r="M109"/>
  <c r="N109"/>
  <c r="O109"/>
  <c r="P109"/>
  <c r="Q109"/>
  <c r="R109"/>
  <c r="S109"/>
  <c r="T109"/>
  <c r="U109"/>
  <c r="V109"/>
  <c r="W109"/>
  <c r="X109"/>
  <c r="Y109"/>
  <c r="E110"/>
  <c r="F110"/>
  <c r="G110"/>
  <c r="H110"/>
  <c r="I110"/>
  <c r="J110"/>
  <c r="K110"/>
  <c r="L110"/>
  <c r="M110"/>
  <c r="N110"/>
  <c r="O110"/>
  <c r="P110"/>
  <c r="Q110"/>
  <c r="R110"/>
  <c r="S110"/>
  <c r="T110"/>
  <c r="U110"/>
  <c r="V110"/>
  <c r="W110"/>
  <c r="X110"/>
  <c r="Y110"/>
  <c r="E111"/>
  <c r="F111"/>
  <c r="G111"/>
  <c r="H111"/>
  <c r="I111"/>
  <c r="J111"/>
  <c r="K111"/>
  <c r="L111"/>
  <c r="M111"/>
  <c r="N111"/>
  <c r="O111"/>
  <c r="P111"/>
  <c r="Q111"/>
  <c r="R111"/>
  <c r="S111"/>
  <c r="T111"/>
  <c r="U111"/>
  <c r="V111"/>
  <c r="W111"/>
  <c r="X111"/>
  <c r="Y111"/>
  <c r="E112"/>
  <c r="F112"/>
  <c r="G112"/>
  <c r="H112"/>
  <c r="I112"/>
  <c r="J112"/>
  <c r="K112"/>
  <c r="L112"/>
  <c r="M112"/>
  <c r="N112"/>
  <c r="O112"/>
  <c r="P112"/>
  <c r="Q112"/>
  <c r="R112"/>
  <c r="S112"/>
  <c r="T112"/>
  <c r="U112"/>
  <c r="V112"/>
  <c r="W112"/>
  <c r="X112"/>
  <c r="Y112"/>
  <c r="E113"/>
  <c r="F113"/>
  <c r="G113"/>
  <c r="H113"/>
  <c r="I113"/>
  <c r="J113"/>
  <c r="K113"/>
  <c r="L113"/>
  <c r="M113"/>
  <c r="N113"/>
  <c r="O113"/>
  <c r="P113"/>
  <c r="Q113"/>
  <c r="R113"/>
  <c r="S113"/>
  <c r="T113"/>
  <c r="U113"/>
  <c r="V113"/>
  <c r="W113"/>
  <c r="X113"/>
  <c r="Y113"/>
  <c r="E114"/>
  <c r="F114"/>
  <c r="G114"/>
  <c r="H114"/>
  <c r="I114"/>
  <c r="J114"/>
  <c r="K114"/>
  <c r="L114"/>
  <c r="M114"/>
  <c r="N114"/>
  <c r="O114"/>
  <c r="P114"/>
  <c r="Q114"/>
  <c r="R114"/>
  <c r="S114"/>
  <c r="T114"/>
  <c r="U114"/>
  <c r="V114"/>
  <c r="W114"/>
  <c r="X114"/>
  <c r="Y114"/>
  <c r="E115"/>
  <c r="F115"/>
  <c r="G115"/>
  <c r="H115"/>
  <c r="I115"/>
  <c r="J115"/>
  <c r="K115"/>
  <c r="L115"/>
  <c r="M115"/>
  <c r="N115"/>
  <c r="O115"/>
  <c r="P115"/>
  <c r="Q115"/>
  <c r="R115"/>
  <c r="S115"/>
  <c r="T115"/>
  <c r="U115"/>
  <c r="V115"/>
  <c r="W115"/>
  <c r="X115"/>
  <c r="Y115"/>
  <c r="E116"/>
  <c r="F116"/>
  <c r="G116"/>
  <c r="H116"/>
  <c r="I116"/>
  <c r="J116"/>
  <c r="K116"/>
  <c r="L116"/>
  <c r="M116"/>
  <c r="N116"/>
  <c r="O116"/>
  <c r="P116"/>
  <c r="Q116"/>
  <c r="R116"/>
  <c r="S116"/>
  <c r="T116"/>
  <c r="U116"/>
  <c r="V116"/>
  <c r="W116"/>
  <c r="X116"/>
  <c r="Y116"/>
  <c r="E117"/>
  <c r="F117"/>
  <c r="G117"/>
  <c r="H117"/>
  <c r="I117"/>
  <c r="J117"/>
  <c r="K117"/>
  <c r="L117"/>
  <c r="M117"/>
  <c r="N117"/>
  <c r="O117"/>
  <c r="P117"/>
  <c r="Q117"/>
  <c r="R117"/>
  <c r="S117"/>
  <c r="T117"/>
  <c r="U117"/>
  <c r="V117"/>
  <c r="W117"/>
  <c r="X117"/>
  <c r="Y117"/>
  <c r="E118"/>
  <c r="F118"/>
  <c r="G118"/>
  <c r="H118"/>
  <c r="I118"/>
  <c r="J118"/>
  <c r="K118"/>
  <c r="L118"/>
  <c r="M118"/>
  <c r="N118"/>
  <c r="O118"/>
  <c r="P118"/>
  <c r="Q118"/>
  <c r="R118"/>
  <c r="S118"/>
  <c r="T118"/>
  <c r="U118"/>
  <c r="V118"/>
  <c r="W118"/>
  <c r="X118"/>
  <c r="Y118"/>
  <c r="E119"/>
  <c r="F119"/>
  <c r="G119"/>
  <c r="H119"/>
  <c r="I119"/>
  <c r="J119"/>
  <c r="K119"/>
  <c r="L119"/>
  <c r="M119"/>
  <c r="N119"/>
  <c r="O119"/>
  <c r="P119"/>
  <c r="Q119"/>
  <c r="R119"/>
  <c r="S119"/>
  <c r="T119"/>
  <c r="U119"/>
  <c r="V119"/>
  <c r="W119"/>
  <c r="X119"/>
  <c r="Y119"/>
  <c r="E120"/>
  <c r="F120"/>
  <c r="G120"/>
  <c r="H120"/>
  <c r="I120"/>
  <c r="J120"/>
  <c r="K120"/>
  <c r="L120"/>
  <c r="M120"/>
  <c r="N120"/>
  <c r="O120"/>
  <c r="P120"/>
  <c r="Q120"/>
  <c r="R120"/>
  <c r="S120"/>
  <c r="T120"/>
  <c r="U120"/>
  <c r="V120"/>
  <c r="W120"/>
  <c r="X120"/>
  <c r="Y120"/>
  <c r="E121"/>
  <c r="F121"/>
  <c r="G121"/>
  <c r="H121"/>
  <c r="I121"/>
  <c r="J121"/>
  <c r="K121"/>
  <c r="L121"/>
  <c r="M121"/>
  <c r="N121"/>
  <c r="O121"/>
  <c r="P121"/>
  <c r="Q121"/>
  <c r="R121"/>
  <c r="S121"/>
  <c r="T121"/>
  <c r="U121"/>
  <c r="V121"/>
  <c r="W121"/>
  <c r="X121"/>
  <c r="Y121"/>
  <c r="E122"/>
  <c r="F122"/>
  <c r="G122"/>
  <c r="H122"/>
  <c r="I122"/>
  <c r="J122"/>
  <c r="K122"/>
  <c r="L122"/>
  <c r="M122"/>
  <c r="N122"/>
  <c r="O122"/>
  <c r="P122"/>
  <c r="Q122"/>
  <c r="R122"/>
  <c r="S122"/>
  <c r="T122"/>
  <c r="U122"/>
  <c r="V122"/>
  <c r="W122"/>
  <c r="X122"/>
  <c r="Y122"/>
  <c r="E123"/>
  <c r="F123"/>
  <c r="G123"/>
  <c r="H123"/>
  <c r="I123"/>
  <c r="J123"/>
  <c r="K123"/>
  <c r="L123"/>
  <c r="M123"/>
  <c r="N123"/>
  <c r="O123"/>
  <c r="P123"/>
  <c r="Q123"/>
  <c r="R123"/>
  <c r="S123"/>
  <c r="T123"/>
  <c r="U123"/>
  <c r="V123"/>
  <c r="W123"/>
  <c r="X123"/>
  <c r="Y123"/>
  <c r="E124"/>
  <c r="F124"/>
  <c r="G124"/>
  <c r="H124"/>
  <c r="I124"/>
  <c r="J124"/>
  <c r="K124"/>
  <c r="L124"/>
  <c r="M124"/>
  <c r="N124"/>
  <c r="O124"/>
  <c r="P124"/>
  <c r="Q124"/>
  <c r="R124"/>
  <c r="S124"/>
  <c r="T124"/>
  <c r="U124"/>
  <c r="V124"/>
  <c r="W124"/>
  <c r="X124"/>
  <c r="Y124"/>
  <c r="E125"/>
  <c r="F125"/>
  <c r="G125"/>
  <c r="H125"/>
  <c r="I125"/>
  <c r="J125"/>
  <c r="K125"/>
  <c r="L125"/>
  <c r="M125"/>
  <c r="N125"/>
  <c r="O125"/>
  <c r="P125"/>
  <c r="Q125"/>
  <c r="R125"/>
  <c r="S125"/>
  <c r="T125"/>
  <c r="U125"/>
  <c r="V125"/>
  <c r="W125"/>
  <c r="X125"/>
  <c r="Y125"/>
  <c r="E126"/>
  <c r="F126"/>
  <c r="G126"/>
  <c r="H126"/>
  <c r="I126"/>
  <c r="J126"/>
  <c r="K126"/>
  <c r="L126"/>
  <c r="M126"/>
  <c r="N126"/>
  <c r="O126"/>
  <c r="P126"/>
  <c r="Q126"/>
  <c r="R126"/>
  <c r="S126"/>
  <c r="T126"/>
  <c r="U126"/>
  <c r="V126"/>
  <c r="W126"/>
  <c r="X126"/>
  <c r="Y126"/>
  <c r="E127"/>
  <c r="F127"/>
  <c r="G127"/>
  <c r="H127"/>
  <c r="I127"/>
  <c r="J127"/>
  <c r="K127"/>
  <c r="L127"/>
  <c r="M127"/>
  <c r="N127"/>
  <c r="O127"/>
  <c r="P127"/>
  <c r="Q127"/>
  <c r="R127"/>
  <c r="S127"/>
  <c r="T127"/>
  <c r="U127"/>
  <c r="V127"/>
  <c r="W127"/>
  <c r="X127"/>
  <c r="Y127"/>
  <c r="E128"/>
  <c r="F128"/>
  <c r="G128"/>
  <c r="H128"/>
  <c r="I128"/>
  <c r="J128"/>
  <c r="K128"/>
  <c r="L128"/>
  <c r="M128"/>
  <c r="N128"/>
  <c r="O128"/>
  <c r="P128"/>
  <c r="Q128"/>
  <c r="R128"/>
  <c r="S128"/>
  <c r="T128"/>
  <c r="U128"/>
  <c r="V128"/>
  <c r="W128"/>
  <c r="X128"/>
  <c r="Y128"/>
  <c r="E129"/>
  <c r="F129"/>
  <c r="G129"/>
  <c r="H129"/>
  <c r="I129"/>
  <c r="J129"/>
  <c r="K129"/>
  <c r="L129"/>
  <c r="M129"/>
  <c r="N129"/>
  <c r="O129"/>
  <c r="P129"/>
  <c r="Q129"/>
  <c r="R129"/>
  <c r="S129"/>
  <c r="T129"/>
  <c r="U129"/>
  <c r="V129"/>
  <c r="W129"/>
  <c r="X129"/>
  <c r="Y129"/>
  <c r="E130"/>
  <c r="F130"/>
  <c r="G130"/>
  <c r="H130"/>
  <c r="I130"/>
  <c r="J130"/>
  <c r="K130"/>
  <c r="L130"/>
  <c r="M130"/>
  <c r="N130"/>
  <c r="O130"/>
  <c r="P130"/>
  <c r="Q130"/>
  <c r="R130"/>
  <c r="S130"/>
  <c r="T130"/>
  <c r="U130"/>
  <c r="V130"/>
  <c r="W130"/>
  <c r="X130"/>
  <c r="Y130"/>
  <c r="E131"/>
  <c r="F131"/>
  <c r="G131"/>
  <c r="H131"/>
  <c r="I131"/>
  <c r="J131"/>
  <c r="K131"/>
  <c r="L131"/>
  <c r="M131"/>
  <c r="N131"/>
  <c r="O131"/>
  <c r="P131"/>
  <c r="Q131"/>
  <c r="R131"/>
  <c r="S131"/>
  <c r="T131"/>
  <c r="U131"/>
  <c r="V131"/>
  <c r="W131"/>
  <c r="X131"/>
  <c r="Y131"/>
  <c r="E132"/>
  <c r="F132"/>
  <c r="G132"/>
  <c r="H132"/>
  <c r="I132"/>
  <c r="J132"/>
  <c r="K132"/>
  <c r="L132"/>
  <c r="M132"/>
  <c r="N132"/>
  <c r="O132"/>
  <c r="P132"/>
  <c r="Q132"/>
  <c r="R132"/>
  <c r="S132"/>
  <c r="T132"/>
  <c r="U132"/>
  <c r="V132"/>
  <c r="W132"/>
  <c r="X132"/>
  <c r="Y132"/>
  <c r="E133"/>
  <c r="F133"/>
  <c r="G133"/>
  <c r="H133"/>
  <c r="I133"/>
  <c r="J133"/>
  <c r="K133"/>
  <c r="L133"/>
  <c r="M133"/>
  <c r="N133"/>
  <c r="O133"/>
  <c r="P133"/>
  <c r="Q133"/>
  <c r="R133"/>
  <c r="S133"/>
  <c r="T133"/>
  <c r="U133"/>
  <c r="V133"/>
  <c r="W133"/>
  <c r="X133"/>
  <c r="Y133"/>
  <c r="E134"/>
  <c r="F134"/>
  <c r="G134"/>
  <c r="H134"/>
  <c r="I134"/>
  <c r="J134"/>
  <c r="K134"/>
  <c r="L134"/>
  <c r="M134"/>
  <c r="N134"/>
  <c r="O134"/>
  <c r="P134"/>
  <c r="Q134"/>
  <c r="R134"/>
  <c r="S134"/>
  <c r="T134"/>
  <c r="U134"/>
  <c r="V134"/>
  <c r="W134"/>
  <c r="X134"/>
  <c r="Y134"/>
  <c r="E135"/>
  <c r="F135"/>
  <c r="G135"/>
  <c r="H135"/>
  <c r="I135"/>
  <c r="J135"/>
  <c r="K135"/>
  <c r="L135"/>
  <c r="M135"/>
  <c r="N135"/>
  <c r="O135"/>
  <c r="P135"/>
  <c r="Q135"/>
  <c r="R135"/>
  <c r="S135"/>
  <c r="T135"/>
  <c r="U135"/>
  <c r="V135"/>
  <c r="W135"/>
  <c r="X135"/>
  <c r="Y135"/>
  <c r="E136"/>
  <c r="F136"/>
  <c r="G136"/>
  <c r="H136"/>
  <c r="I136"/>
  <c r="J136"/>
  <c r="K136"/>
  <c r="L136"/>
  <c r="M136"/>
  <c r="N136"/>
  <c r="O136"/>
  <c r="P136"/>
  <c r="Q136"/>
  <c r="R136"/>
  <c r="S136"/>
  <c r="T136"/>
  <c r="U136"/>
  <c r="V136"/>
  <c r="W136"/>
  <c r="X136"/>
  <c r="Y136"/>
  <c r="E137"/>
  <c r="F137"/>
  <c r="G137"/>
  <c r="H137"/>
  <c r="I137"/>
  <c r="J137"/>
  <c r="K137"/>
  <c r="L137"/>
  <c r="M137"/>
  <c r="N137"/>
  <c r="O137"/>
  <c r="P137"/>
  <c r="Q137"/>
  <c r="R137"/>
  <c r="S137"/>
  <c r="T137"/>
  <c r="U137"/>
  <c r="V137"/>
  <c r="W137"/>
  <c r="X137"/>
  <c r="Y137"/>
  <c r="E138"/>
  <c r="F138"/>
  <c r="G138"/>
  <c r="H138"/>
  <c r="I138"/>
  <c r="J138"/>
  <c r="K138"/>
  <c r="L138"/>
  <c r="M138"/>
  <c r="N138"/>
  <c r="O138"/>
  <c r="P138"/>
  <c r="Q138"/>
  <c r="R138"/>
  <c r="S138"/>
  <c r="T138"/>
  <c r="U138"/>
  <c r="V138"/>
  <c r="W138"/>
  <c r="X138"/>
  <c r="Y138"/>
  <c r="E139"/>
  <c r="F139"/>
  <c r="G139"/>
  <c r="H139"/>
  <c r="I139"/>
  <c r="J139"/>
  <c r="K139"/>
  <c r="L139"/>
  <c r="M139"/>
  <c r="N139"/>
  <c r="O139"/>
  <c r="P139"/>
  <c r="Q139"/>
  <c r="R139"/>
  <c r="S139"/>
  <c r="T139"/>
  <c r="U139"/>
  <c r="V139"/>
  <c r="W139"/>
  <c r="X139"/>
  <c r="Y139"/>
  <c r="E140"/>
  <c r="F140"/>
  <c r="G140"/>
  <c r="H140"/>
  <c r="I140"/>
  <c r="J140"/>
  <c r="K140"/>
  <c r="L140"/>
  <c r="M140"/>
  <c r="N140"/>
  <c r="O140"/>
  <c r="P140"/>
  <c r="Q140"/>
  <c r="R140"/>
  <c r="S140"/>
  <c r="T140"/>
  <c r="U140"/>
  <c r="V140"/>
  <c r="W140"/>
  <c r="X140"/>
  <c r="Y140"/>
  <c r="E141"/>
  <c r="F141"/>
  <c r="G141"/>
  <c r="H141"/>
  <c r="I141"/>
  <c r="J141"/>
  <c r="K141"/>
  <c r="L141"/>
  <c r="M141"/>
  <c r="N141"/>
  <c r="O141"/>
  <c r="P141"/>
  <c r="Q141"/>
  <c r="R141"/>
  <c r="S141"/>
  <c r="T141"/>
  <c r="U141"/>
  <c r="V141"/>
  <c r="W141"/>
  <c r="X141"/>
  <c r="Y141"/>
  <c r="E142"/>
  <c r="F142"/>
  <c r="G142"/>
  <c r="H142"/>
  <c r="I142"/>
  <c r="J142"/>
  <c r="K142"/>
  <c r="L142"/>
  <c r="M142"/>
  <c r="N142"/>
  <c r="O142"/>
  <c r="P142"/>
  <c r="Q142"/>
  <c r="R142"/>
  <c r="S142"/>
  <c r="T142"/>
  <c r="U142"/>
  <c r="V142"/>
  <c r="W142"/>
  <c r="X142"/>
  <c r="Y142"/>
  <c r="E143"/>
  <c r="F143"/>
  <c r="G143"/>
  <c r="H143"/>
  <c r="I143"/>
  <c r="J143"/>
  <c r="K143"/>
  <c r="L143"/>
  <c r="M143"/>
  <c r="N143"/>
  <c r="O143"/>
  <c r="P143"/>
  <c r="Q143"/>
  <c r="R143"/>
  <c r="S143"/>
  <c r="T143"/>
  <c r="U143"/>
  <c r="V143"/>
  <c r="W143"/>
  <c r="X143"/>
  <c r="Y143"/>
  <c r="E144"/>
  <c r="F144"/>
  <c r="G144"/>
  <c r="H144"/>
  <c r="I144"/>
  <c r="J144"/>
  <c r="K144"/>
  <c r="L144"/>
  <c r="M144"/>
  <c r="N144"/>
  <c r="O144"/>
  <c r="P144"/>
  <c r="Q144"/>
  <c r="R144"/>
  <c r="S144"/>
  <c r="T144"/>
  <c r="U144"/>
  <c r="V144"/>
  <c r="W144"/>
  <c r="X144"/>
  <c r="Y144"/>
  <c r="E145"/>
  <c r="F145"/>
  <c r="G145"/>
  <c r="H145"/>
  <c r="I145"/>
  <c r="J145"/>
  <c r="K145"/>
  <c r="L145"/>
  <c r="M145"/>
  <c r="N145"/>
  <c r="O145"/>
  <c r="P145"/>
  <c r="Q145"/>
  <c r="R145"/>
  <c r="S145"/>
  <c r="T145"/>
  <c r="U145"/>
  <c r="V145"/>
  <c r="W145"/>
  <c r="X145"/>
  <c r="Y145"/>
  <c r="E146"/>
  <c r="F146"/>
  <c r="G146"/>
  <c r="H146"/>
  <c r="I146"/>
  <c r="J146"/>
  <c r="K146"/>
  <c r="L146"/>
  <c r="M146"/>
  <c r="N146"/>
  <c r="O146"/>
  <c r="P146"/>
  <c r="Q146"/>
  <c r="R146"/>
  <c r="S146"/>
  <c r="T146"/>
  <c r="U146"/>
  <c r="V146"/>
  <c r="W146"/>
  <c r="X146"/>
  <c r="Y146"/>
  <c r="E147"/>
  <c r="F147"/>
  <c r="G147"/>
  <c r="H147"/>
  <c r="I147"/>
  <c r="J147"/>
  <c r="K147"/>
  <c r="L147"/>
  <c r="M147"/>
  <c r="N147"/>
  <c r="O147"/>
  <c r="P147"/>
  <c r="Q147"/>
  <c r="R147"/>
  <c r="S147"/>
  <c r="T147"/>
  <c r="U147"/>
  <c r="V147"/>
  <c r="W147"/>
  <c r="X147"/>
  <c r="Y147"/>
  <c r="E148"/>
  <c r="F148"/>
  <c r="G148"/>
  <c r="H148"/>
  <c r="I148"/>
  <c r="J148"/>
  <c r="K148"/>
  <c r="L148"/>
  <c r="M148"/>
  <c r="N148"/>
  <c r="O148"/>
  <c r="P148"/>
  <c r="Q148"/>
  <c r="R148"/>
  <c r="S148"/>
  <c r="T148"/>
  <c r="U148"/>
  <c r="V148"/>
  <c r="W148"/>
  <c r="X148"/>
  <c r="Y148"/>
  <c r="E149"/>
  <c r="F149"/>
  <c r="G149"/>
  <c r="H149"/>
  <c r="I149"/>
  <c r="J149"/>
  <c r="K149"/>
  <c r="L149"/>
  <c r="M149"/>
  <c r="N149"/>
  <c r="O149"/>
  <c r="P149"/>
  <c r="Q149"/>
  <c r="R149"/>
  <c r="S149"/>
  <c r="T149"/>
  <c r="U149"/>
  <c r="V149"/>
  <c r="W149"/>
  <c r="X149"/>
  <c r="Y149"/>
  <c r="E150"/>
  <c r="F150"/>
  <c r="G150"/>
  <c r="H150"/>
  <c r="I150"/>
  <c r="J150"/>
  <c r="K150"/>
  <c r="L150"/>
  <c r="M150"/>
  <c r="N150"/>
  <c r="O150"/>
  <c r="P150"/>
  <c r="Q150"/>
  <c r="R150"/>
  <c r="S150"/>
  <c r="T150"/>
  <c r="U150"/>
  <c r="V150"/>
  <c r="W150"/>
  <c r="X150"/>
  <c r="Y150"/>
  <c r="E151"/>
  <c r="F151"/>
  <c r="G151"/>
  <c r="H151"/>
  <c r="I151"/>
  <c r="J151"/>
  <c r="K151"/>
  <c r="L151"/>
  <c r="M151"/>
  <c r="N151"/>
  <c r="O151"/>
  <c r="P151"/>
  <c r="Q151"/>
  <c r="R151"/>
  <c r="S151"/>
  <c r="T151"/>
  <c r="U151"/>
  <c r="V151"/>
  <c r="W151"/>
  <c r="X151"/>
  <c r="Y151"/>
  <c r="E152"/>
  <c r="F152"/>
  <c r="G152"/>
  <c r="H152"/>
  <c r="I152"/>
  <c r="J152"/>
  <c r="K152"/>
  <c r="L152"/>
  <c r="M152"/>
  <c r="N152"/>
  <c r="O152"/>
  <c r="P152"/>
  <c r="Q152"/>
  <c r="R152"/>
  <c r="S152"/>
  <c r="T152"/>
  <c r="U152"/>
  <c r="V152"/>
  <c r="W152"/>
  <c r="X152"/>
  <c r="Y152"/>
  <c r="E153"/>
  <c r="F153"/>
  <c r="G153"/>
  <c r="H153"/>
  <c r="I153"/>
  <c r="J153"/>
  <c r="K153"/>
  <c r="L153"/>
  <c r="M153"/>
  <c r="N153"/>
  <c r="O153"/>
  <c r="P153"/>
  <c r="Q153"/>
  <c r="R153"/>
  <c r="S153"/>
  <c r="T153"/>
  <c r="U153"/>
  <c r="V153"/>
  <c r="W153"/>
  <c r="X153"/>
  <c r="Y153"/>
  <c r="E154"/>
  <c r="F154"/>
  <c r="G154"/>
  <c r="H154"/>
  <c r="I154"/>
  <c r="J154"/>
  <c r="K154"/>
  <c r="L154"/>
  <c r="M154"/>
  <c r="N154"/>
  <c r="O154"/>
  <c r="P154"/>
  <c r="Q154"/>
  <c r="R154"/>
  <c r="S154"/>
  <c r="T154"/>
  <c r="U154"/>
  <c r="V154"/>
  <c r="W154"/>
  <c r="X154"/>
  <c r="Y154"/>
  <c r="E155"/>
  <c r="F155"/>
  <c r="G155"/>
  <c r="H155"/>
  <c r="I155"/>
  <c r="J155"/>
  <c r="K155"/>
  <c r="L155"/>
  <c r="M155"/>
  <c r="N155"/>
  <c r="O155"/>
  <c r="P155"/>
  <c r="Q155"/>
  <c r="R155"/>
  <c r="S155"/>
  <c r="T155"/>
  <c r="U155"/>
  <c r="V155"/>
  <c r="W155"/>
  <c r="X155"/>
  <c r="Y155"/>
  <c r="E156"/>
  <c r="F156"/>
  <c r="G156"/>
  <c r="H156"/>
  <c r="I156"/>
  <c r="J156"/>
  <c r="K156"/>
  <c r="L156"/>
  <c r="M156"/>
  <c r="N156"/>
  <c r="O156"/>
  <c r="P156"/>
  <c r="Q156"/>
  <c r="R156"/>
  <c r="S156"/>
  <c r="T156"/>
  <c r="U156"/>
  <c r="V156"/>
  <c r="W156"/>
  <c r="X156"/>
  <c r="Y156"/>
  <c r="E157"/>
  <c r="F157"/>
  <c r="G157"/>
  <c r="H157"/>
  <c r="I157"/>
  <c r="J157"/>
  <c r="K157"/>
  <c r="L157"/>
  <c r="M157"/>
  <c r="N157"/>
  <c r="O157"/>
  <c r="P157"/>
  <c r="Q157"/>
  <c r="R157"/>
  <c r="S157"/>
  <c r="T157"/>
  <c r="U157"/>
  <c r="V157"/>
  <c r="W157"/>
  <c r="X157"/>
  <c r="Y157"/>
  <c r="E158"/>
  <c r="F158"/>
  <c r="G158"/>
  <c r="H158"/>
  <c r="I158"/>
  <c r="J158"/>
  <c r="K158"/>
  <c r="L158"/>
  <c r="M158"/>
  <c r="N158"/>
  <c r="O158"/>
  <c r="P158"/>
  <c r="Q158"/>
  <c r="R158"/>
  <c r="S158"/>
  <c r="T158"/>
  <c r="U158"/>
  <c r="V158"/>
  <c r="W158"/>
  <c r="X158"/>
  <c r="Y158"/>
  <c r="E159"/>
  <c r="F159"/>
  <c r="G159"/>
  <c r="H159"/>
  <c r="I159"/>
  <c r="J159"/>
  <c r="K159"/>
  <c r="L159"/>
  <c r="M159"/>
  <c r="N159"/>
  <c r="O159"/>
  <c r="P159"/>
  <c r="Q159"/>
  <c r="R159"/>
  <c r="S159"/>
  <c r="T159"/>
  <c r="U159"/>
  <c r="V159"/>
  <c r="W159"/>
  <c r="X159"/>
  <c r="Y159"/>
  <c r="E160"/>
  <c r="F160"/>
  <c r="G160"/>
  <c r="H160"/>
  <c r="I160"/>
  <c r="J160"/>
  <c r="K160"/>
  <c r="L160"/>
  <c r="M160"/>
  <c r="N160"/>
  <c r="O160"/>
  <c r="P160"/>
  <c r="Q160"/>
  <c r="R160"/>
  <c r="S160"/>
  <c r="T160"/>
  <c r="U160"/>
  <c r="V160"/>
  <c r="W160"/>
  <c r="X160"/>
  <c r="Y160"/>
  <c r="E161"/>
  <c r="F161"/>
  <c r="G161"/>
  <c r="H161"/>
  <c r="I161"/>
  <c r="J161"/>
  <c r="K161"/>
  <c r="L161"/>
  <c r="M161"/>
  <c r="N161"/>
  <c r="O161"/>
  <c r="P161"/>
  <c r="Q161"/>
  <c r="R161"/>
  <c r="S161"/>
  <c r="T161"/>
  <c r="U161"/>
  <c r="V161"/>
  <c r="W161"/>
  <c r="X161"/>
  <c r="Y161"/>
  <c r="E162"/>
  <c r="F162"/>
  <c r="G162"/>
  <c r="H162"/>
  <c r="I162"/>
  <c r="J162"/>
  <c r="K162"/>
  <c r="L162"/>
  <c r="M162"/>
  <c r="N162"/>
  <c r="O162"/>
  <c r="P162"/>
  <c r="Q162"/>
  <c r="R162"/>
  <c r="S162"/>
  <c r="T162"/>
  <c r="U162"/>
  <c r="V162"/>
  <c r="W162"/>
  <c r="X162"/>
  <c r="Y162"/>
  <c r="E163"/>
  <c r="F163"/>
  <c r="G163"/>
  <c r="H163"/>
  <c r="I163"/>
  <c r="J163"/>
  <c r="K163"/>
  <c r="L163"/>
  <c r="M163"/>
  <c r="N163"/>
  <c r="O163"/>
  <c r="P163"/>
  <c r="Q163"/>
  <c r="R163"/>
  <c r="S163"/>
  <c r="T163"/>
  <c r="U163"/>
  <c r="V163"/>
  <c r="W163"/>
  <c r="X163"/>
  <c r="Y163"/>
  <c r="E164"/>
  <c r="F164"/>
  <c r="G164"/>
  <c r="H164"/>
  <c r="I164"/>
  <c r="J164"/>
  <c r="K164"/>
  <c r="L164"/>
  <c r="M164"/>
  <c r="N164"/>
  <c r="O164"/>
  <c r="P164"/>
  <c r="Q164"/>
  <c r="R164"/>
  <c r="S164"/>
  <c r="T164"/>
  <c r="U164"/>
  <c r="V164"/>
  <c r="W164"/>
  <c r="X164"/>
  <c r="Y164"/>
  <c r="E165"/>
  <c r="F165"/>
  <c r="G165"/>
  <c r="H165"/>
  <c r="I165"/>
  <c r="J165"/>
  <c r="K165"/>
  <c r="L165"/>
  <c r="M165"/>
  <c r="N165"/>
  <c r="O165"/>
  <c r="P165"/>
  <c r="Q165"/>
  <c r="R165"/>
  <c r="S165"/>
  <c r="T165"/>
  <c r="U165"/>
  <c r="V165"/>
  <c r="W165"/>
  <c r="X165"/>
  <c r="Y165"/>
  <c r="E166"/>
  <c r="F166"/>
  <c r="G166"/>
  <c r="H166"/>
  <c r="I166"/>
  <c r="J166"/>
  <c r="K166"/>
  <c r="L166"/>
  <c r="M166"/>
  <c r="N166"/>
  <c r="O166"/>
  <c r="P166"/>
  <c r="Q166"/>
  <c r="R166"/>
  <c r="S166"/>
  <c r="T166"/>
  <c r="U166"/>
  <c r="V166"/>
  <c r="W166"/>
  <c r="X166"/>
  <c r="Y166"/>
  <c r="E167"/>
  <c r="F167"/>
  <c r="G167"/>
  <c r="H167"/>
  <c r="I167"/>
  <c r="J167"/>
  <c r="K167"/>
  <c r="L167"/>
  <c r="M167"/>
  <c r="N167"/>
  <c r="O167"/>
  <c r="P167"/>
  <c r="Q167"/>
  <c r="R167"/>
  <c r="S167"/>
  <c r="T167"/>
  <c r="U167"/>
  <c r="V167"/>
  <c r="W167"/>
  <c r="X167"/>
  <c r="Y167"/>
  <c r="E168"/>
  <c r="F168"/>
  <c r="G168"/>
  <c r="H168"/>
  <c r="I168"/>
  <c r="J168"/>
  <c r="K168"/>
  <c r="L168"/>
  <c r="M168"/>
  <c r="N168"/>
  <c r="O168"/>
  <c r="P168"/>
  <c r="Q168"/>
  <c r="R168"/>
  <c r="S168"/>
  <c r="T168"/>
  <c r="U168"/>
  <c r="V168"/>
  <c r="W168"/>
  <c r="X168"/>
  <c r="Y168"/>
  <c r="E169"/>
  <c r="F169"/>
  <c r="G169"/>
  <c r="H169"/>
  <c r="I169"/>
  <c r="J169"/>
  <c r="K169"/>
  <c r="L169"/>
  <c r="M169"/>
  <c r="N169"/>
  <c r="O169"/>
  <c r="P169"/>
  <c r="Q169"/>
  <c r="R169"/>
  <c r="S169"/>
  <c r="T169"/>
  <c r="U169"/>
  <c r="V169"/>
  <c r="W169"/>
  <c r="X169"/>
  <c r="Y169"/>
  <c r="E170"/>
  <c r="F170"/>
  <c r="G170"/>
  <c r="H170"/>
  <c r="I170"/>
  <c r="J170"/>
  <c r="K170"/>
  <c r="L170"/>
  <c r="M170"/>
  <c r="N170"/>
  <c r="O170"/>
  <c r="P170"/>
  <c r="Q170"/>
  <c r="R170"/>
  <c r="S170"/>
  <c r="T170"/>
  <c r="U170"/>
  <c r="V170"/>
  <c r="W170"/>
  <c r="X170"/>
  <c r="Y170"/>
  <c r="E171"/>
  <c r="F171"/>
  <c r="G171"/>
  <c r="H171"/>
  <c r="I171"/>
  <c r="J171"/>
  <c r="K171"/>
  <c r="L171"/>
  <c r="M171"/>
  <c r="N171"/>
  <c r="O171"/>
  <c r="P171"/>
  <c r="Q171"/>
  <c r="R171"/>
  <c r="S171"/>
  <c r="T171"/>
  <c r="U171"/>
  <c r="V171"/>
  <c r="W171"/>
  <c r="X171"/>
  <c r="Y171"/>
  <c r="E172"/>
  <c r="F172"/>
  <c r="G172"/>
  <c r="H172"/>
  <c r="I172"/>
  <c r="J172"/>
  <c r="K172"/>
  <c r="L172"/>
  <c r="M172"/>
  <c r="N172"/>
  <c r="O172"/>
  <c r="P172"/>
  <c r="Q172"/>
  <c r="R172"/>
  <c r="S172"/>
  <c r="T172"/>
  <c r="U172"/>
  <c r="V172"/>
  <c r="W172"/>
  <c r="X172"/>
  <c r="Y172"/>
  <c r="E173"/>
  <c r="F173"/>
  <c r="G173"/>
  <c r="H173"/>
  <c r="I173"/>
  <c r="J173"/>
  <c r="K173"/>
  <c r="L173"/>
  <c r="M173"/>
  <c r="N173"/>
  <c r="O173"/>
  <c r="P173"/>
  <c r="Q173"/>
  <c r="R173"/>
  <c r="S173"/>
  <c r="T173"/>
  <c r="U173"/>
  <c r="V173"/>
  <c r="W173"/>
  <c r="X173"/>
  <c r="Y173"/>
  <c r="E174"/>
  <c r="F174"/>
  <c r="G174"/>
  <c r="H174"/>
  <c r="I174"/>
  <c r="J174"/>
  <c r="K174"/>
  <c r="L174"/>
  <c r="M174"/>
  <c r="N174"/>
  <c r="O174"/>
  <c r="P174"/>
  <c r="Q174"/>
  <c r="R174"/>
  <c r="S174"/>
  <c r="T174"/>
  <c r="U174"/>
  <c r="V174"/>
  <c r="W174"/>
  <c r="X174"/>
  <c r="Y174"/>
  <c r="E175"/>
  <c r="F175"/>
  <c r="G175"/>
  <c r="H175"/>
  <c r="I175"/>
  <c r="J175"/>
  <c r="K175"/>
  <c r="L175"/>
  <c r="M175"/>
  <c r="N175"/>
  <c r="O175"/>
  <c r="P175"/>
  <c r="Q175"/>
  <c r="R175"/>
  <c r="S175"/>
  <c r="T175"/>
  <c r="U175"/>
  <c r="V175"/>
  <c r="W175"/>
  <c r="X175"/>
  <c r="Y175"/>
  <c r="E176"/>
  <c r="F176"/>
  <c r="G176"/>
  <c r="H176"/>
  <c r="I176"/>
  <c r="J176"/>
  <c r="K176"/>
  <c r="L176"/>
  <c r="M176"/>
  <c r="N176"/>
  <c r="O176"/>
  <c r="P176"/>
  <c r="Q176"/>
  <c r="R176"/>
  <c r="S176"/>
  <c r="T176"/>
  <c r="U176"/>
  <c r="V176"/>
  <c r="W176"/>
  <c r="X176"/>
  <c r="Y176"/>
  <c r="E177"/>
  <c r="F177"/>
  <c r="G177"/>
  <c r="H177"/>
  <c r="I177"/>
  <c r="J177"/>
  <c r="K177"/>
  <c r="L177"/>
  <c r="M177"/>
  <c r="N177"/>
  <c r="O177"/>
  <c r="P177"/>
  <c r="Q177"/>
  <c r="R177"/>
  <c r="S177"/>
  <c r="T177"/>
  <c r="U177"/>
  <c r="V177"/>
  <c r="W177"/>
  <c r="X177"/>
  <c r="Y177"/>
  <c r="E178"/>
  <c r="F178"/>
  <c r="G178"/>
  <c r="H178"/>
  <c r="I178"/>
  <c r="J178"/>
  <c r="K178"/>
  <c r="L178"/>
  <c r="M178"/>
  <c r="N178"/>
  <c r="O178"/>
  <c r="P178"/>
  <c r="Q178"/>
  <c r="R178"/>
  <c r="S178"/>
  <c r="T178"/>
  <c r="U178"/>
  <c r="V178"/>
  <c r="W178"/>
  <c r="X178"/>
  <c r="Y178"/>
  <c r="E179"/>
  <c r="F179"/>
  <c r="G179"/>
  <c r="H179"/>
  <c r="I179"/>
  <c r="J179"/>
  <c r="K179"/>
  <c r="L179"/>
  <c r="M179"/>
  <c r="N179"/>
  <c r="O179"/>
  <c r="P179"/>
  <c r="Q179"/>
  <c r="R179"/>
  <c r="S179"/>
  <c r="T179"/>
  <c r="U179"/>
  <c r="V179"/>
  <c r="W179"/>
  <c r="X179"/>
  <c r="Y179"/>
  <c r="E180"/>
  <c r="F180"/>
  <c r="G180"/>
  <c r="H180"/>
  <c r="I180"/>
  <c r="J180"/>
  <c r="K180"/>
  <c r="L180"/>
  <c r="M180"/>
  <c r="N180"/>
  <c r="O180"/>
  <c r="P180"/>
  <c r="Q180"/>
  <c r="R180"/>
  <c r="S180"/>
  <c r="T180"/>
  <c r="U180"/>
  <c r="V180"/>
  <c r="W180"/>
  <c r="X180"/>
  <c r="Y180"/>
  <c r="E181"/>
  <c r="F181"/>
  <c r="G181"/>
  <c r="H181"/>
  <c r="I181"/>
  <c r="J181"/>
  <c r="K181"/>
  <c r="L181"/>
  <c r="M181"/>
  <c r="N181"/>
  <c r="O181"/>
  <c r="P181"/>
  <c r="Q181"/>
  <c r="R181"/>
  <c r="S181"/>
  <c r="T181"/>
  <c r="U181"/>
  <c r="V181"/>
  <c r="W181"/>
  <c r="X181"/>
  <c r="Y181"/>
  <c r="E182"/>
  <c r="F182"/>
  <c r="G182"/>
  <c r="H182"/>
  <c r="I182"/>
  <c r="J182"/>
  <c r="K182"/>
  <c r="L182"/>
  <c r="M182"/>
  <c r="N182"/>
  <c r="O182"/>
  <c r="P182"/>
  <c r="Q182"/>
  <c r="R182"/>
  <c r="S182"/>
  <c r="T182"/>
  <c r="U182"/>
  <c r="V182"/>
  <c r="W182"/>
  <c r="X182"/>
  <c r="Y182"/>
  <c r="E183"/>
  <c r="F183"/>
  <c r="G183"/>
  <c r="H183"/>
  <c r="I183"/>
  <c r="J183"/>
  <c r="K183"/>
  <c r="L183"/>
  <c r="M183"/>
  <c r="N183"/>
  <c r="O183"/>
  <c r="P183"/>
  <c r="Q183"/>
  <c r="R183"/>
  <c r="S183"/>
  <c r="T183"/>
  <c r="U183"/>
  <c r="V183"/>
  <c r="W183"/>
  <c r="X183"/>
  <c r="Y183"/>
  <c r="E184"/>
  <c r="F184"/>
  <c r="G184"/>
  <c r="H184"/>
  <c r="I184"/>
  <c r="J184"/>
  <c r="K184"/>
  <c r="L184"/>
  <c r="M184"/>
  <c r="N184"/>
  <c r="O184"/>
  <c r="P184"/>
  <c r="Q184"/>
  <c r="R184"/>
  <c r="S184"/>
  <c r="T184"/>
  <c r="U184"/>
  <c r="V184"/>
  <c r="W184"/>
  <c r="X184"/>
  <c r="Y184"/>
  <c r="E185"/>
  <c r="F185"/>
  <c r="G185"/>
  <c r="H185"/>
  <c r="I185"/>
  <c r="J185"/>
  <c r="K185"/>
  <c r="L185"/>
  <c r="M185"/>
  <c r="N185"/>
  <c r="O185"/>
  <c r="P185"/>
  <c r="Q185"/>
  <c r="R185"/>
  <c r="S185"/>
  <c r="T185"/>
  <c r="U185"/>
  <c r="V185"/>
  <c r="W185"/>
  <c r="X185"/>
  <c r="Y185"/>
  <c r="E186"/>
  <c r="F186"/>
  <c r="G186"/>
  <c r="H186"/>
  <c r="I186"/>
  <c r="J186"/>
  <c r="K186"/>
  <c r="L186"/>
  <c r="M186"/>
  <c r="N186"/>
  <c r="O186"/>
  <c r="P186"/>
  <c r="Q186"/>
  <c r="R186"/>
  <c r="S186"/>
  <c r="T186"/>
  <c r="U186"/>
  <c r="V186"/>
  <c r="W186"/>
  <c r="X186"/>
  <c r="Y186"/>
  <c r="E187"/>
  <c r="F187"/>
  <c r="G187"/>
  <c r="H187"/>
  <c r="I187"/>
  <c r="J187"/>
  <c r="K187"/>
  <c r="L187"/>
  <c r="M187"/>
  <c r="N187"/>
  <c r="O187"/>
  <c r="P187"/>
  <c r="Q187"/>
  <c r="R187"/>
  <c r="S187"/>
  <c r="T187"/>
  <c r="U187"/>
  <c r="V187"/>
  <c r="W187"/>
  <c r="X187"/>
  <c r="Y187"/>
  <c r="E188"/>
  <c r="F188"/>
  <c r="G188"/>
  <c r="H188"/>
  <c r="I188"/>
  <c r="J188"/>
  <c r="K188"/>
  <c r="L188"/>
  <c r="M188"/>
  <c r="N188"/>
  <c r="O188"/>
  <c r="P188"/>
  <c r="Q188"/>
  <c r="R188"/>
  <c r="S188"/>
  <c r="T188"/>
  <c r="U188"/>
  <c r="V188"/>
  <c r="W188"/>
  <c r="X188"/>
  <c r="Y188"/>
  <c r="E189"/>
  <c r="F189"/>
  <c r="G189"/>
  <c r="H189"/>
  <c r="I189"/>
  <c r="J189"/>
  <c r="K189"/>
  <c r="L189"/>
  <c r="M189"/>
  <c r="N189"/>
  <c r="O189"/>
  <c r="P189"/>
  <c r="Q189"/>
  <c r="R189"/>
  <c r="S189"/>
  <c r="T189"/>
  <c r="U189"/>
  <c r="V189"/>
  <c r="W189"/>
  <c r="X189"/>
  <c r="Y189"/>
  <c r="E190"/>
  <c r="F190"/>
  <c r="G190"/>
  <c r="H190"/>
  <c r="I190"/>
  <c r="J190"/>
  <c r="K190"/>
  <c r="L190"/>
  <c r="M190"/>
  <c r="N190"/>
  <c r="O190"/>
  <c r="P190"/>
  <c r="Q190"/>
  <c r="R190"/>
  <c r="S190"/>
  <c r="T190"/>
  <c r="U190"/>
  <c r="V190"/>
  <c r="W190"/>
  <c r="X190"/>
  <c r="Y190"/>
  <c r="E191"/>
  <c r="F191"/>
  <c r="G191"/>
  <c r="H191"/>
  <c r="I191"/>
  <c r="J191"/>
  <c r="K191"/>
  <c r="L191"/>
  <c r="M191"/>
  <c r="N191"/>
  <c r="O191"/>
  <c r="P191"/>
  <c r="Q191"/>
  <c r="R191"/>
  <c r="S191"/>
  <c r="T191"/>
  <c r="U191"/>
  <c r="V191"/>
  <c r="W191"/>
  <c r="X191"/>
  <c r="Y191"/>
  <c r="E192"/>
  <c r="F192"/>
  <c r="G192"/>
  <c r="H192"/>
  <c r="I192"/>
  <c r="J192"/>
  <c r="K192"/>
  <c r="L192"/>
  <c r="M192"/>
  <c r="N192"/>
  <c r="O192"/>
  <c r="P192"/>
  <c r="Q192"/>
  <c r="R192"/>
  <c r="S192"/>
  <c r="T192"/>
  <c r="U192"/>
  <c r="V192"/>
  <c r="W192"/>
  <c r="X192"/>
  <c r="Y192"/>
  <c r="E193"/>
  <c r="F193"/>
  <c r="G193"/>
  <c r="H193"/>
  <c r="I193"/>
  <c r="J193"/>
  <c r="K193"/>
  <c r="L193"/>
  <c r="M193"/>
  <c r="N193"/>
  <c r="O193"/>
  <c r="P193"/>
  <c r="Q193"/>
  <c r="R193"/>
  <c r="S193"/>
  <c r="T193"/>
  <c r="U193"/>
  <c r="V193"/>
  <c r="W193"/>
  <c r="X193"/>
  <c r="Y193"/>
  <c r="E194"/>
  <c r="F194"/>
  <c r="G194"/>
  <c r="H194"/>
  <c r="I194"/>
  <c r="J194"/>
  <c r="K194"/>
  <c r="L194"/>
  <c r="M194"/>
  <c r="N194"/>
  <c r="O194"/>
  <c r="P194"/>
  <c r="Q194"/>
  <c r="R194"/>
  <c r="S194"/>
  <c r="T194"/>
  <c r="U194"/>
  <c r="V194"/>
  <c r="W194"/>
  <c r="X194"/>
  <c r="Y194"/>
  <c r="E195"/>
  <c r="F195"/>
  <c r="G195"/>
  <c r="H195"/>
  <c r="I195"/>
  <c r="J195"/>
  <c r="K195"/>
  <c r="L195"/>
  <c r="M195"/>
  <c r="N195"/>
  <c r="O195"/>
  <c r="P195"/>
  <c r="Q195"/>
  <c r="R195"/>
  <c r="S195"/>
  <c r="T195"/>
  <c r="U195"/>
  <c r="V195"/>
  <c r="W195"/>
  <c r="X195"/>
  <c r="Y195"/>
  <c r="E196"/>
  <c r="F196"/>
  <c r="G196"/>
  <c r="H196"/>
  <c r="I196"/>
  <c r="J196"/>
  <c r="K196"/>
  <c r="L196"/>
  <c r="M196"/>
  <c r="N196"/>
  <c r="O196"/>
  <c r="P196"/>
  <c r="Q196"/>
  <c r="R196"/>
  <c r="S196"/>
  <c r="T196"/>
  <c r="U196"/>
  <c r="V196"/>
  <c r="W196"/>
  <c r="X196"/>
  <c r="Y196"/>
  <c r="E197"/>
  <c r="F197"/>
  <c r="G197"/>
  <c r="H197"/>
  <c r="I197"/>
  <c r="J197"/>
  <c r="K197"/>
  <c r="L197"/>
  <c r="M197"/>
  <c r="N197"/>
  <c r="O197"/>
  <c r="P197"/>
  <c r="Q197"/>
  <c r="R197"/>
  <c r="S197"/>
  <c r="T197"/>
  <c r="U197"/>
  <c r="V197"/>
  <c r="W197"/>
  <c r="X197"/>
  <c r="Y197"/>
  <c r="E198"/>
  <c r="F198"/>
  <c r="G198"/>
  <c r="H198"/>
  <c r="I198"/>
  <c r="J198"/>
  <c r="K198"/>
  <c r="L198"/>
  <c r="M198"/>
  <c r="N198"/>
  <c r="O198"/>
  <c r="P198"/>
  <c r="Q198"/>
  <c r="R198"/>
  <c r="S198"/>
  <c r="T198"/>
  <c r="U198"/>
  <c r="V198"/>
  <c r="W198"/>
  <c r="X198"/>
  <c r="Y198"/>
  <c r="E199"/>
  <c r="F199"/>
  <c r="G199"/>
  <c r="H199"/>
  <c r="I199"/>
  <c r="J199"/>
  <c r="K199"/>
  <c r="L199"/>
  <c r="M199"/>
  <c r="N199"/>
  <c r="O199"/>
  <c r="P199"/>
  <c r="Q199"/>
  <c r="R199"/>
  <c r="S199"/>
  <c r="T199"/>
  <c r="U199"/>
  <c r="V199"/>
  <c r="W199"/>
  <c r="X199"/>
  <c r="Y199"/>
  <c r="E200"/>
  <c r="F200"/>
  <c r="G200"/>
  <c r="H200"/>
  <c r="I200"/>
  <c r="J200"/>
  <c r="K200"/>
  <c r="L200"/>
  <c r="M200"/>
  <c r="N200"/>
  <c r="O200"/>
  <c r="P200"/>
  <c r="Q200"/>
  <c r="R200"/>
  <c r="S200"/>
  <c r="T200"/>
  <c r="U200"/>
  <c r="V200"/>
  <c r="W200"/>
  <c r="X200"/>
  <c r="Y200"/>
  <c r="E201"/>
  <c r="F201"/>
  <c r="G201"/>
  <c r="H201"/>
  <c r="I201"/>
  <c r="J201"/>
  <c r="K201"/>
  <c r="L201"/>
  <c r="M201"/>
  <c r="N201"/>
  <c r="O201"/>
  <c r="P201"/>
  <c r="Q201"/>
  <c r="R201"/>
  <c r="S201"/>
  <c r="T201"/>
  <c r="U201"/>
  <c r="V201"/>
  <c r="W201"/>
  <c r="X201"/>
  <c r="Y201"/>
  <c r="E202"/>
  <c r="F202"/>
  <c r="G202"/>
  <c r="H202"/>
  <c r="I202"/>
  <c r="J202"/>
  <c r="K202"/>
  <c r="L202"/>
  <c r="M202"/>
  <c r="N202"/>
  <c r="O202"/>
  <c r="P202"/>
  <c r="Q202"/>
  <c r="R202"/>
  <c r="S202"/>
  <c r="T202"/>
  <c r="U202"/>
  <c r="V202"/>
  <c r="W202"/>
  <c r="X202"/>
  <c r="Y202"/>
  <c r="E203"/>
  <c r="F203"/>
  <c r="G203"/>
  <c r="H203"/>
  <c r="I203"/>
  <c r="J203"/>
  <c r="K203"/>
  <c r="L203"/>
  <c r="M203"/>
  <c r="N203"/>
  <c r="O203"/>
  <c r="P203"/>
  <c r="Q203"/>
  <c r="R203"/>
  <c r="S203"/>
  <c r="T203"/>
  <c r="U203"/>
  <c r="V203"/>
  <c r="W203"/>
  <c r="X203"/>
  <c r="Y203"/>
  <c r="E204"/>
  <c r="F204"/>
  <c r="G204"/>
  <c r="H204"/>
  <c r="I204"/>
  <c r="J204"/>
  <c r="K204"/>
  <c r="L204"/>
  <c r="M204"/>
  <c r="N204"/>
  <c r="O204"/>
  <c r="P204"/>
  <c r="Q204"/>
  <c r="R204"/>
  <c r="S204"/>
  <c r="T204"/>
  <c r="U204"/>
  <c r="V204"/>
  <c r="W204"/>
  <c r="X204"/>
  <c r="Y204"/>
  <c r="E205"/>
  <c r="F205"/>
  <c r="G205"/>
  <c r="H205"/>
  <c r="I205"/>
  <c r="J205"/>
  <c r="K205"/>
  <c r="L205"/>
  <c r="M205"/>
  <c r="N205"/>
  <c r="O205"/>
  <c r="P205"/>
  <c r="Q205"/>
  <c r="R205"/>
  <c r="S205"/>
  <c r="T205"/>
  <c r="U205"/>
  <c r="V205"/>
  <c r="W205"/>
  <c r="X205"/>
  <c r="Y205"/>
  <c r="E206"/>
  <c r="F206"/>
  <c r="G206"/>
  <c r="H206"/>
  <c r="I206"/>
  <c r="J206"/>
  <c r="K206"/>
  <c r="L206"/>
  <c r="M206"/>
  <c r="N206"/>
  <c r="O206"/>
  <c r="P206"/>
  <c r="Q206"/>
  <c r="R206"/>
  <c r="S206"/>
  <c r="T206"/>
  <c r="U206"/>
  <c r="V206"/>
  <c r="W206"/>
  <c r="X206"/>
  <c r="Y206"/>
  <c r="E207"/>
  <c r="F207"/>
  <c r="G207"/>
  <c r="H207"/>
  <c r="I207"/>
  <c r="J207"/>
  <c r="K207"/>
  <c r="L207"/>
  <c r="M207"/>
  <c r="N207"/>
  <c r="O207"/>
  <c r="P207"/>
  <c r="Q207"/>
  <c r="R207"/>
  <c r="S207"/>
  <c r="T207"/>
  <c r="U207"/>
  <c r="V207"/>
  <c r="W207"/>
  <c r="X207"/>
  <c r="Y207"/>
  <c r="E208"/>
  <c r="F208"/>
  <c r="G208"/>
  <c r="H208"/>
  <c r="I208"/>
  <c r="J208"/>
  <c r="K208"/>
  <c r="L208"/>
  <c r="M208"/>
  <c r="N208"/>
  <c r="O208"/>
  <c r="P208"/>
  <c r="Q208"/>
  <c r="R208"/>
  <c r="S208"/>
  <c r="T208"/>
  <c r="U208"/>
  <c r="V208"/>
  <c r="W208"/>
  <c r="X208"/>
  <c r="Y208"/>
  <c r="E209"/>
  <c r="F209"/>
  <c r="G209"/>
  <c r="H209"/>
  <c r="I209"/>
  <c r="J209"/>
  <c r="K209"/>
  <c r="L209"/>
  <c r="M209"/>
  <c r="N209"/>
  <c r="O209"/>
  <c r="P209"/>
  <c r="Q209"/>
  <c r="R209"/>
  <c r="S209"/>
  <c r="T209"/>
  <c r="U209"/>
  <c r="V209"/>
  <c r="W209"/>
  <c r="X209"/>
  <c r="Y209"/>
  <c r="E210"/>
  <c r="F210"/>
  <c r="G210"/>
  <c r="H210"/>
  <c r="I210"/>
  <c r="J210"/>
  <c r="K210"/>
  <c r="L210"/>
  <c r="M210"/>
  <c r="N210"/>
  <c r="O210"/>
  <c r="P210"/>
  <c r="Q210"/>
  <c r="R210"/>
  <c r="S210"/>
  <c r="T210"/>
  <c r="U210"/>
  <c r="V210"/>
  <c r="W210"/>
  <c r="X210"/>
  <c r="Y210"/>
  <c r="E211"/>
  <c r="F211"/>
  <c r="G211"/>
  <c r="H211"/>
  <c r="I211"/>
  <c r="J211"/>
  <c r="K211"/>
  <c r="L211"/>
  <c r="M211"/>
  <c r="N211"/>
  <c r="O211"/>
  <c r="P211"/>
  <c r="Q211"/>
  <c r="R211"/>
  <c r="S211"/>
  <c r="T211"/>
  <c r="U211"/>
  <c r="V211"/>
  <c r="W211"/>
  <c r="X211"/>
  <c r="Y211"/>
  <c r="E212"/>
  <c r="F212"/>
  <c r="G212"/>
  <c r="H212"/>
  <c r="I212"/>
  <c r="J212"/>
  <c r="K212"/>
  <c r="L212"/>
  <c r="M212"/>
  <c r="N212"/>
  <c r="O212"/>
  <c r="P212"/>
  <c r="Q212"/>
  <c r="R212"/>
  <c r="S212"/>
  <c r="T212"/>
  <c r="U212"/>
  <c r="V212"/>
  <c r="W212"/>
  <c r="X212"/>
  <c r="Y212"/>
  <c r="E213"/>
  <c r="F213"/>
  <c r="G213"/>
  <c r="H213"/>
  <c r="I213"/>
  <c r="J213"/>
  <c r="K213"/>
  <c r="L213"/>
  <c r="M213"/>
  <c r="N213"/>
  <c r="O213"/>
  <c r="P213"/>
  <c r="Q213"/>
  <c r="R213"/>
  <c r="S213"/>
  <c r="T213"/>
  <c r="U213"/>
  <c r="V213"/>
  <c r="W213"/>
  <c r="X213"/>
  <c r="Y213"/>
  <c r="E214"/>
  <c r="F214"/>
  <c r="G214"/>
  <c r="H214"/>
  <c r="I214"/>
  <c r="J214"/>
  <c r="K214"/>
  <c r="L214"/>
  <c r="M214"/>
  <c r="N214"/>
  <c r="O214"/>
  <c r="P214"/>
  <c r="Q214"/>
  <c r="R214"/>
  <c r="S214"/>
  <c r="T214"/>
  <c r="U214"/>
  <c r="V214"/>
  <c r="W214"/>
  <c r="X214"/>
  <c r="Y214"/>
  <c r="E215"/>
  <c r="F215"/>
  <c r="G215"/>
  <c r="H215"/>
  <c r="I215"/>
  <c r="J215"/>
  <c r="K215"/>
  <c r="L215"/>
  <c r="M215"/>
  <c r="N215"/>
  <c r="O215"/>
  <c r="P215"/>
  <c r="Q215"/>
  <c r="R215"/>
  <c r="S215"/>
  <c r="T215"/>
  <c r="U215"/>
  <c r="V215"/>
  <c r="W215"/>
  <c r="X215"/>
  <c r="Y215"/>
  <c r="E216"/>
  <c r="F216"/>
  <c r="G216"/>
  <c r="H216"/>
  <c r="I216"/>
  <c r="J216"/>
  <c r="K216"/>
  <c r="L216"/>
  <c r="M216"/>
  <c r="N216"/>
  <c r="O216"/>
  <c r="P216"/>
  <c r="Q216"/>
  <c r="R216"/>
  <c r="S216"/>
  <c r="T216"/>
  <c r="U216"/>
  <c r="V216"/>
  <c r="W216"/>
  <c r="X216"/>
  <c r="Y216"/>
  <c r="E217"/>
  <c r="F217"/>
  <c r="G217"/>
  <c r="H217"/>
  <c r="I217"/>
  <c r="J217"/>
  <c r="K217"/>
  <c r="L217"/>
  <c r="M217"/>
  <c r="N217"/>
  <c r="O217"/>
  <c r="P217"/>
  <c r="Q217"/>
  <c r="R217"/>
  <c r="S217"/>
  <c r="T217"/>
  <c r="U217"/>
  <c r="V217"/>
  <c r="W217"/>
  <c r="X217"/>
  <c r="Y217"/>
  <c r="E218"/>
  <c r="F218"/>
  <c r="G218"/>
  <c r="H218"/>
  <c r="I218"/>
  <c r="J218"/>
  <c r="K218"/>
  <c r="L218"/>
  <c r="M218"/>
  <c r="N218"/>
  <c r="O218"/>
  <c r="P218"/>
  <c r="Q218"/>
  <c r="R218"/>
  <c r="S218"/>
  <c r="T218"/>
  <c r="U218"/>
  <c r="V218"/>
  <c r="W218"/>
  <c r="X218"/>
  <c r="Y218"/>
  <c r="E219"/>
  <c r="F219"/>
  <c r="G219"/>
  <c r="H219"/>
  <c r="I219"/>
  <c r="J219"/>
  <c r="K219"/>
  <c r="L219"/>
  <c r="M219"/>
  <c r="N219"/>
  <c r="O219"/>
  <c r="P219"/>
  <c r="Q219"/>
  <c r="R219"/>
  <c r="S219"/>
  <c r="T219"/>
  <c r="U219"/>
  <c r="V219"/>
  <c r="W219"/>
  <c r="X219"/>
  <c r="Y219"/>
  <c r="E220"/>
  <c r="F220"/>
  <c r="G220"/>
  <c r="H220"/>
  <c r="I220"/>
  <c r="J220"/>
  <c r="K220"/>
  <c r="L220"/>
  <c r="M220"/>
  <c r="N220"/>
  <c r="O220"/>
  <c r="P220"/>
  <c r="Q220"/>
  <c r="R220"/>
  <c r="S220"/>
  <c r="T220"/>
  <c r="U220"/>
  <c r="V220"/>
  <c r="W220"/>
  <c r="X220"/>
  <c r="Y220"/>
  <c r="E221"/>
  <c r="F221"/>
  <c r="G221"/>
  <c r="H221"/>
  <c r="I221"/>
  <c r="J221"/>
  <c r="K221"/>
  <c r="L221"/>
  <c r="M221"/>
  <c r="N221"/>
  <c r="O221"/>
  <c r="P221"/>
  <c r="Q221"/>
  <c r="R221"/>
  <c r="S221"/>
  <c r="T221"/>
  <c r="U221"/>
  <c r="V221"/>
  <c r="W221"/>
  <c r="X221"/>
  <c r="Y221"/>
  <c r="E222"/>
  <c r="F222"/>
  <c r="G222"/>
  <c r="H222"/>
  <c r="I222"/>
  <c r="J222"/>
  <c r="K222"/>
  <c r="L222"/>
  <c r="M222"/>
  <c r="N222"/>
  <c r="O222"/>
  <c r="P222"/>
  <c r="Q222"/>
  <c r="R222"/>
  <c r="S222"/>
  <c r="T222"/>
  <c r="U222"/>
  <c r="V222"/>
  <c r="W222"/>
  <c r="X222"/>
  <c r="Y222"/>
  <c r="E223"/>
  <c r="F223"/>
  <c r="G223"/>
  <c r="H223"/>
  <c r="I223"/>
  <c r="J223"/>
  <c r="K223"/>
  <c r="L223"/>
  <c r="M223"/>
  <c r="N223"/>
  <c r="O223"/>
  <c r="P223"/>
  <c r="Q223"/>
  <c r="R223"/>
  <c r="S223"/>
  <c r="T223"/>
  <c r="U223"/>
  <c r="V223"/>
  <c r="W223"/>
  <c r="X223"/>
  <c r="Y223"/>
  <c r="E224"/>
  <c r="F224"/>
  <c r="G224"/>
  <c r="H224"/>
  <c r="I224"/>
  <c r="J224"/>
  <c r="K224"/>
  <c r="L224"/>
  <c r="M224"/>
  <c r="N224"/>
  <c r="O224"/>
  <c r="P224"/>
  <c r="Q224"/>
  <c r="R224"/>
  <c r="S224"/>
  <c r="T224"/>
  <c r="U224"/>
  <c r="V224"/>
  <c r="W224"/>
  <c r="X224"/>
  <c r="Y224"/>
  <c r="E225"/>
  <c r="F225"/>
  <c r="G225"/>
  <c r="H225"/>
  <c r="I225"/>
  <c r="J225"/>
  <c r="K225"/>
  <c r="L225"/>
  <c r="M225"/>
  <c r="N225"/>
  <c r="O225"/>
  <c r="P225"/>
  <c r="Q225"/>
  <c r="R225"/>
  <c r="S225"/>
  <c r="T225"/>
  <c r="U225"/>
  <c r="V225"/>
  <c r="W225"/>
  <c r="X225"/>
  <c r="Y225"/>
  <c r="E226"/>
  <c r="F226"/>
  <c r="G226"/>
  <c r="H226"/>
  <c r="I226"/>
  <c r="J226"/>
  <c r="K226"/>
  <c r="L226"/>
  <c r="M226"/>
  <c r="N226"/>
  <c r="O226"/>
  <c r="P226"/>
  <c r="Q226"/>
  <c r="R226"/>
  <c r="S226"/>
  <c r="T226"/>
  <c r="U226"/>
  <c r="V226"/>
  <c r="W226"/>
  <c r="X226"/>
  <c r="Y226"/>
  <c r="E227"/>
  <c r="F227"/>
  <c r="G227"/>
  <c r="H227"/>
  <c r="I227"/>
  <c r="J227"/>
  <c r="K227"/>
  <c r="L227"/>
  <c r="M227"/>
  <c r="N227"/>
  <c r="O227"/>
  <c r="P227"/>
  <c r="Q227"/>
  <c r="R227"/>
  <c r="S227"/>
  <c r="T227"/>
  <c r="U227"/>
  <c r="V227"/>
  <c r="W227"/>
  <c r="X227"/>
  <c r="Y227"/>
  <c r="E228"/>
  <c r="F228"/>
  <c r="G228"/>
  <c r="H228"/>
  <c r="I228"/>
  <c r="J228"/>
  <c r="K228"/>
  <c r="L228"/>
  <c r="M228"/>
  <c r="N228"/>
  <c r="O228"/>
  <c r="P228"/>
  <c r="Q228"/>
  <c r="R228"/>
  <c r="S228"/>
  <c r="T228"/>
  <c r="U228"/>
  <c r="V228"/>
  <c r="W228"/>
  <c r="X228"/>
  <c r="Y228"/>
  <c r="E229"/>
  <c r="F229"/>
  <c r="G229"/>
  <c r="H229"/>
  <c r="I229"/>
  <c r="J229"/>
  <c r="K229"/>
  <c r="L229"/>
  <c r="M229"/>
  <c r="N229"/>
  <c r="O229"/>
  <c r="P229"/>
  <c r="Q229"/>
  <c r="R229"/>
  <c r="S229"/>
  <c r="T229"/>
  <c r="U229"/>
  <c r="V229"/>
  <c r="W229"/>
  <c r="X229"/>
  <c r="Y229"/>
  <c r="E230"/>
  <c r="F230"/>
  <c r="G230"/>
  <c r="H230"/>
  <c r="I230"/>
  <c r="J230"/>
  <c r="K230"/>
  <c r="L230"/>
  <c r="M230"/>
  <c r="N230"/>
  <c r="O230"/>
  <c r="P230"/>
  <c r="Q230"/>
  <c r="R230"/>
  <c r="S230"/>
  <c r="T230"/>
  <c r="U230"/>
  <c r="V230"/>
  <c r="W230"/>
  <c r="X230"/>
  <c r="Y230"/>
  <c r="E231"/>
  <c r="F231"/>
  <c r="G231"/>
  <c r="H231"/>
  <c r="I231"/>
  <c r="J231"/>
  <c r="K231"/>
  <c r="L231"/>
  <c r="M231"/>
  <c r="N231"/>
  <c r="O231"/>
  <c r="P231"/>
  <c r="Q231"/>
  <c r="R231"/>
  <c r="S231"/>
  <c r="T231"/>
  <c r="U231"/>
  <c r="V231"/>
  <c r="W231"/>
  <c r="X231"/>
  <c r="Y231"/>
  <c r="E232"/>
  <c r="F232"/>
  <c r="G232"/>
  <c r="H232"/>
  <c r="I232"/>
  <c r="J232"/>
  <c r="K232"/>
  <c r="L232"/>
  <c r="M232"/>
  <c r="N232"/>
  <c r="O232"/>
  <c r="P232"/>
  <c r="Q232"/>
  <c r="R232"/>
  <c r="S232"/>
  <c r="T232"/>
  <c r="U232"/>
  <c r="V232"/>
  <c r="W232"/>
  <c r="X232"/>
  <c r="Y232"/>
  <c r="E233"/>
  <c r="F233"/>
  <c r="G233"/>
  <c r="H233"/>
  <c r="I233"/>
  <c r="J233"/>
  <c r="K233"/>
  <c r="L233"/>
  <c r="M233"/>
  <c r="N233"/>
  <c r="O233"/>
  <c r="P233"/>
  <c r="Q233"/>
  <c r="R233"/>
  <c r="S233"/>
  <c r="T233"/>
  <c r="U233"/>
  <c r="V233"/>
  <c r="W233"/>
  <c r="X233"/>
  <c r="Y233"/>
  <c r="E234"/>
  <c r="F234"/>
  <c r="G234"/>
  <c r="H234"/>
  <c r="I234"/>
  <c r="J234"/>
  <c r="K234"/>
  <c r="L234"/>
  <c r="M234"/>
  <c r="N234"/>
  <c r="O234"/>
  <c r="P234"/>
  <c r="Q234"/>
  <c r="R234"/>
  <c r="S234"/>
  <c r="T234"/>
  <c r="U234"/>
  <c r="V234"/>
  <c r="W234"/>
  <c r="X234"/>
  <c r="Y234"/>
  <c r="E235"/>
  <c r="F235"/>
  <c r="G235"/>
  <c r="H235"/>
  <c r="I235"/>
  <c r="J235"/>
  <c r="K235"/>
  <c r="L235"/>
  <c r="M235"/>
  <c r="N235"/>
  <c r="O235"/>
  <c r="P235"/>
  <c r="Q235"/>
  <c r="R235"/>
  <c r="S235"/>
  <c r="T235"/>
  <c r="U235"/>
  <c r="V235"/>
  <c r="W235"/>
  <c r="X235"/>
  <c r="Y235"/>
  <c r="E236"/>
  <c r="F236"/>
  <c r="G236"/>
  <c r="H236"/>
  <c r="I236"/>
  <c r="J236"/>
  <c r="K236"/>
  <c r="L236"/>
  <c r="M236"/>
  <c r="N236"/>
  <c r="O236"/>
  <c r="P236"/>
  <c r="Q236"/>
  <c r="R236"/>
  <c r="S236"/>
  <c r="T236"/>
  <c r="U236"/>
  <c r="V236"/>
  <c r="W236"/>
  <c r="X236"/>
  <c r="Y236"/>
  <c r="E237"/>
  <c r="F237"/>
  <c r="G237"/>
  <c r="H237"/>
  <c r="I237"/>
  <c r="J237"/>
  <c r="K237"/>
  <c r="L237"/>
  <c r="M237"/>
  <c r="N237"/>
  <c r="O237"/>
  <c r="P237"/>
  <c r="Q237"/>
  <c r="R237"/>
  <c r="S237"/>
  <c r="T237"/>
  <c r="U237"/>
  <c r="V237"/>
  <c r="W237"/>
  <c r="X237"/>
  <c r="Y237"/>
  <c r="E238"/>
  <c r="F238"/>
  <c r="G238"/>
  <c r="H238"/>
  <c r="I238"/>
  <c r="J238"/>
  <c r="K238"/>
  <c r="L238"/>
  <c r="M238"/>
  <c r="N238"/>
  <c r="O238"/>
  <c r="P238"/>
  <c r="Q238"/>
  <c r="R238"/>
  <c r="S238"/>
  <c r="T238"/>
  <c r="U238"/>
  <c r="V238"/>
  <c r="W238"/>
  <c r="X238"/>
  <c r="Y238"/>
  <c r="E239"/>
  <c r="F239"/>
  <c r="G239"/>
  <c r="H239"/>
  <c r="I239"/>
  <c r="J239"/>
  <c r="K239"/>
  <c r="L239"/>
  <c r="M239"/>
  <c r="N239"/>
  <c r="O239"/>
  <c r="P239"/>
  <c r="Q239"/>
  <c r="R239"/>
  <c r="S239"/>
  <c r="T239"/>
  <c r="U239"/>
  <c r="V239"/>
  <c r="W239"/>
  <c r="X239"/>
  <c r="Y239"/>
  <c r="E240"/>
  <c r="F240"/>
  <c r="G240"/>
  <c r="H240"/>
  <c r="I240"/>
  <c r="J240"/>
  <c r="K240"/>
  <c r="L240"/>
  <c r="M240"/>
  <c r="N240"/>
  <c r="O240"/>
  <c r="P240"/>
  <c r="Q240"/>
  <c r="R240"/>
  <c r="S240"/>
  <c r="T240"/>
  <c r="U240"/>
  <c r="V240"/>
  <c r="W240"/>
  <c r="X240"/>
  <c r="Y240"/>
  <c r="E241"/>
  <c r="F241"/>
  <c r="G241"/>
  <c r="H241"/>
  <c r="I241"/>
  <c r="J241"/>
  <c r="K241"/>
  <c r="L241"/>
  <c r="M241"/>
  <c r="N241"/>
  <c r="O241"/>
  <c r="P241"/>
  <c r="Q241"/>
  <c r="R241"/>
  <c r="S241"/>
  <c r="T241"/>
  <c r="U241"/>
  <c r="V241"/>
  <c r="W241"/>
  <c r="X241"/>
  <c r="Y241"/>
  <c r="E242"/>
  <c r="F242"/>
  <c r="G242"/>
  <c r="H242"/>
  <c r="I242"/>
  <c r="J242"/>
  <c r="K242"/>
  <c r="L242"/>
  <c r="M242"/>
  <c r="N242"/>
  <c r="O242"/>
  <c r="P242"/>
  <c r="Q242"/>
  <c r="R242"/>
  <c r="S242"/>
  <c r="T242"/>
  <c r="U242"/>
  <c r="V242"/>
  <c r="W242"/>
  <c r="X242"/>
  <c r="Y242"/>
  <c r="E243"/>
  <c r="F243"/>
  <c r="G243"/>
  <c r="H243"/>
  <c r="I243"/>
  <c r="J243"/>
  <c r="K243"/>
  <c r="L243"/>
  <c r="M243"/>
  <c r="N243"/>
  <c r="O243"/>
  <c r="P243"/>
  <c r="Q243"/>
  <c r="R243"/>
  <c r="S243"/>
  <c r="T243"/>
  <c r="U243"/>
  <c r="V243"/>
  <c r="W243"/>
  <c r="X243"/>
  <c r="Y243"/>
  <c r="E244"/>
  <c r="F244"/>
  <c r="G244"/>
  <c r="H244"/>
  <c r="I244"/>
  <c r="J244"/>
  <c r="K244"/>
  <c r="L244"/>
  <c r="M244"/>
  <c r="N244"/>
  <c r="O244"/>
  <c r="P244"/>
  <c r="Q244"/>
  <c r="R244"/>
  <c r="S244"/>
  <c r="T244"/>
  <c r="U244"/>
  <c r="V244"/>
  <c r="W244"/>
  <c r="X244"/>
  <c r="Y244"/>
  <c r="E245"/>
  <c r="F245"/>
  <c r="G245"/>
  <c r="H245"/>
  <c r="I245"/>
  <c r="J245"/>
  <c r="K245"/>
  <c r="L245"/>
  <c r="M245"/>
  <c r="N245"/>
  <c r="O245"/>
  <c r="P245"/>
  <c r="Q245"/>
  <c r="R245"/>
  <c r="S245"/>
  <c r="T245"/>
  <c r="U245"/>
  <c r="V245"/>
  <c r="W245"/>
  <c r="X245"/>
  <c r="Y245"/>
  <c r="E246"/>
  <c r="F246"/>
  <c r="G246"/>
  <c r="H246"/>
  <c r="I246"/>
  <c r="J246"/>
  <c r="K246"/>
  <c r="L246"/>
  <c r="M246"/>
  <c r="N246"/>
  <c r="O246"/>
  <c r="P246"/>
  <c r="Q246"/>
  <c r="R246"/>
  <c r="S246"/>
  <c r="T246"/>
  <c r="U246"/>
  <c r="V246"/>
  <c r="W246"/>
  <c r="X246"/>
  <c r="Y246"/>
  <c r="E247"/>
  <c r="F247"/>
  <c r="G247"/>
  <c r="H247"/>
  <c r="I247"/>
  <c r="J247"/>
  <c r="K247"/>
  <c r="L247"/>
  <c r="M247"/>
  <c r="N247"/>
  <c r="O247"/>
  <c r="P247"/>
  <c r="Q247"/>
  <c r="R247"/>
  <c r="S247"/>
  <c r="T247"/>
  <c r="U247"/>
  <c r="V247"/>
  <c r="W247"/>
  <c r="X247"/>
  <c r="Y247"/>
  <c r="E248"/>
  <c r="F248"/>
  <c r="G248"/>
  <c r="H248"/>
  <c r="I248"/>
  <c r="J248"/>
  <c r="K248"/>
  <c r="L248"/>
  <c r="M248"/>
  <c r="N248"/>
  <c r="O248"/>
  <c r="P248"/>
  <c r="Q248"/>
  <c r="R248"/>
  <c r="S248"/>
  <c r="T248"/>
  <c r="U248"/>
  <c r="V248"/>
  <c r="W248"/>
  <c r="X248"/>
  <c r="Y248"/>
  <c r="E249"/>
  <c r="F249"/>
  <c r="G249"/>
  <c r="H249"/>
  <c r="I249"/>
  <c r="J249"/>
  <c r="K249"/>
  <c r="L249"/>
  <c r="M249"/>
  <c r="N249"/>
  <c r="O249"/>
  <c r="P249"/>
  <c r="Q249"/>
  <c r="R249"/>
  <c r="S249"/>
  <c r="T249"/>
  <c r="U249"/>
  <c r="V249"/>
  <c r="W249"/>
  <c r="X249"/>
  <c r="Y249"/>
  <c r="E250"/>
  <c r="F250"/>
  <c r="G250"/>
  <c r="H250"/>
  <c r="I250"/>
  <c r="J250"/>
  <c r="K250"/>
  <c r="L250"/>
  <c r="M250"/>
  <c r="N250"/>
  <c r="O250"/>
  <c r="P250"/>
  <c r="Q250"/>
  <c r="R250"/>
  <c r="S250"/>
  <c r="T250"/>
  <c r="U250"/>
  <c r="V250"/>
  <c r="W250"/>
  <c r="X250"/>
  <c r="Y250"/>
  <c r="E251"/>
  <c r="F251"/>
  <c r="G251"/>
  <c r="H251"/>
  <c r="I251"/>
  <c r="J251"/>
  <c r="K251"/>
  <c r="L251"/>
  <c r="M251"/>
  <c r="N251"/>
  <c r="O251"/>
  <c r="P251"/>
  <c r="Q251"/>
  <c r="R251"/>
  <c r="S251"/>
  <c r="T251"/>
  <c r="U251"/>
  <c r="V251"/>
  <c r="W251"/>
  <c r="X251"/>
  <c r="Y251"/>
  <c r="E252"/>
  <c r="F252"/>
  <c r="G252"/>
  <c r="H252"/>
  <c r="I252"/>
  <c r="J252"/>
  <c r="K252"/>
  <c r="L252"/>
  <c r="M252"/>
  <c r="N252"/>
  <c r="O252"/>
  <c r="P252"/>
  <c r="Q252"/>
  <c r="R252"/>
  <c r="S252"/>
  <c r="T252"/>
  <c r="U252"/>
  <c r="V252"/>
  <c r="W252"/>
  <c r="X252"/>
  <c r="Y252"/>
  <c r="E253"/>
  <c r="F253"/>
  <c r="G253"/>
  <c r="H253"/>
  <c r="I253"/>
  <c r="J253"/>
  <c r="K253"/>
  <c r="L253"/>
  <c r="M253"/>
  <c r="N253"/>
  <c r="O253"/>
  <c r="P253"/>
  <c r="Q253"/>
  <c r="R253"/>
  <c r="S253"/>
  <c r="T253"/>
  <c r="U253"/>
  <c r="V253"/>
  <c r="W253"/>
  <c r="X253"/>
  <c r="Y253"/>
  <c r="E254"/>
  <c r="F254"/>
  <c r="G254"/>
  <c r="H254"/>
  <c r="I254"/>
  <c r="J254"/>
  <c r="K254"/>
  <c r="L254"/>
  <c r="M254"/>
  <c r="N254"/>
  <c r="O254"/>
  <c r="P254"/>
  <c r="Q254"/>
  <c r="R254"/>
  <c r="S254"/>
  <c r="T254"/>
  <c r="U254"/>
  <c r="V254"/>
  <c r="W254"/>
  <c r="X254"/>
  <c r="Y254"/>
  <c r="E255"/>
  <c r="F255"/>
  <c r="G255"/>
  <c r="H255"/>
  <c r="I255"/>
  <c r="J255"/>
  <c r="K255"/>
  <c r="L255"/>
  <c r="M255"/>
  <c r="N255"/>
  <c r="O255"/>
  <c r="P255"/>
  <c r="Q255"/>
  <c r="R255"/>
  <c r="S255"/>
  <c r="T255"/>
  <c r="U255"/>
  <c r="V255"/>
  <c r="W255"/>
  <c r="X255"/>
  <c r="Y255"/>
  <c r="E256"/>
  <c r="F256"/>
  <c r="G256"/>
  <c r="H256"/>
  <c r="I256"/>
  <c r="J256"/>
  <c r="K256"/>
  <c r="L256"/>
  <c r="M256"/>
  <c r="N256"/>
  <c r="O256"/>
  <c r="P256"/>
  <c r="Q256"/>
  <c r="R256"/>
  <c r="S256"/>
  <c r="T256"/>
  <c r="U256"/>
  <c r="V256"/>
  <c r="W256"/>
  <c r="X256"/>
  <c r="Y256"/>
  <c r="E257"/>
  <c r="F257"/>
  <c r="G257"/>
  <c r="H257"/>
  <c r="I257"/>
  <c r="J257"/>
  <c r="K257"/>
  <c r="L257"/>
  <c r="M257"/>
  <c r="N257"/>
  <c r="O257"/>
  <c r="P257"/>
  <c r="Q257"/>
  <c r="R257"/>
  <c r="S257"/>
  <c r="T257"/>
  <c r="U257"/>
  <c r="V257"/>
  <c r="W257"/>
  <c r="X257"/>
  <c r="Y257"/>
  <c r="E258"/>
  <c r="F258"/>
  <c r="G258"/>
  <c r="H258"/>
  <c r="I258"/>
  <c r="J258"/>
  <c r="K258"/>
  <c r="L258"/>
  <c r="M258"/>
  <c r="N258"/>
  <c r="O258"/>
  <c r="P258"/>
  <c r="Q258"/>
  <c r="R258"/>
  <c r="S258"/>
  <c r="T258"/>
  <c r="U258"/>
  <c r="V258"/>
  <c r="W258"/>
  <c r="X258"/>
  <c r="Y258"/>
  <c r="E259"/>
  <c r="F259"/>
  <c r="G259"/>
  <c r="H259"/>
  <c r="I259"/>
  <c r="J259"/>
  <c r="K259"/>
  <c r="L259"/>
  <c r="M259"/>
  <c r="N259"/>
  <c r="O259"/>
  <c r="P259"/>
  <c r="Q259"/>
  <c r="R259"/>
  <c r="S259"/>
  <c r="T259"/>
  <c r="U259"/>
  <c r="V259"/>
  <c r="W259"/>
  <c r="X259"/>
  <c r="Y259"/>
  <c r="E260"/>
  <c r="F260"/>
  <c r="G260"/>
  <c r="H260"/>
  <c r="I260"/>
  <c r="J260"/>
  <c r="K260"/>
  <c r="L260"/>
  <c r="M260"/>
  <c r="N260"/>
  <c r="O260"/>
  <c r="P260"/>
  <c r="Q260"/>
  <c r="R260"/>
  <c r="S260"/>
  <c r="T260"/>
  <c r="U260"/>
  <c r="V260"/>
  <c r="W260"/>
  <c r="X260"/>
  <c r="Y260"/>
  <c r="E261"/>
  <c r="F261"/>
  <c r="G261"/>
  <c r="H261"/>
  <c r="I261"/>
  <c r="J261"/>
  <c r="K261"/>
  <c r="L261"/>
  <c r="M261"/>
  <c r="N261"/>
  <c r="O261"/>
  <c r="P261"/>
  <c r="Q261"/>
  <c r="R261"/>
  <c r="S261"/>
  <c r="T261"/>
  <c r="U261"/>
  <c r="V261"/>
  <c r="W261"/>
  <c r="X261"/>
  <c r="Y261"/>
  <c r="E262"/>
  <c r="F262"/>
  <c r="G262"/>
  <c r="H262"/>
  <c r="I262"/>
  <c r="J262"/>
  <c r="K262"/>
  <c r="L262"/>
  <c r="M262"/>
  <c r="N262"/>
  <c r="O262"/>
  <c r="P262"/>
  <c r="Q262"/>
  <c r="R262"/>
  <c r="S262"/>
  <c r="T262"/>
  <c r="U262"/>
  <c r="V262"/>
  <c r="W262"/>
  <c r="X262"/>
  <c r="Y262"/>
  <c r="E263"/>
  <c r="F263"/>
  <c r="G263"/>
  <c r="H263"/>
  <c r="I263"/>
  <c r="J263"/>
  <c r="K263"/>
  <c r="L263"/>
  <c r="M263"/>
  <c r="N263"/>
  <c r="O263"/>
  <c r="P263"/>
  <c r="Q263"/>
  <c r="R263"/>
  <c r="S263"/>
  <c r="T263"/>
  <c r="U263"/>
  <c r="V263"/>
  <c r="W263"/>
  <c r="X263"/>
  <c r="Y263"/>
  <c r="E264"/>
  <c r="F264"/>
  <c r="G264"/>
  <c r="H264"/>
  <c r="I264"/>
  <c r="J264"/>
  <c r="K264"/>
  <c r="L264"/>
  <c r="M264"/>
  <c r="N264"/>
  <c r="O264"/>
  <c r="P264"/>
  <c r="Q264"/>
  <c r="R264"/>
  <c r="S264"/>
  <c r="T264"/>
  <c r="U264"/>
  <c r="V264"/>
  <c r="W264"/>
  <c r="X264"/>
  <c r="Y264"/>
  <c r="E265"/>
  <c r="F265"/>
  <c r="G265"/>
  <c r="H265"/>
  <c r="I265"/>
  <c r="J265"/>
  <c r="K265"/>
  <c r="L265"/>
  <c r="M265"/>
  <c r="N265"/>
  <c r="O265"/>
  <c r="P265"/>
  <c r="Q265"/>
  <c r="R265"/>
  <c r="S265"/>
  <c r="T265"/>
  <c r="U265"/>
  <c r="V265"/>
  <c r="W265"/>
  <c r="X265"/>
  <c r="Y265"/>
  <c r="E266"/>
  <c r="F266"/>
  <c r="G266"/>
  <c r="H266"/>
  <c r="I266"/>
  <c r="J266"/>
  <c r="K266"/>
  <c r="L266"/>
  <c r="M266"/>
  <c r="N266"/>
  <c r="O266"/>
  <c r="P266"/>
  <c r="Q266"/>
  <c r="R266"/>
  <c r="S266"/>
  <c r="T266"/>
  <c r="U266"/>
  <c r="V266"/>
  <c r="W266"/>
  <c r="X266"/>
  <c r="Y266"/>
  <c r="E267"/>
  <c r="F267"/>
  <c r="G267"/>
  <c r="H267"/>
  <c r="I267"/>
  <c r="J267"/>
  <c r="K267"/>
  <c r="L267"/>
  <c r="M267"/>
  <c r="N267"/>
  <c r="O267"/>
  <c r="P267"/>
  <c r="Q267"/>
  <c r="R267"/>
  <c r="S267"/>
  <c r="T267"/>
  <c r="U267"/>
  <c r="V267"/>
  <c r="W267"/>
  <c r="X267"/>
  <c r="Y267"/>
  <c r="E268"/>
  <c r="F268"/>
  <c r="G268"/>
  <c r="H268"/>
  <c r="I268"/>
  <c r="J268"/>
  <c r="K268"/>
  <c r="L268"/>
  <c r="M268"/>
  <c r="N268"/>
  <c r="O268"/>
  <c r="P268"/>
  <c r="Q268"/>
  <c r="R268"/>
  <c r="S268"/>
  <c r="T268"/>
  <c r="U268"/>
  <c r="V268"/>
  <c r="W268"/>
  <c r="X268"/>
  <c r="Y268"/>
  <c r="E269"/>
  <c r="F269"/>
  <c r="G269"/>
  <c r="H269"/>
  <c r="I269"/>
  <c r="J269"/>
  <c r="K269"/>
  <c r="L269"/>
  <c r="M269"/>
  <c r="N269"/>
  <c r="O269"/>
  <c r="P269"/>
  <c r="Q269"/>
  <c r="R269"/>
  <c r="S269"/>
  <c r="T269"/>
  <c r="U269"/>
  <c r="V269"/>
  <c r="W269"/>
  <c r="X269"/>
  <c r="Y269"/>
  <c r="E270"/>
  <c r="F270"/>
  <c r="G270"/>
  <c r="H270"/>
  <c r="I270"/>
  <c r="J270"/>
  <c r="K270"/>
  <c r="L270"/>
  <c r="M270"/>
  <c r="N270"/>
  <c r="O270"/>
  <c r="P270"/>
  <c r="Q270"/>
  <c r="R270"/>
  <c r="S270"/>
  <c r="T270"/>
  <c r="U270"/>
  <c r="V270"/>
  <c r="W270"/>
  <c r="X270"/>
  <c r="Y270"/>
  <c r="E271"/>
  <c r="F271"/>
  <c r="G271"/>
  <c r="H271"/>
  <c r="I271"/>
  <c r="J271"/>
  <c r="K271"/>
  <c r="L271"/>
  <c r="M271"/>
  <c r="N271"/>
  <c r="O271"/>
  <c r="P271"/>
  <c r="Q271"/>
  <c r="R271"/>
  <c r="S271"/>
  <c r="T271"/>
  <c r="U271"/>
  <c r="V271"/>
  <c r="W271"/>
  <c r="X271"/>
  <c r="Y271"/>
  <c r="E272"/>
  <c r="F272"/>
  <c r="G272"/>
  <c r="H272"/>
  <c r="I272"/>
  <c r="J272"/>
  <c r="K272"/>
  <c r="L272"/>
  <c r="M272"/>
  <c r="N272"/>
  <c r="O272"/>
  <c r="P272"/>
  <c r="Q272"/>
  <c r="R272"/>
  <c r="S272"/>
  <c r="T272"/>
  <c r="U272"/>
  <c r="V272"/>
  <c r="W272"/>
  <c r="X272"/>
  <c r="Y272"/>
  <c r="E273"/>
  <c r="F273"/>
  <c r="G273"/>
  <c r="H273"/>
  <c r="I273"/>
  <c r="J273"/>
  <c r="K273"/>
  <c r="L273"/>
  <c r="M273"/>
  <c r="N273"/>
  <c r="O273"/>
  <c r="P273"/>
  <c r="Q273"/>
  <c r="R273"/>
  <c r="S273"/>
  <c r="T273"/>
  <c r="U273"/>
  <c r="V273"/>
  <c r="W273"/>
  <c r="X273"/>
  <c r="Y273"/>
  <c r="E274"/>
  <c r="F274"/>
  <c r="G274"/>
  <c r="H274"/>
  <c r="I274"/>
  <c r="J274"/>
  <c r="K274"/>
  <c r="L274"/>
  <c r="M274"/>
  <c r="N274"/>
  <c r="O274"/>
  <c r="P274"/>
  <c r="Q274"/>
  <c r="R274"/>
  <c r="S274"/>
  <c r="T274"/>
  <c r="U274"/>
  <c r="V274"/>
  <c r="W274"/>
  <c r="X274"/>
  <c r="Y274"/>
  <c r="E275"/>
  <c r="F275"/>
  <c r="G275"/>
  <c r="H275"/>
  <c r="I275"/>
  <c r="J275"/>
  <c r="K275"/>
  <c r="L275"/>
  <c r="M275"/>
  <c r="N275"/>
  <c r="O275"/>
  <c r="P275"/>
  <c r="Q275"/>
  <c r="R275"/>
  <c r="S275"/>
  <c r="T275"/>
  <c r="U275"/>
  <c r="V275"/>
  <c r="W275"/>
  <c r="X275"/>
  <c r="Y275"/>
  <c r="E276"/>
  <c r="F276"/>
  <c r="G276"/>
  <c r="H276"/>
  <c r="I276"/>
  <c r="J276"/>
  <c r="K276"/>
  <c r="L276"/>
  <c r="M276"/>
  <c r="N276"/>
  <c r="O276"/>
  <c r="P276"/>
  <c r="Q276"/>
  <c r="R276"/>
  <c r="S276"/>
  <c r="T276"/>
  <c r="U276"/>
  <c r="V276"/>
  <c r="W276"/>
  <c r="X276"/>
  <c r="Y276"/>
  <c r="E277"/>
  <c r="F277"/>
  <c r="G277"/>
  <c r="H277"/>
  <c r="I277"/>
  <c r="J277"/>
  <c r="K277"/>
  <c r="L277"/>
  <c r="M277"/>
  <c r="N277"/>
  <c r="O277"/>
  <c r="P277"/>
  <c r="Q277"/>
  <c r="R277"/>
  <c r="S277"/>
  <c r="T277"/>
  <c r="U277"/>
  <c r="V277"/>
  <c r="W277"/>
  <c r="X277"/>
  <c r="Y277"/>
  <c r="E278"/>
  <c r="F278"/>
  <c r="G278"/>
  <c r="H278"/>
  <c r="I278"/>
  <c r="J278"/>
  <c r="K278"/>
  <c r="L278"/>
  <c r="M278"/>
  <c r="N278"/>
  <c r="O278"/>
  <c r="P278"/>
  <c r="Q278"/>
  <c r="R278"/>
  <c r="S278"/>
  <c r="T278"/>
  <c r="U278"/>
  <c r="V278"/>
  <c r="W278"/>
  <c r="X278"/>
  <c r="Y278"/>
  <c r="E279"/>
  <c r="F279"/>
  <c r="G279"/>
  <c r="H279"/>
  <c r="I279"/>
  <c r="J279"/>
  <c r="K279"/>
  <c r="L279"/>
  <c r="M279"/>
  <c r="N279"/>
  <c r="O279"/>
  <c r="P279"/>
  <c r="Q279"/>
  <c r="R279"/>
  <c r="S279"/>
  <c r="T279"/>
  <c r="U279"/>
  <c r="V279"/>
  <c r="W279"/>
  <c r="X279"/>
  <c r="Y279"/>
  <c r="E280"/>
  <c r="F280"/>
  <c r="G280"/>
  <c r="H280"/>
  <c r="I280"/>
  <c r="J280"/>
  <c r="K280"/>
  <c r="L280"/>
  <c r="M280"/>
  <c r="N280"/>
  <c r="O280"/>
  <c r="P280"/>
  <c r="Q280"/>
  <c r="R280"/>
  <c r="S280"/>
  <c r="T280"/>
  <c r="U280"/>
  <c r="V280"/>
  <c r="W280"/>
  <c r="X280"/>
  <c r="Y280"/>
  <c r="E281"/>
  <c r="F281"/>
  <c r="G281"/>
  <c r="H281"/>
  <c r="I281"/>
  <c r="J281"/>
  <c r="K281"/>
  <c r="L281"/>
  <c r="M281"/>
  <c r="N281"/>
  <c r="O281"/>
  <c r="P281"/>
  <c r="Q281"/>
  <c r="R281"/>
  <c r="S281"/>
  <c r="T281"/>
  <c r="U281"/>
  <c r="V281"/>
  <c r="W281"/>
  <c r="X281"/>
  <c r="Y281"/>
  <c r="E282"/>
  <c r="F282"/>
  <c r="G282"/>
  <c r="H282"/>
  <c r="I282"/>
  <c r="J282"/>
  <c r="K282"/>
  <c r="L282"/>
  <c r="M282"/>
  <c r="N282"/>
  <c r="O282"/>
  <c r="P282"/>
  <c r="Q282"/>
  <c r="R282"/>
  <c r="S282"/>
  <c r="T282"/>
  <c r="U282"/>
  <c r="V282"/>
  <c r="W282"/>
  <c r="X282"/>
  <c r="Y282"/>
  <c r="E283"/>
  <c r="F283"/>
  <c r="G283"/>
  <c r="H283"/>
  <c r="I283"/>
  <c r="J283"/>
  <c r="K283"/>
  <c r="L283"/>
  <c r="M283"/>
  <c r="N283"/>
  <c r="O283"/>
  <c r="P283"/>
  <c r="Q283"/>
  <c r="R283"/>
  <c r="S283"/>
  <c r="T283"/>
  <c r="U283"/>
  <c r="V283"/>
  <c r="W283"/>
  <c r="X283"/>
  <c r="Y283"/>
  <c r="E284"/>
  <c r="F284"/>
  <c r="G284"/>
  <c r="H284"/>
  <c r="I284"/>
  <c r="J284"/>
  <c r="K284"/>
  <c r="L284"/>
  <c r="M284"/>
  <c r="N284"/>
  <c r="O284"/>
  <c r="P284"/>
  <c r="Q284"/>
  <c r="R284"/>
  <c r="S284"/>
  <c r="T284"/>
  <c r="U284"/>
  <c r="V284"/>
  <c r="W284"/>
  <c r="X284"/>
  <c r="Y284"/>
  <c r="E285"/>
  <c r="F285"/>
  <c r="G285"/>
  <c r="H285"/>
  <c r="I285"/>
  <c r="J285"/>
  <c r="K285"/>
  <c r="L285"/>
  <c r="M285"/>
  <c r="N285"/>
  <c r="O285"/>
  <c r="P285"/>
  <c r="Q285"/>
  <c r="R285"/>
  <c r="S285"/>
  <c r="T285"/>
  <c r="U285"/>
  <c r="V285"/>
  <c r="W285"/>
  <c r="X285"/>
  <c r="Y285"/>
  <c r="E286"/>
  <c r="F286"/>
  <c r="G286"/>
  <c r="H286"/>
  <c r="I286"/>
  <c r="J286"/>
  <c r="K286"/>
  <c r="L286"/>
  <c r="M286"/>
  <c r="N286"/>
  <c r="O286"/>
  <c r="P286"/>
  <c r="Q286"/>
  <c r="R286"/>
  <c r="S286"/>
  <c r="T286"/>
  <c r="U286"/>
  <c r="V286"/>
  <c r="W286"/>
  <c r="X286"/>
  <c r="Y286"/>
  <c r="E287"/>
  <c r="F287"/>
  <c r="G287"/>
  <c r="H287"/>
  <c r="I287"/>
  <c r="J287"/>
  <c r="K287"/>
  <c r="L287"/>
  <c r="M287"/>
  <c r="N287"/>
  <c r="O287"/>
  <c r="P287"/>
  <c r="Q287"/>
  <c r="R287"/>
  <c r="S287"/>
  <c r="T287"/>
  <c r="U287"/>
  <c r="V287"/>
  <c r="W287"/>
  <c r="X287"/>
  <c r="Y287"/>
  <c r="E288"/>
  <c r="F288"/>
  <c r="G288"/>
  <c r="H288"/>
  <c r="I288"/>
  <c r="J288"/>
  <c r="K288"/>
  <c r="L288"/>
  <c r="M288"/>
  <c r="N288"/>
  <c r="O288"/>
  <c r="P288"/>
  <c r="Q288"/>
  <c r="R288"/>
  <c r="S288"/>
  <c r="T288"/>
  <c r="U288"/>
  <c r="V288"/>
  <c r="W288"/>
  <c r="X288"/>
  <c r="Y288"/>
  <c r="E289"/>
  <c r="F289"/>
  <c r="G289"/>
  <c r="H289"/>
  <c r="I289"/>
  <c r="J289"/>
  <c r="K289"/>
  <c r="L289"/>
  <c r="M289"/>
  <c r="N289"/>
  <c r="O289"/>
  <c r="P289"/>
  <c r="Q289"/>
  <c r="R289"/>
  <c r="S289"/>
  <c r="T289"/>
  <c r="U289"/>
  <c r="V289"/>
  <c r="W289"/>
  <c r="X289"/>
  <c r="Y289"/>
  <c r="E290"/>
  <c r="F290"/>
  <c r="G290"/>
  <c r="H290"/>
  <c r="I290"/>
  <c r="J290"/>
  <c r="K290"/>
  <c r="L290"/>
  <c r="M290"/>
  <c r="N290"/>
  <c r="O290"/>
  <c r="P290"/>
  <c r="Q290"/>
  <c r="R290"/>
  <c r="S290"/>
  <c r="T290"/>
  <c r="U290"/>
  <c r="V290"/>
  <c r="W290"/>
  <c r="X290"/>
  <c r="Y290"/>
  <c r="E291"/>
  <c r="F291"/>
  <c r="G291"/>
  <c r="H291"/>
  <c r="I291"/>
  <c r="J291"/>
  <c r="K291"/>
  <c r="L291"/>
  <c r="M291"/>
  <c r="N291"/>
  <c r="O291"/>
  <c r="P291"/>
  <c r="Q291"/>
  <c r="R291"/>
  <c r="S291"/>
  <c r="T291"/>
  <c r="U291"/>
  <c r="V291"/>
  <c r="W291"/>
  <c r="X291"/>
  <c r="Y291"/>
  <c r="E292"/>
  <c r="F292"/>
  <c r="G292"/>
  <c r="H292"/>
  <c r="I292"/>
  <c r="J292"/>
  <c r="K292"/>
  <c r="L292"/>
  <c r="M292"/>
  <c r="N292"/>
  <c r="O292"/>
  <c r="P292"/>
  <c r="Q292"/>
  <c r="R292"/>
  <c r="S292"/>
  <c r="T292"/>
  <c r="U292"/>
  <c r="V292"/>
  <c r="W292"/>
  <c r="X292"/>
  <c r="Y292"/>
  <c r="E293"/>
  <c r="F293"/>
  <c r="G293"/>
  <c r="H293"/>
  <c r="I293"/>
  <c r="J293"/>
  <c r="K293"/>
  <c r="L293"/>
  <c r="M293"/>
  <c r="N293"/>
  <c r="O293"/>
  <c r="P293"/>
  <c r="Q293"/>
  <c r="R293"/>
  <c r="S293"/>
  <c r="T293"/>
  <c r="U293"/>
  <c r="V293"/>
  <c r="W293"/>
  <c r="X293"/>
  <c r="Y293"/>
  <c r="E294"/>
  <c r="F294"/>
  <c r="G294"/>
  <c r="H294"/>
  <c r="I294"/>
  <c r="J294"/>
  <c r="K294"/>
  <c r="L294"/>
  <c r="M294"/>
  <c r="N294"/>
  <c r="O294"/>
  <c r="P294"/>
  <c r="Q294"/>
  <c r="R294"/>
  <c r="S294"/>
  <c r="T294"/>
  <c r="U294"/>
  <c r="V294"/>
  <c r="W294"/>
  <c r="X294"/>
  <c r="Y294"/>
  <c r="E295"/>
  <c r="F295"/>
  <c r="G295"/>
  <c r="H295"/>
  <c r="I295"/>
  <c r="J295"/>
  <c r="K295"/>
  <c r="L295"/>
  <c r="M295"/>
  <c r="N295"/>
  <c r="O295"/>
  <c r="P295"/>
  <c r="Q295"/>
  <c r="R295"/>
  <c r="S295"/>
  <c r="T295"/>
  <c r="U295"/>
  <c r="V295"/>
  <c r="W295"/>
  <c r="X295"/>
  <c r="Y295"/>
  <c r="E296"/>
  <c r="F296"/>
  <c r="G296"/>
  <c r="H296"/>
  <c r="I296"/>
  <c r="J296"/>
  <c r="K296"/>
  <c r="L296"/>
  <c r="M296"/>
  <c r="N296"/>
  <c r="O296"/>
  <c r="P296"/>
  <c r="Q296"/>
  <c r="R296"/>
  <c r="S296"/>
  <c r="T296"/>
  <c r="U296"/>
  <c r="V296"/>
  <c r="W296"/>
  <c r="X296"/>
  <c r="Y296"/>
  <c r="E297"/>
  <c r="F297"/>
  <c r="G297"/>
  <c r="H297"/>
  <c r="I297"/>
  <c r="J297"/>
  <c r="K297"/>
  <c r="L297"/>
  <c r="M297"/>
  <c r="N297"/>
  <c r="O297"/>
  <c r="P297"/>
  <c r="Q297"/>
  <c r="R297"/>
  <c r="S297"/>
  <c r="T297"/>
  <c r="U297"/>
  <c r="V297"/>
  <c r="W297"/>
  <c r="X297"/>
  <c r="Y297"/>
  <c r="E298"/>
  <c r="F298"/>
  <c r="G298"/>
  <c r="H298"/>
  <c r="I298"/>
  <c r="J298"/>
  <c r="K298"/>
  <c r="L298"/>
  <c r="M298"/>
  <c r="N298"/>
  <c r="O298"/>
  <c r="P298"/>
  <c r="Q298"/>
  <c r="R298"/>
  <c r="S298"/>
  <c r="T298"/>
  <c r="U298"/>
  <c r="V298"/>
  <c r="W298"/>
  <c r="X298"/>
  <c r="Y298"/>
  <c r="E299"/>
  <c r="F299"/>
  <c r="G299"/>
  <c r="H299"/>
  <c r="I299"/>
  <c r="J299"/>
  <c r="K299"/>
  <c r="L299"/>
  <c r="M299"/>
  <c r="N299"/>
  <c r="O299"/>
  <c r="P299"/>
  <c r="Q299"/>
  <c r="R299"/>
  <c r="S299"/>
  <c r="T299"/>
  <c r="U299"/>
  <c r="V299"/>
  <c r="W299"/>
  <c r="X299"/>
  <c r="Y299"/>
  <c r="E300"/>
  <c r="F300"/>
  <c r="G300"/>
  <c r="H300"/>
  <c r="I300"/>
  <c r="J300"/>
  <c r="K300"/>
  <c r="L300"/>
  <c r="M300"/>
  <c r="N300"/>
  <c r="O300"/>
  <c r="P300"/>
  <c r="Q300"/>
  <c r="R300"/>
  <c r="S300"/>
  <c r="T300"/>
  <c r="U300"/>
  <c r="V300"/>
  <c r="W300"/>
  <c r="X300"/>
  <c r="Y300"/>
</calcChain>
</file>

<file path=xl/sharedStrings.xml><?xml version="1.0" encoding="utf-8"?>
<sst xmlns="http://schemas.openxmlformats.org/spreadsheetml/2006/main" count="81" uniqueCount="68">
  <si>
    <t>Sample Size Determination</t>
  </si>
  <si>
    <t>Evaluation of Results</t>
  </si>
  <si>
    <t>INPUTS</t>
  </si>
  <si>
    <t>Required Sample Size</t>
  </si>
  <si>
    <t>Risk of Assessing Control Risk Too Low (RACRTL)</t>
  </si>
  <si>
    <t>RACRTL</t>
  </si>
  <si>
    <t>Upper Limit</t>
  </si>
  <si>
    <t>Number</t>
  </si>
  <si>
    <t>Sample Item</t>
  </si>
  <si>
    <t>Program Development:</t>
  </si>
  <si>
    <t>Program Purpose:</t>
  </si>
  <si>
    <t>Note Number</t>
  </si>
  <si>
    <t xml:space="preserve"> </t>
  </si>
  <si>
    <t>Help on Using the SampleCalc Worksheet</t>
  </si>
  <si>
    <t>Required Inputs</t>
  </si>
  <si>
    <t>Sample Size and Critical Value</t>
  </si>
  <si>
    <t>Restrictions and Limitations</t>
  </si>
  <si>
    <t>Extra Items Input</t>
  </si>
  <si>
    <t>Lowest/Highest Values Input</t>
  </si>
  <si>
    <t>Printing the worksheet</t>
  </si>
  <si>
    <t>Starting Over</t>
  </si>
  <si>
    <t>Explanations, Instructions, and Help on Using this Spreadsheet</t>
  </si>
  <si>
    <t>Additional Help:</t>
  </si>
  <si>
    <t>Printing Worksheet</t>
  </si>
  <si>
    <t>The print range for the SampleCalc worksheet has been set so that the user can use normal Excel print commands and print a form with the Required Sample Size, Critical Value, and Evaluation of Results information in a format suitable for inclusion in the auditor's working papers.</t>
  </si>
  <si>
    <t xml:space="preserve">Once the Required Sample Size has been determined, click on the "Generate Random Sample" button to generate a random set of specific sample items in a printable worksheet format.  </t>
  </si>
  <si>
    <t>Help on Using the "Generate Random Sample" button and the SamplePrint Worksheet</t>
  </si>
  <si>
    <t>Population Size</t>
  </si>
  <si>
    <t>Critical Value (maximum allowable exceptions)</t>
  </si>
  <si>
    <t>Actual Number of Exceptions</t>
  </si>
  <si>
    <t>Extra</t>
  </si>
  <si>
    <t>Exception?</t>
  </si>
  <si>
    <t>Microsoft Excel 2007</t>
  </si>
  <si>
    <t>Enable Macros</t>
  </si>
  <si>
    <t>The spreadsheet will then generate and sort the randomly selected sample. Extra sample items will also be generated. The sample items are displayed in a printable format. The printable worksheet headings are set through the use of the "Header" formatting capability of Excel and may be changed at the discretion of the user. The printable worksheet is set through the use of a macro that generates the random sample items; modification of the macro would require the user to have a thorough understanding of macros and Visual Basic for Applications. The user may use normal print commands to print the worksheet containing the selected sample items.</t>
  </si>
  <si>
    <t>The user may start over, calculate a new sample size for another test of controls, generate a different set of random sample items, change the desired number of extra sample items, or modify the lowest and highest sample values by clicking on the SampleCalc tab to return to the calculation worksheet and changing the input values for either the sample size determination or the sample generation function. The SamplePrint worksheet is only modified by clicking on the "Generate Random Sample" button on the SampleCalc worksheet.</t>
  </si>
  <si>
    <t>Instructions: Enter required inputs in cells B9, B10, B11, and B12 and click the 'Calculate Sample Size' button. Click the 'Generate Random Sample' button to generate a random sample. For more information on using this worksheet, click on the 'Additional Help' button.</t>
  </si>
  <si>
    <t>Worksheet for Test of Controls</t>
  </si>
  <si>
    <t>(based on hypergeometric distribution)</t>
  </si>
  <si>
    <t>Expected Population Exception Rate (EPER)</t>
  </si>
  <si>
    <t>Tolerable Exception Rate (TER)</t>
  </si>
  <si>
    <t>This program generates the optimum (minimum) sample size to be used for tests of controls based upon inputs provided by the user. The program is based on a modified version of the AICPA upper-limit method that utilizes the hypergeometric probability distribution (instead of the binomial probability distribution). Because it is based on the hypergeometric probability distribution, it is appropriate for populations of any size and when sampling is without replacement. The program is also capable of generating a random sample upon which tests of controls may be performed.</t>
  </si>
  <si>
    <t>"Generate Random Sample" Button</t>
  </si>
  <si>
    <t>Worksheet Protection</t>
  </si>
  <si>
    <t>All cells on the SampleCalc worksheet (with the exception of Cells B9, B10, B11, and B12) are protected to prevent inadvertent alteration by the user. We recommend that the user open the file, enter the inputs, print out the information needed, and close the file without saving over the original file.</t>
  </si>
  <si>
    <t xml:space="preserve">To use the SampleCalc worksheet, the user must enter the population size in Cell B9. If the population size exceeds 100,000 or is unknown, a value of 100,000 should be entered in Cell B9. The user also must enter in Cell B10 an estimate of the exception rate that is expected to exist in the population being tested (Expected Population Exception Rate, or EPER) and in Cell B11 the maximum exception rate in the population that the user is willing to accept (Tolerable Exception Rate, or TER). In using sampling to test controls, as with any other sampling application, there is a risk that the sample results will indicate that the controls are effective when in reality they are not effective. This risk is referred to as the Risk of Assessing Control Risk Too Low (RACRTL). The user must enter in Cell B12 the maximum amount of this risk that can be accepted. Refer to the article cited under "Additional Help" for more explanation regarding these inputs. </t>
  </si>
  <si>
    <t>Once the required inputs have been entered, click the "Calculate Sample Size" button. A macro will be invoked that will calculate, based on the values of the inputs, the required (minimum) sample size that must be used to ensure that the RACRTL is no greater than the pre-defined maximum acceptable risk. A Critical Value is also generated that represents the maximum number of exceptions that may be found in the sample that would support reliance on the control based on the specified values for TER and RACRTL.</t>
  </si>
  <si>
    <t>Two columns (RACRTL and Upper Limit) are shown under "Evaluation of Results" to assist the user in evaluating the sample results. RACRTL indicates the risk that the population exception rate could exceed the specified TER (Cell B11), given the actual number of exceptions found in the sample. The Upper Limit is the maximum population exception rate associated with the user-defined RACRTL (Cell B12). For example, if the RACRTL is 5% and the upper limit value is 7.6% for three exceptions, it can be stated that if three exceptions are found in the sample, there is only a 5% chance that the true population exception rate exceeds 7.6%. In other words, the user can be 95% confident (100% - 5% RACRTL) that the true exception rate does not exceed 7.6%. This information may be used in deciding how much reliance should be placed on the control. The worksheet presents the RACRTL and Upper Limit for all actual exceptions that may be found in the sample up to and including two more than the Critical Value.</t>
  </si>
  <si>
    <t>Input values (other than the population size) are restricted to values between 0% and 25%. The maximum sample size that can be generated by the spreadsheet is 300, since larger sample sizes most likely will not be cost effective. The maximum number of exceptions that can be displayed by the worksheet is 20.</t>
  </si>
  <si>
    <t xml:space="preserve">Once the "Generate Random Sample" button is clicked, the user will be asked three questions. The first question allows the user to request extra sample items. Extra sample items are sometimes needed because an item selected for sampling as part of the original sample may not be usable (e.g., a voided check). The sample will be generated randomly based on sampling without replacement, which is consistent with the hypergeometric distribution. Up to 30 extra sample items may be requested. The extra items are presented separately from the original sample items and are denoted by the word "Extra". Extra sample items should be used in the order in which they are drawn, and consequently, are not sorted. </t>
  </si>
  <si>
    <t>The next two questions ask the user to input the lowest and highest values from which the sample is to be drawn. These values will be obtained from the population being tested and may include items such as invoice numbers, purchase order numbers, account numbers, etc. For example, if the user wants to pull a sample from a population of 1,000 receiving reports numbered from 5001 through 6000, then 5001 and 6000 would be entered as the lowest and highest values, respectively. Sample items numbered within this range (inclusive) would be generated and sorted. The user may enter 1 as the lowest value and the population size as the highest value if the user wants numbers generated that would permit the selection of sample items by counting in order (e.g., if "17" is generated as a sample item, the 17th item in the population of items would be selected). The low value must be greater than zero, and the high value must be greater than the low value.</t>
  </si>
  <si>
    <t>This spreadsheet is designed for use with Microsoft Excel 2007 and later versions, but may not perform properly with earlier versions of Excel.</t>
  </si>
  <si>
    <t>The user must enable macros for the program to work (Excel usually disables macros by default when a spreadsheet is opened). Most users will see a Security Warning near the top of the screen. Click on "Options", then follow the prompts to enable macros. Users who do not see this security warning should use Excel's help menu for instructions on how to enable macros before proceeding.</t>
  </si>
  <si>
    <t>Troubleshooting</t>
  </si>
  <si>
    <t>Some users may encounter a “circular reference” error when they first use the spreadsheet. If this situation occurs, it can be easily remedied by following these steps:</t>
  </si>
  <si>
    <t>1. Open the spreadsheet in Excel, and enable macros as discussed in cell B14.</t>
  </si>
  <si>
    <t>2. An error message about the circular reference will appear -- click on cancel.</t>
  </si>
  <si>
    <t>3. Click on the big round button in the top left corner of the screen.</t>
  </si>
  <si>
    <t>4. At the bottom of the window that pops up, click on the "Excel Options" button.</t>
  </si>
  <si>
    <t>5. On the next popup screen, click on the word "Formulas" on the left side of the screen.</t>
  </si>
  <si>
    <t>6. In the "Calculation options" section, at the top of the screen, click on the "Manual" button to select manual calculation. Make sure a checkmark appears to the left of "Recalculate workbook before saving."</t>
  </si>
  <si>
    <t>7. Click on the "Enable iterative calculation" box -- a checkmark will appear.</t>
  </si>
  <si>
    <t>8. Set the "Maximum Iterations" box to 299.</t>
  </si>
  <si>
    <t>9. In the "Maximum Change" box, enter 1.</t>
  </si>
  <si>
    <t>10. Click "ok."</t>
  </si>
  <si>
    <t>Once these changes are made, save the file and use this file as the starting point for future use. By doing so, these changes to the Excel settings should attach to the file, which will override the default settings on the user’s computer and prevent the need to repeat these steps in the future.</t>
  </si>
  <si>
    <t>This spreadsheet program was developed by Bruce Wampler and Michelle McEacharn. Bruce (bruce-wampler@utc.edu) is an Associate Professor of Accounting at The University of Tennessee at Chattanooga. Michelle (mceacharn@ulm.edu) is a Professor of Accounting and Associate Dean for Academics at The University of Louisiana at Monroe.</t>
  </si>
  <si>
    <r>
      <t xml:space="preserve">Refer to "A Better Spreadsheet for Tests of Controls: Leveraging Technology for More Efficient Audits" in the April 2011 issue (pages 2-7) of </t>
    </r>
    <r>
      <rPr>
        <i/>
        <sz val="8"/>
        <rFont val="Arial"/>
        <family val="2"/>
      </rPr>
      <t xml:space="preserve">The CPA Journal </t>
    </r>
    <r>
      <rPr>
        <sz val="8"/>
        <rFont val="Arial"/>
        <family val="2"/>
      </rPr>
      <t xml:space="preserve">for more information on performing tests of controls and using this spreadsheet. </t>
    </r>
  </si>
</sst>
</file>

<file path=xl/styles.xml><?xml version="1.0" encoding="utf-8"?>
<styleSheet xmlns="http://schemas.openxmlformats.org/spreadsheetml/2006/main">
  <numFmts count="1">
    <numFmt numFmtId="164" formatCode="0.0%"/>
  </numFmts>
  <fonts count="9">
    <font>
      <sz val="10"/>
      <name val="Arial"/>
    </font>
    <font>
      <b/>
      <sz val="10"/>
      <name val="Arial"/>
      <family val="2"/>
    </font>
    <font>
      <u/>
      <sz val="10"/>
      <name val="Arial"/>
      <family val="2"/>
    </font>
    <font>
      <b/>
      <u/>
      <sz val="10"/>
      <name val="Arial"/>
      <family val="2"/>
    </font>
    <font>
      <i/>
      <sz val="10"/>
      <name val="Arial"/>
      <family val="2"/>
    </font>
    <font>
      <sz val="8"/>
      <name val="Arial"/>
      <family val="2"/>
    </font>
    <font>
      <i/>
      <sz val="8"/>
      <name val="Arial"/>
      <family val="2"/>
    </font>
    <font>
      <b/>
      <sz val="8"/>
      <name val="Arial"/>
      <family val="2"/>
    </font>
    <font>
      <sz val="10"/>
      <name val="Arial"/>
      <family val="2"/>
    </font>
  </fonts>
  <fills count="2">
    <fill>
      <patternFill patternType="none"/>
    </fill>
    <fill>
      <patternFill patternType="gray125"/>
    </fill>
  </fills>
  <borders count="4">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8" fillId="0" borderId="0"/>
    <xf numFmtId="0" fontId="8" fillId="0" borderId="0"/>
    <xf numFmtId="0" fontId="8" fillId="0" borderId="0"/>
    <xf numFmtId="0" fontId="8" fillId="0" borderId="0"/>
  </cellStyleXfs>
  <cellXfs count="38">
    <xf numFmtId="0" fontId="0" fillId="0" borderId="0" xfId="0"/>
    <xf numFmtId="10" fontId="0" fillId="0" borderId="0" xfId="0" applyNumberFormat="1"/>
    <xf numFmtId="0" fontId="0" fillId="0" borderId="0" xfId="0" applyAlignment="1">
      <alignment horizontal="center"/>
    </xf>
    <xf numFmtId="0" fontId="0" fillId="0" borderId="0" xfId="0" applyAlignment="1">
      <alignment horizontal="right"/>
    </xf>
    <xf numFmtId="0" fontId="2" fillId="0" borderId="0" xfId="0" applyFont="1" applyAlignment="1">
      <alignment horizontal="center"/>
    </xf>
    <xf numFmtId="10" fontId="0" fillId="0" borderId="0" xfId="0" applyNumberFormat="1" applyAlignment="1">
      <alignment horizontal="center"/>
    </xf>
    <xf numFmtId="0" fontId="1" fillId="0" borderId="0" xfId="0" applyFont="1" applyAlignment="1">
      <alignment horizontal="center"/>
    </xf>
    <xf numFmtId="0" fontId="3" fillId="0" borderId="0" xfId="0" applyFont="1"/>
    <xf numFmtId="0" fontId="0" fillId="0" borderId="0" xfId="0" applyProtection="1">
      <protection locked="0"/>
    </xf>
    <xf numFmtId="10" fontId="4" fillId="0" borderId="1" xfId="0" applyNumberFormat="1" applyFont="1" applyBorder="1" applyProtection="1">
      <protection locked="0"/>
    </xf>
    <xf numFmtId="10" fontId="4" fillId="0" borderId="2" xfId="0" applyNumberFormat="1" applyFont="1" applyBorder="1" applyProtection="1">
      <protection locked="0"/>
    </xf>
    <xf numFmtId="0" fontId="1" fillId="0" borderId="0" xfId="0" applyFont="1"/>
    <xf numFmtId="10" fontId="1" fillId="0" borderId="0" xfId="0" applyNumberFormat="1" applyFont="1" applyAlignment="1">
      <alignment horizontal="center"/>
    </xf>
    <xf numFmtId="164" fontId="1" fillId="0" borderId="0" xfId="0" applyNumberFormat="1" applyFont="1" applyAlignment="1">
      <alignment horizontal="center"/>
    </xf>
    <xf numFmtId="0" fontId="0" fillId="0" borderId="0" xfId="0" applyBorder="1" applyAlignment="1">
      <alignment horizontal="center"/>
    </xf>
    <xf numFmtId="0" fontId="5" fillId="0" borderId="0" xfId="0" applyFont="1"/>
    <xf numFmtId="0" fontId="5" fillId="0" borderId="0" xfId="0" applyFont="1" applyAlignment="1">
      <alignment wrapText="1"/>
    </xf>
    <xf numFmtId="0" fontId="6" fillId="0" borderId="0" xfId="0" applyFont="1" applyAlignment="1">
      <alignment vertical="center"/>
    </xf>
    <xf numFmtId="0" fontId="6" fillId="0" borderId="0" xfId="0" applyFont="1" applyAlignment="1">
      <alignment horizontal="left" vertical="center"/>
    </xf>
    <xf numFmtId="0" fontId="7" fillId="0" borderId="0" xfId="0" applyFont="1" applyAlignment="1">
      <alignment horizontal="center"/>
    </xf>
    <xf numFmtId="0" fontId="1" fillId="0" borderId="0" xfId="0" applyFont="1" applyAlignment="1">
      <alignment horizontal="left"/>
    </xf>
    <xf numFmtId="0" fontId="5" fillId="0" borderId="0" xfId="1" applyFont="1" applyAlignment="1">
      <alignment wrapText="1"/>
    </xf>
    <xf numFmtId="0" fontId="5" fillId="0" borderId="0" xfId="3" applyFont="1" applyAlignment="1">
      <alignment wrapText="1"/>
    </xf>
    <xf numFmtId="0" fontId="6" fillId="0" borderId="0" xfId="4" applyFont="1" applyAlignment="1">
      <alignment horizontal="left" vertical="center"/>
    </xf>
    <xf numFmtId="0" fontId="5" fillId="0" borderId="0" xfId="4" applyFont="1" applyAlignment="1">
      <alignment horizontal="left" wrapText="1"/>
    </xf>
    <xf numFmtId="0" fontId="8" fillId="0" borderId="0" xfId="0" applyFont="1"/>
    <xf numFmtId="3" fontId="4" fillId="0" borderId="3" xfId="0" applyNumberFormat="1" applyFont="1" applyBorder="1" applyAlignment="1" applyProtection="1">
      <alignment horizontal="right"/>
      <protection locked="0"/>
    </xf>
    <xf numFmtId="0" fontId="6" fillId="0" borderId="0" xfId="0" applyFont="1" applyAlignment="1">
      <alignment horizontal="left" vertical="center" wrapText="1"/>
    </xf>
    <xf numFmtId="0" fontId="5" fillId="0" borderId="0" xfId="4" applyFont="1" applyAlignment="1">
      <alignment horizontal="left" vertical="top" wrapText="1"/>
    </xf>
    <xf numFmtId="0" fontId="5" fillId="0" borderId="0" xfId="0" applyFont="1" applyAlignment="1">
      <alignment horizontal="left" vertical="top"/>
    </xf>
    <xf numFmtId="0" fontId="5" fillId="0" borderId="3" xfId="0" applyFont="1" applyBorder="1" applyAlignment="1">
      <alignment horizontal="left" vertical="top" wrapText="1"/>
    </xf>
    <xf numFmtId="0" fontId="5" fillId="0" borderId="1" xfId="0" applyFont="1" applyBorder="1" applyAlignment="1">
      <alignment horizontal="left" vertical="top" wrapText="1" indent="1"/>
    </xf>
    <xf numFmtId="0" fontId="5" fillId="0" borderId="2" xfId="0" applyFont="1" applyBorder="1" applyAlignment="1">
      <alignment horizontal="left" vertical="top" wrapText="1"/>
    </xf>
    <xf numFmtId="0" fontId="7" fillId="0" borderId="0" xfId="0" applyFont="1" applyAlignment="1">
      <alignment horizontal="center"/>
    </xf>
    <xf numFmtId="0" fontId="1" fillId="0" borderId="0" xfId="0" applyFont="1" applyAlignment="1">
      <alignment horizontal="center"/>
    </xf>
    <xf numFmtId="0" fontId="6" fillId="0" borderId="0" xfId="0" applyFont="1" applyAlignment="1">
      <alignment vertical="center"/>
    </xf>
    <xf numFmtId="0" fontId="5" fillId="0" borderId="0" xfId="0" applyFont="1" applyBorder="1" applyAlignment="1">
      <alignment horizontal="center" wrapText="1"/>
    </xf>
    <xf numFmtId="0" fontId="5" fillId="0" borderId="0" xfId="0" applyFont="1" applyAlignment="1">
      <alignment horizontal="center"/>
    </xf>
  </cellXfs>
  <cellStyles count="5">
    <cellStyle name="Normal" xfId="0" builtinId="0"/>
    <cellStyle name="Normal 2 2" xfId="1"/>
    <cellStyle name="Normal 2 3" xfId="2"/>
    <cellStyle name="Normal 2 4" xfId="3"/>
    <cellStyle name="Normal 2 5" xfId="4"/>
  </cellStyles>
  <dxfs count="1">
    <dxf>
      <font>
        <condense val="0"/>
        <extend val="0"/>
      </font>
      <fill>
        <patternFill>
          <bgColor indexed="8"/>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E50:Z300"/>
  <sheetViews>
    <sheetView topLeftCell="A28" workbookViewId="0">
      <selection activeCell="E51" sqref="E51"/>
    </sheetView>
  </sheetViews>
  <sheetFormatPr defaultRowHeight="12.75"/>
  <cols>
    <col min="5" max="15" width="12.42578125" bestFit="1" customWidth="1"/>
    <col min="16" max="16" width="11.42578125" bestFit="1" customWidth="1"/>
    <col min="17" max="20" width="12.42578125" bestFit="1" customWidth="1"/>
  </cols>
  <sheetData>
    <row r="50" spans="5:26">
      <c r="E50">
        <v>0</v>
      </c>
      <c r="F50">
        <v>1</v>
      </c>
      <c r="G50">
        <v>2</v>
      </c>
      <c r="H50">
        <v>3</v>
      </c>
      <c r="I50">
        <v>4</v>
      </c>
      <c r="J50">
        <v>5</v>
      </c>
      <c r="K50">
        <v>6</v>
      </c>
      <c r="L50">
        <v>7</v>
      </c>
      <c r="M50">
        <v>8</v>
      </c>
      <c r="N50">
        <v>9</v>
      </c>
      <c r="O50">
        <v>10</v>
      </c>
      <c r="P50">
        <v>11</v>
      </c>
      <c r="Q50">
        <v>12</v>
      </c>
      <c r="R50">
        <v>13</v>
      </c>
      <c r="S50">
        <v>14</v>
      </c>
      <c r="T50">
        <v>15</v>
      </c>
      <c r="U50">
        <v>16</v>
      </c>
      <c r="V50">
        <v>17</v>
      </c>
      <c r="W50">
        <v>18</v>
      </c>
      <c r="X50">
        <v>19</v>
      </c>
      <c r="Y50">
        <v>20</v>
      </c>
    </row>
    <row r="51" spans="5:26">
      <c r="E51">
        <f ca="1">HYPGEOMDIST(E$50,SampleCalc!$B$15,SampleCalc!$B$9*$Z51,SampleCalc!$B$9)</f>
        <v>2.8127117403874699E-14</v>
      </c>
      <c r="F51">
        <f ca="1">HYPGEOMDIST(F$50,SampleCalc!$B$15,SampleCalc!$B$9*$Z51,SampleCalc!$B$9)+E51</f>
        <v>1.2335750061413609E-12</v>
      </c>
      <c r="G51">
        <f ca="1">HYPGEOMDIST(G$50,SampleCalc!$B$15,SampleCalc!$B$9*$Z51,SampleCalc!$B$9)+F51</f>
        <v>2.6500792318112164E-11</v>
      </c>
      <c r="H51">
        <f ca="1">HYPGEOMDIST(H$50,SampleCalc!$B$15,SampleCalc!$B$9*$Z51,SampleCalc!$B$9)+G51</f>
        <v>3.7181942891504676E-10</v>
      </c>
      <c r="I51">
        <f ca="1">HYPGEOMDIST(I$50,SampleCalc!$B$15,SampleCalc!$B$9*$Z51,SampleCalc!$B$9)+H51</f>
        <v>3.8329371416613562E-9</v>
      </c>
      <c r="J51">
        <f ca="1">HYPGEOMDIST(J$50,SampleCalc!$B$15,SampleCalc!$B$9*$Z51,SampleCalc!$B$9)+I51</f>
        <v>3.0966150084120439E-8</v>
      </c>
      <c r="K51">
        <f ca="1">HYPGEOMDIST(K$50,SampleCalc!$B$15,SampleCalc!$B$9*$Z51,SampleCalc!$B$9)+J51</f>
        <v>2.042378958921047E-7</v>
      </c>
      <c r="L51">
        <f ca="1">HYPGEOMDIST(L$50,SampleCalc!$B$15,SampleCalc!$B$9*$Z51,SampleCalc!$B$9)+K51</f>
        <v>1.1311811514383143E-6</v>
      </c>
      <c r="M51">
        <f ca="1">HYPGEOMDIST(M$50,SampleCalc!$B$15,SampleCalc!$B$9*$Z51,SampleCalc!$B$9)+L51</f>
        <v>5.371058359515968E-6</v>
      </c>
      <c r="N51">
        <f ca="1">HYPGEOMDIST(N$50,SampleCalc!$B$15,SampleCalc!$B$9*$Z51,SampleCalc!$B$9)+M51</f>
        <v>2.2212792824935535E-5</v>
      </c>
      <c r="O51">
        <f ca="1">HYPGEOMDIST(O$50,SampleCalc!$B$15,SampleCalc!$B$9*$Z51,SampleCalc!$B$9)+N51</f>
        <v>8.1024828888954343E-5</v>
      </c>
      <c r="P51">
        <f ca="1">HYPGEOMDIST(P$50,SampleCalc!$B$15,SampleCalc!$B$9*$Z51,SampleCalc!$B$9)+O51</f>
        <v>2.6336057706235431E-4</v>
      </c>
      <c r="Q51">
        <f ca="1">HYPGEOMDIST(Q$50,SampleCalc!$B$15,SampleCalc!$B$9*$Z51,SampleCalc!$B$9)+P51</f>
        <v>7.6932661366036295E-4</v>
      </c>
      <c r="R51">
        <f ca="1">HYPGEOMDIST(R$50,SampleCalc!$B$15,SampleCalc!$B$9*$Z51,SampleCalc!$B$9)+Q51</f>
        <v>2.0345082836783538E-3</v>
      </c>
      <c r="S51">
        <f ca="1">HYPGEOMDIST(S$50,SampleCalc!$B$15,SampleCalc!$B$9*$Z51,SampleCalc!$B$9)+R51</f>
        <v>4.9016776655621264E-3</v>
      </c>
      <c r="T51">
        <f ca="1">HYPGEOMDIST(T$50,SampleCalc!$B$15,SampleCalc!$B$9*$Z51,SampleCalc!$B$9)+S51</f>
        <v>1.0819359233341302E-2</v>
      </c>
      <c r="U51">
        <f ca="1">HYPGEOMDIST(U$50,SampleCalc!$B$15,SampleCalc!$B$9*$Z51,SampleCalc!$B$9)+T51</f>
        <v>2.1990236938619342E-2</v>
      </c>
      <c r="V51">
        <f ca="1">HYPGEOMDIST(V$50,SampleCalc!$B$15,SampleCalc!$B$9*$Z51,SampleCalc!$B$9)+U51</f>
        <v>4.134835569657333E-2</v>
      </c>
      <c r="W51">
        <f ca="1">HYPGEOMDIST(W$50,SampleCalc!$B$15,SampleCalc!$B$9*$Z51,SampleCalc!$B$9)+V51</f>
        <v>7.2243131088055468E-2</v>
      </c>
      <c r="X51">
        <f ca="1">HYPGEOMDIST(X$50,SampleCalc!$B$15,SampleCalc!$B$9*$Z51,SampleCalc!$B$9)+W51</f>
        <v>0.11778318679581067</v>
      </c>
      <c r="Y51">
        <f ca="1">HYPGEOMDIST(Y$50,SampleCalc!$B$15,SampleCalc!$B$9*$Z51,SampleCalc!$B$9)+X51</f>
        <v>0.17994003206114476</v>
      </c>
      <c r="Z51">
        <v>0.25</v>
      </c>
    </row>
    <row r="52" spans="5:26">
      <c r="E52">
        <f ca="1">HYPGEOMDIST(E$50,SampleCalc!$B$15,SampleCalc!$B$9*$Z52,SampleCalc!$B$9)</f>
        <v>3.7770700513774568E-14</v>
      </c>
      <c r="F52">
        <f ca="1">HYPGEOMDIST(F$50,SampleCalc!$B$15,SampleCalc!$B$9*$Z52,SampleCalc!$B$9)+E52</f>
        <v>1.6378504831328941E-12</v>
      </c>
      <c r="G52">
        <f ca="1">HYPGEOMDIST(G$50,SampleCalc!$B$15,SampleCalc!$B$9*$Z52,SampleCalc!$B$9)+F52</f>
        <v>3.478843959643862E-11</v>
      </c>
      <c r="H52">
        <f ca="1">HYPGEOMDIST(H$50,SampleCalc!$B$15,SampleCalc!$B$9*$Z52,SampleCalc!$B$9)+G52</f>
        <v>4.8257519572292887E-10</v>
      </c>
      <c r="I52">
        <f ca="1">HYPGEOMDIST(I$50,SampleCalc!$B$15,SampleCalc!$B$9*$Z52,SampleCalc!$B$9)+H52</f>
        <v>4.9182656593597175E-9</v>
      </c>
      <c r="J52">
        <f ca="1">HYPGEOMDIST(J$50,SampleCalc!$B$15,SampleCalc!$B$9*$Z52,SampleCalc!$B$9)+I52</f>
        <v>3.9283193882903668E-8</v>
      </c>
      <c r="K52">
        <f ca="1">HYPGEOMDIST(K$50,SampleCalc!$B$15,SampleCalc!$B$9*$Z52,SampleCalc!$B$9)+J52</f>
        <v>2.5614671820269248E-7</v>
      </c>
      <c r="L52">
        <f ca="1">HYPGEOMDIST(L$50,SampleCalc!$B$15,SampleCalc!$B$9*$Z52,SampleCalc!$B$9)+K52</f>
        <v>1.4025332927552842E-6</v>
      </c>
      <c r="M52">
        <f ca="1">HYPGEOMDIST(M$50,SampleCalc!$B$15,SampleCalc!$B$9*$Z52,SampleCalc!$B$9)+L52</f>
        <v>6.5836632410261777E-6</v>
      </c>
      <c r="N52">
        <f ca="1">HYPGEOMDIST(N$50,SampleCalc!$B$15,SampleCalc!$B$9*$Z52,SampleCalc!$B$9)+M52</f>
        <v>2.6917755710057046E-5</v>
      </c>
      <c r="O52">
        <f ca="1">HYPGEOMDIST(O$50,SampleCalc!$B$15,SampleCalc!$B$9*$Z52,SampleCalc!$B$9)+N52</f>
        <v>9.707037472821351E-5</v>
      </c>
      <c r="P52">
        <f ca="1">HYPGEOMDIST(P$50,SampleCalc!$B$15,SampleCalc!$B$9*$Z52,SampleCalc!$B$9)+O52</f>
        <v>3.1193331657576313E-4</v>
      </c>
      <c r="Q52">
        <f ca="1">HYPGEOMDIST(Q$50,SampleCalc!$B$15,SampleCalc!$B$9*$Z52,SampleCalc!$B$9)+P52</f>
        <v>9.0090550734223357E-4</v>
      </c>
      <c r="R52">
        <f ca="1">HYPGEOMDIST(R$50,SampleCalc!$B$15,SampleCalc!$B$9*$Z52,SampleCalc!$B$9)+Q52</f>
        <v>2.3556312544493353E-3</v>
      </c>
      <c r="S52">
        <f ca="1">HYPGEOMDIST(S$50,SampleCalc!$B$15,SampleCalc!$B$9*$Z52,SampleCalc!$B$9)+R52</f>
        <v>5.6117994536956329E-3</v>
      </c>
      <c r="T52">
        <f ca="1">HYPGEOMDIST(T$50,SampleCalc!$B$15,SampleCalc!$B$9*$Z52,SampleCalc!$B$9)+S52</f>
        <v>1.2249231579616885E-2</v>
      </c>
      <c r="U52">
        <f ca="1">HYPGEOMDIST(U$50,SampleCalc!$B$15,SampleCalc!$B$9*$Z52,SampleCalc!$B$9)+T52</f>
        <v>2.4622941089701075E-2</v>
      </c>
      <c r="V52">
        <f ca="1">HYPGEOMDIST(V$50,SampleCalc!$B$15,SampleCalc!$B$9*$Z52,SampleCalc!$B$9)+U52</f>
        <v>4.5797203352946757E-2</v>
      </c>
      <c r="W52">
        <f ca="1">HYPGEOMDIST(W$50,SampleCalc!$B$15,SampleCalc!$B$9*$Z52,SampleCalc!$B$9)+V52</f>
        <v>7.9165219555634256E-2</v>
      </c>
      <c r="X52">
        <f ca="1">HYPGEOMDIST(X$50,SampleCalc!$B$15,SampleCalc!$B$9*$Z52,SampleCalc!$B$9)+W52</f>
        <v>0.12772828203826414</v>
      </c>
      <c r="Y52">
        <f ca="1">HYPGEOMDIST(Y$50,SampleCalc!$B$15,SampleCalc!$B$9*$Z52,SampleCalc!$B$9)+X52</f>
        <v>0.19316700873360798</v>
      </c>
      <c r="Z52">
        <v>0.249</v>
      </c>
    </row>
    <row r="53" spans="5:26">
      <c r="E53">
        <f ca="1">HYPGEOMDIST(E$50,SampleCalc!$B$15,SampleCalc!$B$9*$Z53,SampleCalc!$B$9)</f>
        <v>3.7770700513774568E-14</v>
      </c>
      <c r="F53">
        <f ca="1">HYPGEOMDIST(F$50,SampleCalc!$B$15,SampleCalc!$B$9*$Z53,SampleCalc!$B$9)+E53</f>
        <v>1.6378504831328941E-12</v>
      </c>
      <c r="G53">
        <f ca="1">HYPGEOMDIST(G$50,SampleCalc!$B$15,SampleCalc!$B$9*$Z53,SampleCalc!$B$9)+F53</f>
        <v>3.478843959643862E-11</v>
      </c>
      <c r="H53">
        <f ca="1">HYPGEOMDIST(H$50,SampleCalc!$B$15,SampleCalc!$B$9*$Z53,SampleCalc!$B$9)+G53</f>
        <v>4.8257519572292887E-10</v>
      </c>
      <c r="I53">
        <f ca="1">HYPGEOMDIST(I$50,SampleCalc!$B$15,SampleCalc!$B$9*$Z53,SampleCalc!$B$9)+H53</f>
        <v>4.9182656593597175E-9</v>
      </c>
      <c r="J53">
        <f ca="1">HYPGEOMDIST(J$50,SampleCalc!$B$15,SampleCalc!$B$9*$Z53,SampleCalc!$B$9)+I53</f>
        <v>3.9283193882903668E-8</v>
      </c>
      <c r="K53">
        <f ca="1">HYPGEOMDIST(K$50,SampleCalc!$B$15,SampleCalc!$B$9*$Z53,SampleCalc!$B$9)+J53</f>
        <v>2.5614671820269248E-7</v>
      </c>
      <c r="L53">
        <f ca="1">HYPGEOMDIST(L$50,SampleCalc!$B$15,SampleCalc!$B$9*$Z53,SampleCalc!$B$9)+K53</f>
        <v>1.4025332927552842E-6</v>
      </c>
      <c r="M53">
        <f ca="1">HYPGEOMDIST(M$50,SampleCalc!$B$15,SampleCalc!$B$9*$Z53,SampleCalc!$B$9)+L53</f>
        <v>6.5836632410261777E-6</v>
      </c>
      <c r="N53">
        <f ca="1">HYPGEOMDIST(N$50,SampleCalc!$B$15,SampleCalc!$B$9*$Z53,SampleCalc!$B$9)+M53</f>
        <v>2.6917755710057046E-5</v>
      </c>
      <c r="O53">
        <f ca="1">HYPGEOMDIST(O$50,SampleCalc!$B$15,SampleCalc!$B$9*$Z53,SampleCalc!$B$9)+N53</f>
        <v>9.707037472821351E-5</v>
      </c>
      <c r="P53">
        <f ca="1">HYPGEOMDIST(P$50,SampleCalc!$B$15,SampleCalc!$B$9*$Z53,SampleCalc!$B$9)+O53</f>
        <v>3.1193331657576313E-4</v>
      </c>
      <c r="Q53">
        <f ca="1">HYPGEOMDIST(Q$50,SampleCalc!$B$15,SampleCalc!$B$9*$Z53,SampleCalc!$B$9)+P53</f>
        <v>9.0090550734223357E-4</v>
      </c>
      <c r="R53">
        <f ca="1">HYPGEOMDIST(R$50,SampleCalc!$B$15,SampleCalc!$B$9*$Z53,SampleCalc!$B$9)+Q53</f>
        <v>2.3556312544493353E-3</v>
      </c>
      <c r="S53">
        <f ca="1">HYPGEOMDIST(S$50,SampleCalc!$B$15,SampleCalc!$B$9*$Z53,SampleCalc!$B$9)+R53</f>
        <v>5.6117994536956329E-3</v>
      </c>
      <c r="T53">
        <f ca="1">HYPGEOMDIST(T$50,SampleCalc!$B$15,SampleCalc!$B$9*$Z53,SampleCalc!$B$9)+S53</f>
        <v>1.2249231579616885E-2</v>
      </c>
      <c r="U53">
        <f ca="1">HYPGEOMDIST(U$50,SampleCalc!$B$15,SampleCalc!$B$9*$Z53,SampleCalc!$B$9)+T53</f>
        <v>2.4622941089701075E-2</v>
      </c>
      <c r="V53">
        <f ca="1">HYPGEOMDIST(V$50,SampleCalc!$B$15,SampleCalc!$B$9*$Z53,SampleCalc!$B$9)+U53</f>
        <v>4.5797203352946757E-2</v>
      </c>
      <c r="W53">
        <f ca="1">HYPGEOMDIST(W$50,SampleCalc!$B$15,SampleCalc!$B$9*$Z53,SampleCalc!$B$9)+V53</f>
        <v>7.9165219555634256E-2</v>
      </c>
      <c r="X53">
        <f ca="1">HYPGEOMDIST(X$50,SampleCalc!$B$15,SampleCalc!$B$9*$Z53,SampleCalc!$B$9)+W53</f>
        <v>0.12772828203826414</v>
      </c>
      <c r="Y53">
        <f ca="1">HYPGEOMDIST(Y$50,SampleCalc!$B$15,SampleCalc!$B$9*$Z53,SampleCalc!$B$9)+X53</f>
        <v>0.19316700873360798</v>
      </c>
      <c r="Z53">
        <v>0.248</v>
      </c>
    </row>
    <row r="54" spans="5:26">
      <c r="E54">
        <f ca="1">HYPGEOMDIST(E$50,SampleCalc!$B$15,SampleCalc!$B$9*$Z54,SampleCalc!$B$9)</f>
        <v>5.0674569728444893E-14</v>
      </c>
      <c r="F54">
        <f ca="1">HYPGEOMDIST(F$50,SampleCalc!$B$15,SampleCalc!$B$9*$Z54,SampleCalc!$B$9)+E54</f>
        <v>2.1725374043152454E-12</v>
      </c>
      <c r="G54">
        <f ca="1">HYPGEOMDIST(G$50,SampleCalc!$B$15,SampleCalc!$B$9*$Z54,SampleCalc!$B$9)+F54</f>
        <v>4.5621990147885972E-11</v>
      </c>
      <c r="H54">
        <f ca="1">HYPGEOMDIST(H$50,SampleCalc!$B$15,SampleCalc!$B$9*$Z54,SampleCalc!$B$9)+G54</f>
        <v>6.2566198487250245E-10</v>
      </c>
      <c r="I54">
        <f ca="1">HYPGEOMDIST(I$50,SampleCalc!$B$15,SampleCalc!$B$9*$Z54,SampleCalc!$B$9)+H54</f>
        <v>6.3039482490187477E-9</v>
      </c>
      <c r="J54">
        <f ca="1">HYPGEOMDIST(J$50,SampleCalc!$B$15,SampleCalc!$B$9*$Z54,SampleCalc!$B$9)+I54</f>
        <v>4.9776590220957985E-8</v>
      </c>
      <c r="K54">
        <f ca="1">HYPGEOMDIST(K$50,SampleCalc!$B$15,SampleCalc!$B$9*$Z54,SampleCalc!$B$9)+J54</f>
        <v>3.2086208934679036E-7</v>
      </c>
      <c r="L54">
        <f ca="1">HYPGEOMDIST(L$50,SampleCalc!$B$15,SampleCalc!$B$9*$Z54,SampleCalc!$B$9)+K54</f>
        <v>1.7367997410308255E-6</v>
      </c>
      <c r="M54">
        <f ca="1">HYPGEOMDIST(M$50,SampleCalc!$B$15,SampleCalc!$B$9*$Z54,SampleCalc!$B$9)+L54</f>
        <v>8.0595247911977741E-6</v>
      </c>
      <c r="N54">
        <f ca="1">HYPGEOMDIST(N$50,SampleCalc!$B$15,SampleCalc!$B$9*$Z54,SampleCalc!$B$9)+M54</f>
        <v>3.2575224985714811E-5</v>
      </c>
      <c r="O54">
        <f ca="1">HYPGEOMDIST(O$50,SampleCalc!$B$15,SampleCalc!$B$9*$Z54,SampleCalc!$B$9)+N54</f>
        <v>1.1613079698888324E-4</v>
      </c>
      <c r="P54">
        <f ca="1">HYPGEOMDIST(P$50,SampleCalc!$B$15,SampleCalc!$B$9*$Z54,SampleCalc!$B$9)+O54</f>
        <v>3.6893062535961496E-4</v>
      </c>
      <c r="Q54">
        <f ca="1">HYPGEOMDIST(Q$50,SampleCalc!$B$15,SampleCalc!$B$9*$Z54,SampleCalc!$B$9)+P54</f>
        <v>1.0534170776034615E-3</v>
      </c>
      <c r="R54">
        <f ca="1">HYPGEOMDIST(R$50,SampleCalc!$B$15,SampleCalc!$B$9*$Z54,SampleCalc!$B$9)+Q54</f>
        <v>2.7232631479126293E-3</v>
      </c>
      <c r="S54">
        <f ca="1">HYPGEOMDIST(S$50,SampleCalc!$B$15,SampleCalc!$B$9*$Z54,SampleCalc!$B$9)+R54</f>
        <v>6.4147146302183612E-3</v>
      </c>
      <c r="T54">
        <f ca="1">HYPGEOMDIST(T$50,SampleCalc!$B$15,SampleCalc!$B$9*$Z54,SampleCalc!$B$9)+S54</f>
        <v>1.384583925833742E-2</v>
      </c>
      <c r="U54">
        <f ca="1">HYPGEOMDIST(U$50,SampleCalc!$B$15,SampleCalc!$B$9*$Z54,SampleCalc!$B$9)+T54</f>
        <v>2.7525864141920243E-2</v>
      </c>
      <c r="V54">
        <f ca="1">HYPGEOMDIST(V$50,SampleCalc!$B$15,SampleCalc!$B$9*$Z54,SampleCalc!$B$9)+U54</f>
        <v>5.0640947640433656E-2</v>
      </c>
      <c r="W54">
        <f ca="1">HYPGEOMDIST(W$50,SampleCalc!$B$15,SampleCalc!$B$9*$Z54,SampleCalc!$B$9)+V54</f>
        <v>8.6606333968295285E-2</v>
      </c>
      <c r="X54">
        <f ca="1">HYPGEOMDIST(X$50,SampleCalc!$B$15,SampleCalc!$B$9*$Z54,SampleCalc!$B$9)+W54</f>
        <v>0.13828291537622286</v>
      </c>
      <c r="Y54">
        <f ca="1">HYPGEOMDIST(Y$50,SampleCalc!$B$15,SampleCalc!$B$9*$Z54,SampleCalc!$B$9)+X54</f>
        <v>0.20702478645839623</v>
      </c>
      <c r="Z54">
        <v>0.247</v>
      </c>
    </row>
    <row r="55" spans="5:26">
      <c r="E55">
        <f ca="1">HYPGEOMDIST(E$50,SampleCalc!$B$15,SampleCalc!$B$9*$Z55,SampleCalc!$B$9)</f>
        <v>5.0674569728444893E-14</v>
      </c>
      <c r="F55">
        <f ca="1">HYPGEOMDIST(F$50,SampleCalc!$B$15,SampleCalc!$B$9*$Z55,SampleCalc!$B$9)+E55</f>
        <v>2.1725374043152454E-12</v>
      </c>
      <c r="G55">
        <f ca="1">HYPGEOMDIST(G$50,SampleCalc!$B$15,SampleCalc!$B$9*$Z55,SampleCalc!$B$9)+F55</f>
        <v>4.5621990147885972E-11</v>
      </c>
      <c r="H55">
        <f ca="1">HYPGEOMDIST(H$50,SampleCalc!$B$15,SampleCalc!$B$9*$Z55,SampleCalc!$B$9)+G55</f>
        <v>6.2566198487250245E-10</v>
      </c>
      <c r="I55">
        <f ca="1">HYPGEOMDIST(I$50,SampleCalc!$B$15,SampleCalc!$B$9*$Z55,SampleCalc!$B$9)+H55</f>
        <v>6.3039482490187477E-9</v>
      </c>
      <c r="J55">
        <f ca="1">HYPGEOMDIST(J$50,SampleCalc!$B$15,SampleCalc!$B$9*$Z55,SampleCalc!$B$9)+I55</f>
        <v>4.9776590220957985E-8</v>
      </c>
      <c r="K55">
        <f ca="1">HYPGEOMDIST(K$50,SampleCalc!$B$15,SampleCalc!$B$9*$Z55,SampleCalc!$B$9)+J55</f>
        <v>3.2086208934679036E-7</v>
      </c>
      <c r="L55">
        <f ca="1">HYPGEOMDIST(L$50,SampleCalc!$B$15,SampleCalc!$B$9*$Z55,SampleCalc!$B$9)+K55</f>
        <v>1.7367997410308255E-6</v>
      </c>
      <c r="M55">
        <f ca="1">HYPGEOMDIST(M$50,SampleCalc!$B$15,SampleCalc!$B$9*$Z55,SampleCalc!$B$9)+L55</f>
        <v>8.0595247911977741E-6</v>
      </c>
      <c r="N55">
        <f ca="1">HYPGEOMDIST(N$50,SampleCalc!$B$15,SampleCalc!$B$9*$Z55,SampleCalc!$B$9)+M55</f>
        <v>3.2575224985714811E-5</v>
      </c>
      <c r="O55">
        <f ca="1">HYPGEOMDIST(O$50,SampleCalc!$B$15,SampleCalc!$B$9*$Z55,SampleCalc!$B$9)+N55</f>
        <v>1.1613079698888324E-4</v>
      </c>
      <c r="P55">
        <f ca="1">HYPGEOMDIST(P$50,SampleCalc!$B$15,SampleCalc!$B$9*$Z55,SampleCalc!$B$9)+O55</f>
        <v>3.6893062535961496E-4</v>
      </c>
      <c r="Q55">
        <f ca="1">HYPGEOMDIST(Q$50,SampleCalc!$B$15,SampleCalc!$B$9*$Z55,SampleCalc!$B$9)+P55</f>
        <v>1.0534170776034615E-3</v>
      </c>
      <c r="R55">
        <f ca="1">HYPGEOMDIST(R$50,SampleCalc!$B$15,SampleCalc!$B$9*$Z55,SampleCalc!$B$9)+Q55</f>
        <v>2.7232631479126293E-3</v>
      </c>
      <c r="S55">
        <f ca="1">HYPGEOMDIST(S$50,SampleCalc!$B$15,SampleCalc!$B$9*$Z55,SampleCalc!$B$9)+R55</f>
        <v>6.4147146302183612E-3</v>
      </c>
      <c r="T55">
        <f ca="1">HYPGEOMDIST(T$50,SampleCalc!$B$15,SampleCalc!$B$9*$Z55,SampleCalc!$B$9)+S55</f>
        <v>1.384583925833742E-2</v>
      </c>
      <c r="U55">
        <f ca="1">HYPGEOMDIST(U$50,SampleCalc!$B$15,SampleCalc!$B$9*$Z55,SampleCalc!$B$9)+T55</f>
        <v>2.7525864141920243E-2</v>
      </c>
      <c r="V55">
        <f ca="1">HYPGEOMDIST(V$50,SampleCalc!$B$15,SampleCalc!$B$9*$Z55,SampleCalc!$B$9)+U55</f>
        <v>5.0640947640433656E-2</v>
      </c>
      <c r="W55">
        <f ca="1">HYPGEOMDIST(W$50,SampleCalc!$B$15,SampleCalc!$B$9*$Z55,SampleCalc!$B$9)+V55</f>
        <v>8.6606333968295285E-2</v>
      </c>
      <c r="X55">
        <f ca="1">HYPGEOMDIST(X$50,SampleCalc!$B$15,SampleCalc!$B$9*$Z55,SampleCalc!$B$9)+W55</f>
        <v>0.13828291537622286</v>
      </c>
      <c r="Y55">
        <f ca="1">HYPGEOMDIST(Y$50,SampleCalc!$B$15,SampleCalc!$B$9*$Z55,SampleCalc!$B$9)+X55</f>
        <v>0.20702478645839623</v>
      </c>
      <c r="Z55">
        <v>0.246</v>
      </c>
    </row>
    <row r="56" spans="5:26">
      <c r="E56">
        <f ca="1">HYPGEOMDIST(E$50,SampleCalc!$B$15,SampleCalc!$B$9*$Z56,SampleCalc!$B$9)</f>
        <v>6.7925487082809171E-14</v>
      </c>
      <c r="F56">
        <f ca="1">HYPGEOMDIST(F$50,SampleCalc!$B$15,SampleCalc!$B$9*$Z56,SampleCalc!$B$9)+E56</f>
        <v>2.8790325708773722E-12</v>
      </c>
      <c r="G56">
        <f ca="1">HYPGEOMDIST(G$50,SampleCalc!$B$15,SampleCalc!$B$9*$Z56,SampleCalc!$B$9)+F56</f>
        <v>5.9769307092388809E-11</v>
      </c>
      <c r="H56">
        <f ca="1">HYPGEOMDIST(H$50,SampleCalc!$B$15,SampleCalc!$B$9*$Z56,SampleCalc!$B$9)+G56</f>
        <v>8.1032170077969742E-10</v>
      </c>
      <c r="I56">
        <f ca="1">HYPGEOMDIST(I$50,SampleCalc!$B$15,SampleCalc!$B$9*$Z56,SampleCalc!$B$9)+H56</f>
        <v>8.071128816983758E-9</v>
      </c>
      <c r="J56">
        <f ca="1">HYPGEOMDIST(J$50,SampleCalc!$B$15,SampleCalc!$B$9*$Z56,SampleCalc!$B$9)+I56</f>
        <v>6.3000273105144919E-8</v>
      </c>
      <c r="K56">
        <f ca="1">HYPGEOMDIST(K$50,SampleCalc!$B$15,SampleCalc!$B$9*$Z56,SampleCalc!$B$9)+J56</f>
        <v>4.0144390692230459E-7</v>
      </c>
      <c r="L56">
        <f ca="1">HYPGEOMDIST(L$50,SampleCalc!$B$15,SampleCalc!$B$9*$Z56,SampleCalc!$B$9)+K56</f>
        <v>2.1480338906351802E-6</v>
      </c>
      <c r="M56">
        <f ca="1">HYPGEOMDIST(M$50,SampleCalc!$B$15,SampleCalc!$B$9*$Z56,SampleCalc!$B$9)+L56</f>
        <v>9.8533565127477973E-6</v>
      </c>
      <c r="N56">
        <f ca="1">HYPGEOMDIST(N$50,SampleCalc!$B$15,SampleCalc!$B$9*$Z56,SampleCalc!$B$9)+M56</f>
        <v>3.9368360920931772E-5</v>
      </c>
      <c r="O56">
        <f ca="1">HYPGEOMDIST(O$50,SampleCalc!$B$15,SampleCalc!$B$9*$Z56,SampleCalc!$B$9)+N56</f>
        <v>1.3873891172122506E-4</v>
      </c>
      <c r="P56">
        <f ca="1">HYPGEOMDIST(P$50,SampleCalc!$B$15,SampleCalc!$B$9*$Z56,SampleCalc!$B$9)+O56</f>
        <v>4.3570979143218514E-4</v>
      </c>
      <c r="Q56">
        <f ca="1">HYPGEOMDIST(Q$50,SampleCalc!$B$15,SampleCalc!$B$9*$Z56,SampleCalc!$B$9)+P56</f>
        <v>1.2299048736523991E-3</v>
      </c>
      <c r="R56">
        <f ca="1">HYPGEOMDIST(R$50,SampleCalc!$B$15,SampleCalc!$B$9*$Z56,SampleCalc!$B$9)+Q56</f>
        <v>3.1434283572807607E-3</v>
      </c>
      <c r="S56">
        <f ca="1">HYPGEOMDIST(S$50,SampleCalc!$B$15,SampleCalc!$B$9*$Z56,SampleCalc!$B$9)+R56</f>
        <v>7.3209493409645875E-3</v>
      </c>
      <c r="T56">
        <f ca="1">HYPGEOMDIST(T$50,SampleCalc!$B$15,SampleCalc!$B$9*$Z56,SampleCalc!$B$9)+S56</f>
        <v>1.5625354690348196E-2</v>
      </c>
      <c r="U56">
        <f ca="1">HYPGEOMDIST(U$50,SampleCalc!$B$15,SampleCalc!$B$9*$Z56,SampleCalc!$B$9)+T56</f>
        <v>3.0720631779926164E-2</v>
      </c>
      <c r="V56">
        <f ca="1">HYPGEOMDIST(V$50,SampleCalc!$B$15,SampleCalc!$B$9*$Z56,SampleCalc!$B$9)+U56</f>
        <v>5.5904174907925597E-2</v>
      </c>
      <c r="W56">
        <f ca="1">HYPGEOMDIST(W$50,SampleCalc!$B$15,SampleCalc!$B$9*$Z56,SampleCalc!$B$9)+V56</f>
        <v>9.4588895323991465E-2</v>
      </c>
      <c r="X56">
        <f ca="1">HYPGEOMDIST(X$50,SampleCalc!$B$15,SampleCalc!$B$9*$Z56,SampleCalc!$B$9)+W56</f>
        <v>0.14946045538958438</v>
      </c>
      <c r="Y56">
        <f ca="1">HYPGEOMDIST(Y$50,SampleCalc!$B$15,SampleCalc!$B$9*$Z56,SampleCalc!$B$9)+X56</f>
        <v>0.22151117440948789</v>
      </c>
      <c r="Z56">
        <v>0.245</v>
      </c>
    </row>
    <row r="57" spans="5:26">
      <c r="E57">
        <f ca="1">HYPGEOMDIST(E$50,SampleCalc!$B$15,SampleCalc!$B$9*$Z57,SampleCalc!$B$9)</f>
        <v>6.7925487082809171E-14</v>
      </c>
      <c r="F57">
        <f ca="1">HYPGEOMDIST(F$50,SampleCalc!$B$15,SampleCalc!$B$9*$Z57,SampleCalc!$B$9)+E57</f>
        <v>2.8790325708773722E-12</v>
      </c>
      <c r="G57">
        <f ca="1">HYPGEOMDIST(G$50,SampleCalc!$B$15,SampleCalc!$B$9*$Z57,SampleCalc!$B$9)+F57</f>
        <v>5.9769307092388809E-11</v>
      </c>
      <c r="H57">
        <f ca="1">HYPGEOMDIST(H$50,SampleCalc!$B$15,SampleCalc!$B$9*$Z57,SampleCalc!$B$9)+G57</f>
        <v>8.1032170077969742E-10</v>
      </c>
      <c r="I57">
        <f ca="1">HYPGEOMDIST(I$50,SampleCalc!$B$15,SampleCalc!$B$9*$Z57,SampleCalc!$B$9)+H57</f>
        <v>8.071128816983758E-9</v>
      </c>
      <c r="J57">
        <f ca="1">HYPGEOMDIST(J$50,SampleCalc!$B$15,SampleCalc!$B$9*$Z57,SampleCalc!$B$9)+I57</f>
        <v>6.3000273105144919E-8</v>
      </c>
      <c r="K57">
        <f ca="1">HYPGEOMDIST(K$50,SampleCalc!$B$15,SampleCalc!$B$9*$Z57,SampleCalc!$B$9)+J57</f>
        <v>4.0144390692230459E-7</v>
      </c>
      <c r="L57">
        <f ca="1">HYPGEOMDIST(L$50,SampleCalc!$B$15,SampleCalc!$B$9*$Z57,SampleCalc!$B$9)+K57</f>
        <v>2.1480338906351802E-6</v>
      </c>
      <c r="M57">
        <f ca="1">HYPGEOMDIST(M$50,SampleCalc!$B$15,SampleCalc!$B$9*$Z57,SampleCalc!$B$9)+L57</f>
        <v>9.8533565127477973E-6</v>
      </c>
      <c r="N57">
        <f ca="1">HYPGEOMDIST(N$50,SampleCalc!$B$15,SampleCalc!$B$9*$Z57,SampleCalc!$B$9)+M57</f>
        <v>3.9368360920931772E-5</v>
      </c>
      <c r="O57">
        <f ca="1">HYPGEOMDIST(O$50,SampleCalc!$B$15,SampleCalc!$B$9*$Z57,SampleCalc!$B$9)+N57</f>
        <v>1.3873891172122506E-4</v>
      </c>
      <c r="P57">
        <f ca="1">HYPGEOMDIST(P$50,SampleCalc!$B$15,SampleCalc!$B$9*$Z57,SampleCalc!$B$9)+O57</f>
        <v>4.3570979143218514E-4</v>
      </c>
      <c r="Q57">
        <f ca="1">HYPGEOMDIST(Q$50,SampleCalc!$B$15,SampleCalc!$B$9*$Z57,SampleCalc!$B$9)+P57</f>
        <v>1.2299048736523991E-3</v>
      </c>
      <c r="R57">
        <f ca="1">HYPGEOMDIST(R$50,SampleCalc!$B$15,SampleCalc!$B$9*$Z57,SampleCalc!$B$9)+Q57</f>
        <v>3.1434283572807607E-3</v>
      </c>
      <c r="S57">
        <f ca="1">HYPGEOMDIST(S$50,SampleCalc!$B$15,SampleCalc!$B$9*$Z57,SampleCalc!$B$9)+R57</f>
        <v>7.3209493409645875E-3</v>
      </c>
      <c r="T57">
        <f ca="1">HYPGEOMDIST(T$50,SampleCalc!$B$15,SampleCalc!$B$9*$Z57,SampleCalc!$B$9)+S57</f>
        <v>1.5625354690348196E-2</v>
      </c>
      <c r="U57">
        <f ca="1">HYPGEOMDIST(U$50,SampleCalc!$B$15,SampleCalc!$B$9*$Z57,SampleCalc!$B$9)+T57</f>
        <v>3.0720631779926164E-2</v>
      </c>
      <c r="V57">
        <f ca="1">HYPGEOMDIST(V$50,SampleCalc!$B$15,SampleCalc!$B$9*$Z57,SampleCalc!$B$9)+U57</f>
        <v>5.5904174907925597E-2</v>
      </c>
      <c r="W57">
        <f ca="1">HYPGEOMDIST(W$50,SampleCalc!$B$15,SampleCalc!$B$9*$Z57,SampleCalc!$B$9)+V57</f>
        <v>9.4588895323991465E-2</v>
      </c>
      <c r="X57">
        <f ca="1">HYPGEOMDIST(X$50,SampleCalc!$B$15,SampleCalc!$B$9*$Z57,SampleCalc!$B$9)+W57</f>
        <v>0.14946045538958438</v>
      </c>
      <c r="Y57">
        <f ca="1">HYPGEOMDIST(Y$50,SampleCalc!$B$15,SampleCalc!$B$9*$Z57,SampleCalc!$B$9)+X57</f>
        <v>0.22151117440948789</v>
      </c>
      <c r="Z57">
        <v>0.24399999999999999</v>
      </c>
    </row>
    <row r="58" spans="5:26">
      <c r="E58">
        <f ca="1">HYPGEOMDIST(E$50,SampleCalc!$B$15,SampleCalc!$B$9*$Z58,SampleCalc!$B$9)</f>
        <v>9.0967348425387589E-14</v>
      </c>
      <c r="F58">
        <f ca="1">HYPGEOMDIST(F$50,SampleCalc!$B$15,SampleCalc!$B$9*$Z58,SampleCalc!$B$9)+E58</f>
        <v>3.8116600220496903E-12</v>
      </c>
      <c r="G58">
        <f ca="1">HYPGEOMDIST(G$50,SampleCalc!$B$15,SampleCalc!$B$9*$Z58,SampleCalc!$B$9)+F58</f>
        <v>7.8225513494535705E-11</v>
      </c>
      <c r="H58">
        <f ca="1">HYPGEOMDIST(H$50,SampleCalc!$B$15,SampleCalc!$B$9*$Z58,SampleCalc!$B$9)+G58</f>
        <v>1.0483809504913059E-9</v>
      </c>
      <c r="I58">
        <f ca="1">HYPGEOMDIST(I$50,SampleCalc!$B$15,SampleCalc!$B$9*$Z58,SampleCalc!$B$9)+H58</f>
        <v>1.0322323255023148E-8</v>
      </c>
      <c r="J58">
        <f ca="1">HYPGEOMDIST(J$50,SampleCalc!$B$15,SampleCalc!$B$9*$Z58,SampleCalc!$B$9)+I58</f>
        <v>7.964504198139867E-8</v>
      </c>
      <c r="K58">
        <f ca="1">HYPGEOMDIST(K$50,SampleCalc!$B$15,SampleCalc!$B$9*$Z58,SampleCalc!$B$9)+J58</f>
        <v>5.0165808631566631E-7</v>
      </c>
      <c r="L58">
        <f ca="1">HYPGEOMDIST(L$50,SampleCalc!$B$15,SampleCalc!$B$9*$Z58,SampleCalc!$B$9)+K58</f>
        <v>2.6533009478228919E-6</v>
      </c>
      <c r="M58">
        <f ca="1">HYPGEOMDIST(M$50,SampleCalc!$B$15,SampleCalc!$B$9*$Z58,SampleCalc!$B$9)+L58</f>
        <v>1.2030692903515472E-5</v>
      </c>
      <c r="N58">
        <f ca="1">HYPGEOMDIST(N$50,SampleCalc!$B$15,SampleCalc!$B$9*$Z58,SampleCalc!$B$9)+M58</f>
        <v>4.7513488035709898E-5</v>
      </c>
      <c r="O58">
        <f ca="1">HYPGEOMDIST(O$50,SampleCalc!$B$15,SampleCalc!$B$9*$Z58,SampleCalc!$B$9)+N58</f>
        <v>1.6551497464598367E-4</v>
      </c>
      <c r="P58">
        <f ca="1">HYPGEOMDIST(P$50,SampleCalc!$B$15,SampleCalc!$B$9*$Z58,SampleCalc!$B$9)+O58</f>
        <v>5.1382734050302639E-4</v>
      </c>
      <c r="Q58">
        <f ca="1">HYPGEOMDIST(Q$50,SampleCalc!$B$15,SampleCalc!$B$9*$Z58,SampleCalc!$B$9)+P58</f>
        <v>1.4338049169898464E-3</v>
      </c>
      <c r="R58">
        <f ca="1">HYPGEOMDIST(R$50,SampleCalc!$B$15,SampleCalc!$B$9*$Z58,SampleCalc!$B$9)+Q58</f>
        <v>3.6228160111461158E-3</v>
      </c>
      <c r="S58">
        <f ca="1">HYPGEOMDIST(S$50,SampleCalc!$B$15,SampleCalc!$B$9*$Z58,SampleCalc!$B$9)+R58</f>
        <v>8.3419827855609318E-3</v>
      </c>
      <c r="T58">
        <f ca="1">HYPGEOMDIST(T$50,SampleCalc!$B$15,SampleCalc!$B$9*$Z58,SampleCalc!$B$9)+S58</f>
        <v>1.7605063161112516E-2</v>
      </c>
      <c r="U58">
        <f ca="1">HYPGEOMDIST(U$50,SampleCalc!$B$15,SampleCalc!$B$9*$Z58,SampleCalc!$B$9)+T58</f>
        <v>3.4229814019073622E-2</v>
      </c>
      <c r="V58">
        <f ca="1">HYPGEOMDIST(V$50,SampleCalc!$B$15,SampleCalc!$B$9*$Z58,SampleCalc!$B$9)+U58</f>
        <v>6.1611756608656656E-2</v>
      </c>
      <c r="W58">
        <f ca="1">HYPGEOMDIST(W$50,SampleCalc!$B$15,SampleCalc!$B$9*$Z58,SampleCalc!$B$9)+V58</f>
        <v>0.10313446615387886</v>
      </c>
      <c r="X58">
        <f ca="1">HYPGEOMDIST(X$50,SampleCalc!$B$15,SampleCalc!$B$9*$Z58,SampleCalc!$B$9)+W58</f>
        <v>0.16127204867153572</v>
      </c>
      <c r="Y58">
        <f ca="1">HYPGEOMDIST(Y$50,SampleCalc!$B$15,SampleCalc!$B$9*$Z58,SampleCalc!$B$9)+X58</f>
        <v>0.23662065809293464</v>
      </c>
      <c r="Z58">
        <v>0.24299999999999999</v>
      </c>
    </row>
    <row r="59" spans="5:26">
      <c r="E59">
        <f ca="1">HYPGEOMDIST(E$50,SampleCalc!$B$15,SampleCalc!$B$9*$Z59,SampleCalc!$B$9)</f>
        <v>9.0967348425387589E-14</v>
      </c>
      <c r="F59">
        <f ca="1">HYPGEOMDIST(F$50,SampleCalc!$B$15,SampleCalc!$B$9*$Z59,SampleCalc!$B$9)+E59</f>
        <v>3.8116600220496903E-12</v>
      </c>
      <c r="G59">
        <f ca="1">HYPGEOMDIST(G$50,SampleCalc!$B$15,SampleCalc!$B$9*$Z59,SampleCalc!$B$9)+F59</f>
        <v>7.8225513494535705E-11</v>
      </c>
      <c r="H59">
        <f ca="1">HYPGEOMDIST(H$50,SampleCalc!$B$15,SampleCalc!$B$9*$Z59,SampleCalc!$B$9)+G59</f>
        <v>1.0483809504913059E-9</v>
      </c>
      <c r="I59">
        <f ca="1">HYPGEOMDIST(I$50,SampleCalc!$B$15,SampleCalc!$B$9*$Z59,SampleCalc!$B$9)+H59</f>
        <v>1.0322323255023148E-8</v>
      </c>
      <c r="J59">
        <f ca="1">HYPGEOMDIST(J$50,SampleCalc!$B$15,SampleCalc!$B$9*$Z59,SampleCalc!$B$9)+I59</f>
        <v>7.964504198139867E-8</v>
      </c>
      <c r="K59">
        <f ca="1">HYPGEOMDIST(K$50,SampleCalc!$B$15,SampleCalc!$B$9*$Z59,SampleCalc!$B$9)+J59</f>
        <v>5.0165808631566631E-7</v>
      </c>
      <c r="L59">
        <f ca="1">HYPGEOMDIST(L$50,SampleCalc!$B$15,SampleCalc!$B$9*$Z59,SampleCalc!$B$9)+K59</f>
        <v>2.6533009478228919E-6</v>
      </c>
      <c r="M59">
        <f ca="1">HYPGEOMDIST(M$50,SampleCalc!$B$15,SampleCalc!$B$9*$Z59,SampleCalc!$B$9)+L59</f>
        <v>1.2030692903515472E-5</v>
      </c>
      <c r="N59">
        <f ca="1">HYPGEOMDIST(N$50,SampleCalc!$B$15,SampleCalc!$B$9*$Z59,SampleCalc!$B$9)+M59</f>
        <v>4.7513488035709898E-5</v>
      </c>
      <c r="O59">
        <f ca="1">HYPGEOMDIST(O$50,SampleCalc!$B$15,SampleCalc!$B$9*$Z59,SampleCalc!$B$9)+N59</f>
        <v>1.6551497464598367E-4</v>
      </c>
      <c r="P59">
        <f ca="1">HYPGEOMDIST(P$50,SampleCalc!$B$15,SampleCalc!$B$9*$Z59,SampleCalc!$B$9)+O59</f>
        <v>5.1382734050302639E-4</v>
      </c>
      <c r="Q59">
        <f ca="1">HYPGEOMDIST(Q$50,SampleCalc!$B$15,SampleCalc!$B$9*$Z59,SampleCalc!$B$9)+P59</f>
        <v>1.4338049169898464E-3</v>
      </c>
      <c r="R59">
        <f ca="1">HYPGEOMDIST(R$50,SampleCalc!$B$15,SampleCalc!$B$9*$Z59,SampleCalc!$B$9)+Q59</f>
        <v>3.6228160111461158E-3</v>
      </c>
      <c r="S59">
        <f ca="1">HYPGEOMDIST(S$50,SampleCalc!$B$15,SampleCalc!$B$9*$Z59,SampleCalc!$B$9)+R59</f>
        <v>8.3419827855609318E-3</v>
      </c>
      <c r="T59">
        <f ca="1">HYPGEOMDIST(T$50,SampleCalc!$B$15,SampleCalc!$B$9*$Z59,SampleCalc!$B$9)+S59</f>
        <v>1.7605063161112516E-2</v>
      </c>
      <c r="U59">
        <f ca="1">HYPGEOMDIST(U$50,SampleCalc!$B$15,SampleCalc!$B$9*$Z59,SampleCalc!$B$9)+T59</f>
        <v>3.4229814019073622E-2</v>
      </c>
      <c r="V59">
        <f ca="1">HYPGEOMDIST(V$50,SampleCalc!$B$15,SampleCalc!$B$9*$Z59,SampleCalc!$B$9)+U59</f>
        <v>6.1611756608656656E-2</v>
      </c>
      <c r="W59">
        <f ca="1">HYPGEOMDIST(W$50,SampleCalc!$B$15,SampleCalc!$B$9*$Z59,SampleCalc!$B$9)+V59</f>
        <v>0.10313446615387886</v>
      </c>
      <c r="X59">
        <f ca="1">HYPGEOMDIST(X$50,SampleCalc!$B$15,SampleCalc!$B$9*$Z59,SampleCalc!$B$9)+W59</f>
        <v>0.16127204867153572</v>
      </c>
      <c r="Y59">
        <f ca="1">HYPGEOMDIST(Y$50,SampleCalc!$B$15,SampleCalc!$B$9*$Z59,SampleCalc!$B$9)+X59</f>
        <v>0.23662065809293464</v>
      </c>
      <c r="Z59">
        <v>0.24199999999999999</v>
      </c>
    </row>
    <row r="60" spans="5:26">
      <c r="E60">
        <f ca="1">HYPGEOMDIST(E$50,SampleCalc!$B$15,SampleCalc!$B$9*$Z60,SampleCalc!$B$9)</f>
        <v>1.2171687465368756E-13</v>
      </c>
      <c r="F60">
        <f ca="1">HYPGEOMDIST(F$50,SampleCalc!$B$15,SampleCalc!$B$9*$Z60,SampleCalc!$B$9)+E60</f>
        <v>5.0416410711816884E-12</v>
      </c>
      <c r="G60">
        <f ca="1">HYPGEOMDIST(G$50,SampleCalc!$B$15,SampleCalc!$B$9*$Z60,SampleCalc!$B$9)+F60</f>
        <v>1.0227895408123251E-10</v>
      </c>
      <c r="H60">
        <f ca="1">HYPGEOMDIST(H$50,SampleCalc!$B$15,SampleCalc!$B$9*$Z60,SampleCalc!$B$9)+G60</f>
        <v>1.3549575555997965E-9</v>
      </c>
      <c r="I60">
        <f ca="1">HYPGEOMDIST(I$50,SampleCalc!$B$15,SampleCalc!$B$9*$Z60,SampleCalc!$B$9)+H60</f>
        <v>1.318689840900561E-8</v>
      </c>
      <c r="J60">
        <f ca="1">HYPGEOMDIST(J$50,SampleCalc!$B$15,SampleCalc!$B$9*$Z60,SampleCalc!$B$9)+I60</f>
        <v>1.0057130864260205E-7</v>
      </c>
      <c r="K60">
        <f ca="1">HYPGEOMDIST(K$50,SampleCalc!$B$15,SampleCalc!$B$9*$Z60,SampleCalc!$B$9)+J60</f>
        <v>6.2613329317972037E-7</v>
      </c>
      <c r="L60">
        <f ca="1">HYPGEOMDIST(L$50,SampleCalc!$B$15,SampleCalc!$B$9*$Z60,SampleCalc!$B$9)+K60</f>
        <v>3.2732938043976092E-6</v>
      </c>
      <c r="M60">
        <f ca="1">HYPGEOMDIST(M$50,SampleCalc!$B$15,SampleCalc!$B$9*$Z60,SampleCalc!$B$9)+L60</f>
        <v>1.4669909070372901E-5</v>
      </c>
      <c r="N60">
        <f ca="1">HYPGEOMDIST(N$50,SampleCalc!$B$15,SampleCalc!$B$9*$Z60,SampleCalc!$B$9)+M60</f>
        <v>5.7265677011765538E-5</v>
      </c>
      <c r="O60">
        <f ca="1">HYPGEOMDIST(O$50,SampleCalc!$B$15,SampleCalc!$B$9*$Z60,SampleCalc!$B$9)+N60</f>
        <v>1.9717973517844234E-4</v>
      </c>
      <c r="P60">
        <f ca="1">HYPGEOMDIST(P$50,SampleCalc!$B$15,SampleCalc!$B$9*$Z60,SampleCalc!$B$9)+O60</f>
        <v>6.050647861050246E-4</v>
      </c>
      <c r="Q60">
        <f ca="1">HYPGEOMDIST(Q$50,SampleCalc!$B$15,SampleCalc!$B$9*$Z60,SampleCalc!$B$9)+P60</f>
        <v>1.668987927105809E-3</v>
      </c>
      <c r="R60">
        <f ca="1">HYPGEOMDIST(R$50,SampleCalc!$B$15,SampleCalc!$B$9*$Z60,SampleCalc!$B$9)+Q60</f>
        <v>4.168835307359401E-3</v>
      </c>
      <c r="S60">
        <f ca="1">HYPGEOMDIST(S$50,SampleCalc!$B$15,SampleCalc!$B$9*$Z60,SampleCalc!$B$9)+R60</f>
        <v>9.4902985345962539E-3</v>
      </c>
      <c r="T60">
        <f ca="1">HYPGEOMDIST(T$50,SampleCalc!$B$15,SampleCalc!$B$9*$Z60,SampleCalc!$B$9)+S60</f>
        <v>1.9803377324148698E-2</v>
      </c>
      <c r="U60">
        <f ca="1">HYPGEOMDIST(U$50,SampleCalc!$B$15,SampleCalc!$B$9*$Z60,SampleCalc!$B$9)+T60</f>
        <v>3.8076863804386962E-2</v>
      </c>
      <c r="V60">
        <f ca="1">HYPGEOMDIST(V$50,SampleCalc!$B$15,SampleCalc!$B$9*$Z60,SampleCalc!$B$9)+U60</f>
        <v>6.7788688607119452E-2</v>
      </c>
      <c r="W60">
        <f ca="1">HYPGEOMDIST(W$50,SampleCalc!$B$15,SampleCalc!$B$9*$Z60,SampleCalc!$B$9)+V60</f>
        <v>0.11226350803681667</v>
      </c>
      <c r="X60">
        <f ca="1">HYPGEOMDIST(X$50,SampleCalc!$B$15,SampleCalc!$B$9*$Z60,SampleCalc!$B$9)+W60</f>
        <v>0.17372636427837856</v>
      </c>
      <c r="Y60">
        <f ca="1">HYPGEOMDIST(Y$50,SampleCalc!$B$15,SampleCalc!$B$9*$Z60,SampleCalc!$B$9)+X60</f>
        <v>0.25234423154657359</v>
      </c>
      <c r="Z60">
        <v>0.24099999999999999</v>
      </c>
    </row>
    <row r="61" spans="5:26">
      <c r="E61">
        <f ca="1">HYPGEOMDIST(E$50,SampleCalc!$B$15,SampleCalc!$B$9*$Z61,SampleCalc!$B$9)</f>
        <v>1.2171687465368756E-13</v>
      </c>
      <c r="F61">
        <f ca="1">HYPGEOMDIST(F$50,SampleCalc!$B$15,SampleCalc!$B$9*$Z61,SampleCalc!$B$9)+E61</f>
        <v>5.0416410711816884E-12</v>
      </c>
      <c r="G61">
        <f ca="1">HYPGEOMDIST(G$50,SampleCalc!$B$15,SampleCalc!$B$9*$Z61,SampleCalc!$B$9)+F61</f>
        <v>1.0227895408123251E-10</v>
      </c>
      <c r="H61">
        <f ca="1">HYPGEOMDIST(H$50,SampleCalc!$B$15,SampleCalc!$B$9*$Z61,SampleCalc!$B$9)+G61</f>
        <v>1.3549575555997965E-9</v>
      </c>
      <c r="I61">
        <f ca="1">HYPGEOMDIST(I$50,SampleCalc!$B$15,SampleCalc!$B$9*$Z61,SampleCalc!$B$9)+H61</f>
        <v>1.318689840900561E-8</v>
      </c>
      <c r="J61">
        <f ca="1">HYPGEOMDIST(J$50,SampleCalc!$B$15,SampleCalc!$B$9*$Z61,SampleCalc!$B$9)+I61</f>
        <v>1.0057130864260205E-7</v>
      </c>
      <c r="K61">
        <f ca="1">HYPGEOMDIST(K$50,SampleCalc!$B$15,SampleCalc!$B$9*$Z61,SampleCalc!$B$9)+J61</f>
        <v>6.2613329317972037E-7</v>
      </c>
      <c r="L61">
        <f ca="1">HYPGEOMDIST(L$50,SampleCalc!$B$15,SampleCalc!$B$9*$Z61,SampleCalc!$B$9)+K61</f>
        <v>3.2732938043976092E-6</v>
      </c>
      <c r="M61">
        <f ca="1">HYPGEOMDIST(M$50,SampleCalc!$B$15,SampleCalc!$B$9*$Z61,SampleCalc!$B$9)+L61</f>
        <v>1.4669909070372901E-5</v>
      </c>
      <c r="N61">
        <f ca="1">HYPGEOMDIST(N$50,SampleCalc!$B$15,SampleCalc!$B$9*$Z61,SampleCalc!$B$9)+M61</f>
        <v>5.7265677011765538E-5</v>
      </c>
      <c r="O61">
        <f ca="1">HYPGEOMDIST(O$50,SampleCalc!$B$15,SampleCalc!$B$9*$Z61,SampleCalc!$B$9)+N61</f>
        <v>1.9717973517844234E-4</v>
      </c>
      <c r="P61">
        <f ca="1">HYPGEOMDIST(P$50,SampleCalc!$B$15,SampleCalc!$B$9*$Z61,SampleCalc!$B$9)+O61</f>
        <v>6.050647861050246E-4</v>
      </c>
      <c r="Q61">
        <f ca="1">HYPGEOMDIST(Q$50,SampleCalc!$B$15,SampleCalc!$B$9*$Z61,SampleCalc!$B$9)+P61</f>
        <v>1.668987927105809E-3</v>
      </c>
      <c r="R61">
        <f ca="1">HYPGEOMDIST(R$50,SampleCalc!$B$15,SampleCalc!$B$9*$Z61,SampleCalc!$B$9)+Q61</f>
        <v>4.168835307359401E-3</v>
      </c>
      <c r="S61">
        <f ca="1">HYPGEOMDIST(S$50,SampleCalc!$B$15,SampleCalc!$B$9*$Z61,SampleCalc!$B$9)+R61</f>
        <v>9.4902985345962539E-3</v>
      </c>
      <c r="T61">
        <f ca="1">HYPGEOMDIST(T$50,SampleCalc!$B$15,SampleCalc!$B$9*$Z61,SampleCalc!$B$9)+S61</f>
        <v>1.9803377324148698E-2</v>
      </c>
      <c r="U61">
        <f ca="1">HYPGEOMDIST(U$50,SampleCalc!$B$15,SampleCalc!$B$9*$Z61,SampleCalc!$B$9)+T61</f>
        <v>3.8076863804386962E-2</v>
      </c>
      <c r="V61">
        <f ca="1">HYPGEOMDIST(V$50,SampleCalc!$B$15,SampleCalc!$B$9*$Z61,SampleCalc!$B$9)+U61</f>
        <v>6.7788688607119452E-2</v>
      </c>
      <c r="W61">
        <f ca="1">HYPGEOMDIST(W$50,SampleCalc!$B$15,SampleCalc!$B$9*$Z61,SampleCalc!$B$9)+V61</f>
        <v>0.11226350803681667</v>
      </c>
      <c r="X61">
        <f ca="1">HYPGEOMDIST(X$50,SampleCalc!$B$15,SampleCalc!$B$9*$Z61,SampleCalc!$B$9)+W61</f>
        <v>0.17372636427837856</v>
      </c>
      <c r="Y61">
        <f ca="1">HYPGEOMDIST(Y$50,SampleCalc!$B$15,SampleCalc!$B$9*$Z61,SampleCalc!$B$9)+X61</f>
        <v>0.25234423154657359</v>
      </c>
      <c r="Z61">
        <v>0.24</v>
      </c>
    </row>
    <row r="62" spans="5:26">
      <c r="E62">
        <f ca="1">HYPGEOMDIST(E$50,SampleCalc!$B$15,SampleCalc!$B$9*$Z62,SampleCalc!$B$9)</f>
        <v>1.6271624295808754E-13</v>
      </c>
      <c r="F62">
        <f ca="1">HYPGEOMDIST(F$50,SampleCalc!$B$15,SampleCalc!$B$9*$Z62,SampleCalc!$B$9)+E62</f>
        <v>6.6622629546825374E-12</v>
      </c>
      <c r="G62">
        <f ca="1">HYPGEOMDIST(G$50,SampleCalc!$B$15,SampleCalc!$B$9*$Z62,SampleCalc!$B$9)+F62</f>
        <v>1.3359591911919669E-10</v>
      </c>
      <c r="H62">
        <f ca="1">HYPGEOMDIST(H$50,SampleCalc!$B$15,SampleCalc!$B$9*$Z62,SampleCalc!$B$9)+G62</f>
        <v>1.7493555840466569E-9</v>
      </c>
      <c r="I62">
        <f ca="1">HYPGEOMDIST(I$50,SampleCalc!$B$15,SampleCalc!$B$9*$Z62,SampleCalc!$B$9)+H62</f>
        <v>1.6827915502072129E-8</v>
      </c>
      <c r="J62">
        <f ca="1">HYPGEOMDIST(J$50,SampleCalc!$B$15,SampleCalc!$B$9*$Z62,SampleCalc!$B$9)+I62</f>
        <v>1.2684940786945793E-7</v>
      </c>
      <c r="K62">
        <f ca="1">HYPGEOMDIST(K$50,SampleCalc!$B$15,SampleCalc!$B$9*$Z62,SampleCalc!$B$9)+J62</f>
        <v>7.8055098966743102E-7</v>
      </c>
      <c r="L62">
        <f ca="1">HYPGEOMDIST(L$50,SampleCalc!$B$15,SampleCalc!$B$9*$Z62,SampleCalc!$B$9)+K62</f>
        <v>4.0330681554626267E-6</v>
      </c>
      <c r="M62">
        <f ca="1">HYPGEOMDIST(M$50,SampleCalc!$B$15,SampleCalc!$B$9*$Z62,SampleCalc!$B$9)+L62</f>
        <v>1.7864591665977341E-5</v>
      </c>
      <c r="N62">
        <f ca="1">HYPGEOMDIST(N$50,SampleCalc!$B$15,SampleCalc!$B$9*$Z62,SampleCalc!$B$9)+M62</f>
        <v>6.8925181858988692E-5</v>
      </c>
      <c r="O62">
        <f ca="1">HYPGEOMDIST(O$50,SampleCalc!$B$15,SampleCalc!$B$9*$Z62,SampleCalc!$B$9)+N62</f>
        <v>2.3456919818004557E-4</v>
      </c>
      <c r="P62">
        <f ca="1">HYPGEOMDIST(P$50,SampleCalc!$B$15,SampleCalc!$B$9*$Z62,SampleCalc!$B$9)+O62</f>
        <v>7.1145710020510309E-4</v>
      </c>
      <c r="Q62">
        <f ca="1">HYPGEOMDIST(Q$50,SampleCalc!$B$15,SampleCalc!$B$9*$Z62,SampleCalc!$B$9)+P62</f>
        <v>1.939804726633282E-3</v>
      </c>
      <c r="R62">
        <f ca="1">HYPGEOMDIST(R$50,SampleCalc!$B$15,SampleCalc!$B$9*$Z62,SampleCalc!$B$9)+Q62</f>
        <v>4.7896726838703683E-3</v>
      </c>
      <c r="S62">
        <f ca="1">HYPGEOMDIST(S$50,SampleCalc!$B$15,SampleCalc!$B$9*$Z62,SampleCalc!$B$9)+R62</f>
        <v>1.0779433383290311E-2</v>
      </c>
      <c r="T62">
        <f ca="1">HYPGEOMDIST(T$50,SampleCalc!$B$15,SampleCalc!$B$9*$Z62,SampleCalc!$B$9)+S62</f>
        <v>2.2239842188180481E-2</v>
      </c>
      <c r="U62">
        <f ca="1">HYPGEOMDIST(U$50,SampleCalc!$B$15,SampleCalc!$B$9*$Z62,SampleCalc!$B$9)+T62</f>
        <v>4.2286038984774052E-2</v>
      </c>
      <c r="V62">
        <f ca="1">HYPGEOMDIST(V$50,SampleCalc!$B$15,SampleCalc!$B$9*$Z62,SampleCalc!$B$9)+U62</f>
        <v>7.445991152157401E-2</v>
      </c>
      <c r="W62">
        <f ca="1">HYPGEOMDIST(W$50,SampleCalc!$B$15,SampleCalc!$B$9*$Z62,SampleCalc!$B$9)+V62</f>
        <v>0.12199512694173067</v>
      </c>
      <c r="X62">
        <f ca="1">HYPGEOMDIST(X$50,SampleCalc!$B$15,SampleCalc!$B$9*$Z62,SampleCalc!$B$9)+W62</f>
        <v>0.18682934215641103</v>
      </c>
      <c r="Y62">
        <f ca="1">HYPGEOMDIST(Y$50,SampleCalc!$B$15,SampleCalc!$B$9*$Z62,SampleCalc!$B$9)+X62</f>
        <v>0.26866925316510593</v>
      </c>
      <c r="Z62">
        <v>0.23899999999999999</v>
      </c>
    </row>
    <row r="63" spans="5:26">
      <c r="E63">
        <f ca="1">HYPGEOMDIST(E$50,SampleCalc!$B$15,SampleCalc!$B$9*$Z63,SampleCalc!$B$9)</f>
        <v>1.6271624295808754E-13</v>
      </c>
      <c r="F63">
        <f ca="1">HYPGEOMDIST(F$50,SampleCalc!$B$15,SampleCalc!$B$9*$Z63,SampleCalc!$B$9)+E63</f>
        <v>6.6622629546825374E-12</v>
      </c>
      <c r="G63">
        <f ca="1">HYPGEOMDIST(G$50,SampleCalc!$B$15,SampleCalc!$B$9*$Z63,SampleCalc!$B$9)+F63</f>
        <v>1.3359591911919669E-10</v>
      </c>
      <c r="H63">
        <f ca="1">HYPGEOMDIST(H$50,SampleCalc!$B$15,SampleCalc!$B$9*$Z63,SampleCalc!$B$9)+G63</f>
        <v>1.7493555840466569E-9</v>
      </c>
      <c r="I63">
        <f ca="1">HYPGEOMDIST(I$50,SampleCalc!$B$15,SampleCalc!$B$9*$Z63,SampleCalc!$B$9)+H63</f>
        <v>1.6827915502072129E-8</v>
      </c>
      <c r="J63">
        <f ca="1">HYPGEOMDIST(J$50,SampleCalc!$B$15,SampleCalc!$B$9*$Z63,SampleCalc!$B$9)+I63</f>
        <v>1.2684940786945793E-7</v>
      </c>
      <c r="K63">
        <f ca="1">HYPGEOMDIST(K$50,SampleCalc!$B$15,SampleCalc!$B$9*$Z63,SampleCalc!$B$9)+J63</f>
        <v>7.8055098966743102E-7</v>
      </c>
      <c r="L63">
        <f ca="1">HYPGEOMDIST(L$50,SampleCalc!$B$15,SampleCalc!$B$9*$Z63,SampleCalc!$B$9)+K63</f>
        <v>4.0330681554626267E-6</v>
      </c>
      <c r="M63">
        <f ca="1">HYPGEOMDIST(M$50,SampleCalc!$B$15,SampleCalc!$B$9*$Z63,SampleCalc!$B$9)+L63</f>
        <v>1.7864591665977341E-5</v>
      </c>
      <c r="N63">
        <f ca="1">HYPGEOMDIST(N$50,SampleCalc!$B$15,SampleCalc!$B$9*$Z63,SampleCalc!$B$9)+M63</f>
        <v>6.8925181858988692E-5</v>
      </c>
      <c r="O63">
        <f ca="1">HYPGEOMDIST(O$50,SampleCalc!$B$15,SampleCalc!$B$9*$Z63,SampleCalc!$B$9)+N63</f>
        <v>2.3456919818004557E-4</v>
      </c>
      <c r="P63">
        <f ca="1">HYPGEOMDIST(P$50,SampleCalc!$B$15,SampleCalc!$B$9*$Z63,SampleCalc!$B$9)+O63</f>
        <v>7.1145710020510309E-4</v>
      </c>
      <c r="Q63">
        <f ca="1">HYPGEOMDIST(Q$50,SampleCalc!$B$15,SampleCalc!$B$9*$Z63,SampleCalc!$B$9)+P63</f>
        <v>1.939804726633282E-3</v>
      </c>
      <c r="R63">
        <f ca="1">HYPGEOMDIST(R$50,SampleCalc!$B$15,SampleCalc!$B$9*$Z63,SampleCalc!$B$9)+Q63</f>
        <v>4.7896726838703683E-3</v>
      </c>
      <c r="S63">
        <f ca="1">HYPGEOMDIST(S$50,SampleCalc!$B$15,SampleCalc!$B$9*$Z63,SampleCalc!$B$9)+R63</f>
        <v>1.0779433383290311E-2</v>
      </c>
      <c r="T63">
        <f ca="1">HYPGEOMDIST(T$50,SampleCalc!$B$15,SampleCalc!$B$9*$Z63,SampleCalc!$B$9)+S63</f>
        <v>2.2239842188180481E-2</v>
      </c>
      <c r="U63">
        <f ca="1">HYPGEOMDIST(U$50,SampleCalc!$B$15,SampleCalc!$B$9*$Z63,SampleCalc!$B$9)+T63</f>
        <v>4.2286038984774052E-2</v>
      </c>
      <c r="V63">
        <f ca="1">HYPGEOMDIST(V$50,SampleCalc!$B$15,SampleCalc!$B$9*$Z63,SampleCalc!$B$9)+U63</f>
        <v>7.445991152157401E-2</v>
      </c>
      <c r="W63">
        <f ca="1">HYPGEOMDIST(W$50,SampleCalc!$B$15,SampleCalc!$B$9*$Z63,SampleCalc!$B$9)+V63</f>
        <v>0.12199512694173067</v>
      </c>
      <c r="X63">
        <f ca="1">HYPGEOMDIST(X$50,SampleCalc!$B$15,SampleCalc!$B$9*$Z63,SampleCalc!$B$9)+W63</f>
        <v>0.18682934215641103</v>
      </c>
      <c r="Y63">
        <f ca="1">HYPGEOMDIST(Y$50,SampleCalc!$B$15,SampleCalc!$B$9*$Z63,SampleCalc!$B$9)+X63</f>
        <v>0.26866925316510593</v>
      </c>
      <c r="Z63">
        <v>0.23799999999999999</v>
      </c>
    </row>
    <row r="64" spans="5:26">
      <c r="E64">
        <f ca="1">HYPGEOMDIST(E$50,SampleCalc!$B$15,SampleCalc!$B$9*$Z64,SampleCalc!$B$9)</f>
        <v>2.1733428255241076E-13</v>
      </c>
      <c r="F64">
        <f ca="1">HYPGEOMDIST(F$50,SampleCalc!$B$15,SampleCalc!$B$9*$Z64,SampleCalc!$B$9)+E64</f>
        <v>8.795601713750004E-12</v>
      </c>
      <c r="G64">
        <f ca="1">HYPGEOMDIST(G$50,SampleCalc!$B$15,SampleCalc!$B$9*$Z64,SampleCalc!$B$9)+F64</f>
        <v>1.74329356050141E-10</v>
      </c>
      <c r="H64">
        <f ca="1">HYPGEOMDIST(H$50,SampleCalc!$B$15,SampleCalc!$B$9*$Z64,SampleCalc!$B$9)+G64</f>
        <v>2.2561979342323873E-9</v>
      </c>
      <c r="I64">
        <f ca="1">HYPGEOMDIST(I$50,SampleCalc!$B$15,SampleCalc!$B$9*$Z64,SampleCalc!$B$9)+H64</f>
        <v>2.1450667282214379E-8</v>
      </c>
      <c r="J64">
        <f ca="1">HYPGEOMDIST(J$50,SampleCalc!$B$15,SampleCalc!$B$9*$Z64,SampleCalc!$B$9)+I64</f>
        <v>1.5980915148952384E-7</v>
      </c>
      <c r="K64">
        <f ca="1">HYPGEOMDIST(K$50,SampleCalc!$B$15,SampleCalc!$B$9*$Z64,SampleCalc!$B$9)+J64</f>
        <v>9.7187552883185382E-7</v>
      </c>
      <c r="L64">
        <f ca="1">HYPGEOMDIST(L$50,SampleCalc!$B$15,SampleCalc!$B$9*$Z64,SampleCalc!$B$9)+K64</f>
        <v>4.9629184754972276E-6</v>
      </c>
      <c r="M64">
        <f ca="1">HYPGEOMDIST(M$50,SampleCalc!$B$15,SampleCalc!$B$9*$Z64,SampleCalc!$B$9)+L64</f>
        <v>2.1726316974692514E-5</v>
      </c>
      <c r="N64">
        <f ca="1">HYPGEOMDIST(N$50,SampleCalc!$B$15,SampleCalc!$B$9*$Z64,SampleCalc!$B$9)+M64</f>
        <v>8.2844847096052234E-5</v>
      </c>
      <c r="O64">
        <f ca="1">HYPGEOMDIST(O$50,SampleCalc!$B$15,SampleCalc!$B$9*$Z64,SampleCalc!$B$9)+N64</f>
        <v>2.7865127315715167E-4</v>
      </c>
      <c r="P64">
        <f ca="1">HYPGEOMDIST(P$50,SampleCalc!$B$15,SampleCalc!$B$9*$Z64,SampleCalc!$B$9)+O64</f>
        <v>8.3532408774407907E-4</v>
      </c>
      <c r="Q64">
        <f ca="1">HYPGEOMDIST(Q$50,SampleCalc!$B$15,SampleCalc!$B$9*$Z64,SampleCalc!$B$9)+P64</f>
        <v>2.251134839608762E-3</v>
      </c>
      <c r="R64">
        <f ca="1">HYPGEOMDIST(R$50,SampleCalc!$B$15,SampleCalc!$B$9*$Z64,SampleCalc!$B$9)+Q64</f>
        <v>5.4943504132138905E-3</v>
      </c>
      <c r="S64">
        <f ca="1">HYPGEOMDIST(S$50,SampleCalc!$B$15,SampleCalc!$B$9*$Z64,SampleCalc!$B$9)+R64</f>
        <v>1.222402272844454E-2</v>
      </c>
      <c r="T64">
        <f ca="1">HYPGEOMDIST(T$50,SampleCalc!$B$15,SampleCalc!$B$9*$Z64,SampleCalc!$B$9)+S64</f>
        <v>2.4935129152428348E-2</v>
      </c>
      <c r="U64">
        <f ca="1">HYPGEOMDIST(U$50,SampleCalc!$B$15,SampleCalc!$B$9*$Z64,SampleCalc!$B$9)+T64</f>
        <v>4.6882306490031181E-2</v>
      </c>
      <c r="V64">
        <f ca="1">HYPGEOMDIST(V$50,SampleCalc!$B$15,SampleCalc!$B$9*$Z64,SampleCalc!$B$9)+U64</f>
        <v>8.1650112173362446E-2</v>
      </c>
      <c r="W64">
        <f ca="1">HYPGEOMDIST(W$50,SampleCalc!$B$15,SampleCalc!$B$9*$Z64,SampleCalc!$B$9)+V64</f>
        <v>0.13234680836256196</v>
      </c>
      <c r="X64">
        <f ca="1">HYPGEOMDIST(X$50,SampleCalc!$B$15,SampleCalc!$B$9*$Z64,SampleCalc!$B$9)+W64</f>
        <v>0.20058394904862864</v>
      </c>
      <c r="Y64">
        <f ca="1">HYPGEOMDIST(Y$50,SampleCalc!$B$15,SampleCalc!$B$9*$Z64,SampleCalc!$B$9)+X64</f>
        <v>0.28557932869730285</v>
      </c>
      <c r="Z64">
        <v>0.23699999999999999</v>
      </c>
    </row>
    <row r="65" spans="5:26">
      <c r="E65">
        <f ca="1">HYPGEOMDIST(E$50,SampleCalc!$B$15,SampleCalc!$B$9*$Z65,SampleCalc!$B$9)</f>
        <v>2.1733428255241076E-13</v>
      </c>
      <c r="F65">
        <f ca="1">HYPGEOMDIST(F$50,SampleCalc!$B$15,SampleCalc!$B$9*$Z65,SampleCalc!$B$9)+E65</f>
        <v>8.795601713750004E-12</v>
      </c>
      <c r="G65">
        <f ca="1">HYPGEOMDIST(G$50,SampleCalc!$B$15,SampleCalc!$B$9*$Z65,SampleCalc!$B$9)+F65</f>
        <v>1.74329356050141E-10</v>
      </c>
      <c r="H65">
        <f ca="1">HYPGEOMDIST(H$50,SampleCalc!$B$15,SampleCalc!$B$9*$Z65,SampleCalc!$B$9)+G65</f>
        <v>2.2561979342323873E-9</v>
      </c>
      <c r="I65">
        <f ca="1">HYPGEOMDIST(I$50,SampleCalc!$B$15,SampleCalc!$B$9*$Z65,SampleCalc!$B$9)+H65</f>
        <v>2.1450667282214379E-8</v>
      </c>
      <c r="J65">
        <f ca="1">HYPGEOMDIST(J$50,SampleCalc!$B$15,SampleCalc!$B$9*$Z65,SampleCalc!$B$9)+I65</f>
        <v>1.5980915148952384E-7</v>
      </c>
      <c r="K65">
        <f ca="1">HYPGEOMDIST(K$50,SampleCalc!$B$15,SampleCalc!$B$9*$Z65,SampleCalc!$B$9)+J65</f>
        <v>9.7187552883185382E-7</v>
      </c>
      <c r="L65">
        <f ca="1">HYPGEOMDIST(L$50,SampleCalc!$B$15,SampleCalc!$B$9*$Z65,SampleCalc!$B$9)+K65</f>
        <v>4.9629184754972276E-6</v>
      </c>
      <c r="M65">
        <f ca="1">HYPGEOMDIST(M$50,SampleCalc!$B$15,SampleCalc!$B$9*$Z65,SampleCalc!$B$9)+L65</f>
        <v>2.1726316974692514E-5</v>
      </c>
      <c r="N65">
        <f ca="1">HYPGEOMDIST(N$50,SampleCalc!$B$15,SampleCalc!$B$9*$Z65,SampleCalc!$B$9)+M65</f>
        <v>8.2844847096052234E-5</v>
      </c>
      <c r="O65">
        <f ca="1">HYPGEOMDIST(O$50,SampleCalc!$B$15,SampleCalc!$B$9*$Z65,SampleCalc!$B$9)+N65</f>
        <v>2.7865127315715167E-4</v>
      </c>
      <c r="P65">
        <f ca="1">HYPGEOMDIST(P$50,SampleCalc!$B$15,SampleCalc!$B$9*$Z65,SampleCalc!$B$9)+O65</f>
        <v>8.3532408774407907E-4</v>
      </c>
      <c r="Q65">
        <f ca="1">HYPGEOMDIST(Q$50,SampleCalc!$B$15,SampleCalc!$B$9*$Z65,SampleCalc!$B$9)+P65</f>
        <v>2.251134839608762E-3</v>
      </c>
      <c r="R65">
        <f ca="1">HYPGEOMDIST(R$50,SampleCalc!$B$15,SampleCalc!$B$9*$Z65,SampleCalc!$B$9)+Q65</f>
        <v>5.4943504132138905E-3</v>
      </c>
      <c r="S65">
        <f ca="1">HYPGEOMDIST(S$50,SampleCalc!$B$15,SampleCalc!$B$9*$Z65,SampleCalc!$B$9)+R65</f>
        <v>1.222402272844454E-2</v>
      </c>
      <c r="T65">
        <f ca="1">HYPGEOMDIST(T$50,SampleCalc!$B$15,SampleCalc!$B$9*$Z65,SampleCalc!$B$9)+S65</f>
        <v>2.4935129152428348E-2</v>
      </c>
      <c r="U65">
        <f ca="1">HYPGEOMDIST(U$50,SampleCalc!$B$15,SampleCalc!$B$9*$Z65,SampleCalc!$B$9)+T65</f>
        <v>4.6882306490031181E-2</v>
      </c>
      <c r="V65">
        <f ca="1">HYPGEOMDIST(V$50,SampleCalc!$B$15,SampleCalc!$B$9*$Z65,SampleCalc!$B$9)+U65</f>
        <v>8.1650112173362446E-2</v>
      </c>
      <c r="W65">
        <f ca="1">HYPGEOMDIST(W$50,SampleCalc!$B$15,SampleCalc!$B$9*$Z65,SampleCalc!$B$9)+V65</f>
        <v>0.13234680836256196</v>
      </c>
      <c r="X65">
        <f ca="1">HYPGEOMDIST(X$50,SampleCalc!$B$15,SampleCalc!$B$9*$Z65,SampleCalc!$B$9)+W65</f>
        <v>0.20058394904862864</v>
      </c>
      <c r="Y65">
        <f ca="1">HYPGEOMDIST(Y$50,SampleCalc!$B$15,SampleCalc!$B$9*$Z65,SampleCalc!$B$9)+X65</f>
        <v>0.28557932869730285</v>
      </c>
      <c r="Z65">
        <v>0.23599999999999999</v>
      </c>
    </row>
    <row r="66" spans="5:26">
      <c r="E66">
        <f ca="1">HYPGEOMDIST(E$50,SampleCalc!$B$15,SampleCalc!$B$9*$Z66,SampleCalc!$B$9)</f>
        <v>2.9003146417272925E-13</v>
      </c>
      <c r="F66">
        <f ca="1">HYPGEOMDIST(F$50,SampleCalc!$B$15,SampleCalc!$B$9*$Z66,SampleCalc!$B$9)+E66</f>
        <v>1.160125856690917E-11</v>
      </c>
      <c r="G66">
        <f ca="1">HYPGEOMDIST(G$50,SampleCalc!$B$15,SampleCalc!$B$9*$Z66,SampleCalc!$B$9)+F66</f>
        <v>2.2725821820731676E-10</v>
      </c>
      <c r="H66">
        <f ca="1">HYPGEOMDIST(H$50,SampleCalc!$B$15,SampleCalc!$B$9*$Z66,SampleCalc!$B$9)+G66</f>
        <v>2.9068579121300803E-9</v>
      </c>
      <c r="I66">
        <f ca="1">HYPGEOMDIST(I$50,SampleCalc!$B$15,SampleCalc!$B$9*$Z66,SampleCalc!$B$9)+H66</f>
        <v>2.7313314918117337E-8</v>
      </c>
      <c r="J66">
        <f ca="1">HYPGEOMDIST(J$50,SampleCalc!$B$15,SampleCalc!$B$9*$Z66,SampleCalc!$B$9)+I66</f>
        <v>2.0110066220184564E-7</v>
      </c>
      <c r="K66">
        <f ca="1">HYPGEOMDIST(K$50,SampleCalc!$B$15,SampleCalc!$B$9*$Z66,SampleCalc!$B$9)+J66</f>
        <v>1.2086323138035278E-6</v>
      </c>
      <c r="L66">
        <f ca="1">HYPGEOMDIST(L$50,SampleCalc!$B$15,SampleCalc!$B$9*$Z66,SampleCalc!$B$9)+K66</f>
        <v>6.0994200686630175E-6</v>
      </c>
      <c r="M66">
        <f ca="1">HYPGEOMDIST(M$50,SampleCalc!$B$15,SampleCalc!$B$9*$Z66,SampleCalc!$B$9)+L66</f>
        <v>2.6387899780558912E-5</v>
      </c>
      <c r="N66">
        <f ca="1">HYPGEOMDIST(N$50,SampleCalc!$B$15,SampleCalc!$B$9*$Z66,SampleCalc!$B$9)+M66</f>
        <v>9.9438612016484413E-5</v>
      </c>
      <c r="O66">
        <f ca="1">HYPGEOMDIST(O$50,SampleCalc!$B$15,SampleCalc!$B$9*$Z66,SampleCalc!$B$9)+N66</f>
        <v>3.3054450163559406E-4</v>
      </c>
      <c r="P66">
        <f ca="1">HYPGEOMDIST(P$50,SampleCalc!$B$15,SampleCalc!$B$9*$Z66,SampleCalc!$B$9)+O66</f>
        <v>9.7930484217099599E-4</v>
      </c>
      <c r="Q66">
        <f ca="1">HYPGEOMDIST(Q$50,SampleCalc!$B$15,SampleCalc!$B$9*$Z66,SampleCalc!$B$9)+P66</f>
        <v>2.6084382502601739E-3</v>
      </c>
      <c r="R66">
        <f ca="1">HYPGEOMDIST(R$50,SampleCalc!$B$15,SampleCalc!$B$9*$Z66,SampleCalc!$B$9)+Q66</f>
        <v>6.2927861116310888E-3</v>
      </c>
      <c r="S66">
        <f ca="1">HYPGEOMDIST(S$50,SampleCalc!$B$15,SampleCalc!$B$9*$Z66,SampleCalc!$B$9)+R66</f>
        <v>1.3839841341662815E-2</v>
      </c>
      <c r="T66">
        <f ca="1">HYPGEOMDIST(T$50,SampleCalc!$B$15,SampleCalc!$B$9*$Z66,SampleCalc!$B$9)+S66</f>
        <v>2.7911017604984656E-2</v>
      </c>
      <c r="U66">
        <f ca="1">HYPGEOMDIST(U$50,SampleCalc!$B$15,SampleCalc!$B$9*$Z66,SampleCalc!$B$9)+T66</f>
        <v>5.1891227647799264E-2</v>
      </c>
      <c r="V66">
        <f ca="1">HYPGEOMDIST(V$50,SampleCalc!$B$15,SampleCalc!$B$9*$Z66,SampleCalc!$B$9)+U66</f>
        <v>8.9383506507308114E-2</v>
      </c>
      <c r="W66">
        <f ca="1">HYPGEOMDIST(W$50,SampleCalc!$B$15,SampleCalc!$B$9*$Z66,SampleCalc!$B$9)+V66</f>
        <v>0.14333414457472521</v>
      </c>
      <c r="X66">
        <f ca="1">HYPGEOMDIST(X$50,SampleCalc!$B$15,SampleCalc!$B$9*$Z66,SampleCalc!$B$9)+W66</f>
        <v>0.21498994559925136</v>
      </c>
      <c r="Y66">
        <f ca="1">HYPGEOMDIST(Y$50,SampleCalc!$B$15,SampleCalc!$B$9*$Z66,SampleCalc!$B$9)+X66</f>
        <v>0.30305422483884004</v>
      </c>
      <c r="Z66">
        <v>0.23499999999999999</v>
      </c>
    </row>
    <row r="67" spans="5:26">
      <c r="E67">
        <f ca="1">HYPGEOMDIST(E$50,SampleCalc!$B$15,SampleCalc!$B$9*$Z67,SampleCalc!$B$9)</f>
        <v>2.9003146417272925E-13</v>
      </c>
      <c r="F67">
        <f ca="1">HYPGEOMDIST(F$50,SampleCalc!$B$15,SampleCalc!$B$9*$Z67,SampleCalc!$B$9)+E67</f>
        <v>1.160125856690917E-11</v>
      </c>
      <c r="G67">
        <f ca="1">HYPGEOMDIST(G$50,SampleCalc!$B$15,SampleCalc!$B$9*$Z67,SampleCalc!$B$9)+F67</f>
        <v>2.2725821820731676E-10</v>
      </c>
      <c r="H67">
        <f ca="1">HYPGEOMDIST(H$50,SampleCalc!$B$15,SampleCalc!$B$9*$Z67,SampleCalc!$B$9)+G67</f>
        <v>2.9068579121300803E-9</v>
      </c>
      <c r="I67">
        <f ca="1">HYPGEOMDIST(I$50,SampleCalc!$B$15,SampleCalc!$B$9*$Z67,SampleCalc!$B$9)+H67</f>
        <v>2.7313314918117337E-8</v>
      </c>
      <c r="J67">
        <f ca="1">HYPGEOMDIST(J$50,SampleCalc!$B$15,SampleCalc!$B$9*$Z67,SampleCalc!$B$9)+I67</f>
        <v>2.0110066220184564E-7</v>
      </c>
      <c r="K67">
        <f ca="1">HYPGEOMDIST(K$50,SampleCalc!$B$15,SampleCalc!$B$9*$Z67,SampleCalc!$B$9)+J67</f>
        <v>1.2086323138035278E-6</v>
      </c>
      <c r="L67">
        <f ca="1">HYPGEOMDIST(L$50,SampleCalc!$B$15,SampleCalc!$B$9*$Z67,SampleCalc!$B$9)+K67</f>
        <v>6.0994200686630175E-6</v>
      </c>
      <c r="M67">
        <f ca="1">HYPGEOMDIST(M$50,SampleCalc!$B$15,SampleCalc!$B$9*$Z67,SampleCalc!$B$9)+L67</f>
        <v>2.6387899780558912E-5</v>
      </c>
      <c r="N67">
        <f ca="1">HYPGEOMDIST(N$50,SampleCalc!$B$15,SampleCalc!$B$9*$Z67,SampleCalc!$B$9)+M67</f>
        <v>9.9438612016484413E-5</v>
      </c>
      <c r="O67">
        <f ca="1">HYPGEOMDIST(O$50,SampleCalc!$B$15,SampleCalc!$B$9*$Z67,SampleCalc!$B$9)+N67</f>
        <v>3.3054450163559406E-4</v>
      </c>
      <c r="P67">
        <f ca="1">HYPGEOMDIST(P$50,SampleCalc!$B$15,SampleCalc!$B$9*$Z67,SampleCalc!$B$9)+O67</f>
        <v>9.7930484217099599E-4</v>
      </c>
      <c r="Q67">
        <f ca="1">HYPGEOMDIST(Q$50,SampleCalc!$B$15,SampleCalc!$B$9*$Z67,SampleCalc!$B$9)+P67</f>
        <v>2.6084382502601739E-3</v>
      </c>
      <c r="R67">
        <f ca="1">HYPGEOMDIST(R$50,SampleCalc!$B$15,SampleCalc!$B$9*$Z67,SampleCalc!$B$9)+Q67</f>
        <v>6.2927861116310888E-3</v>
      </c>
      <c r="S67">
        <f ca="1">HYPGEOMDIST(S$50,SampleCalc!$B$15,SampleCalc!$B$9*$Z67,SampleCalc!$B$9)+R67</f>
        <v>1.3839841341662815E-2</v>
      </c>
      <c r="T67">
        <f ca="1">HYPGEOMDIST(T$50,SampleCalc!$B$15,SampleCalc!$B$9*$Z67,SampleCalc!$B$9)+S67</f>
        <v>2.7911017604984656E-2</v>
      </c>
      <c r="U67">
        <f ca="1">HYPGEOMDIST(U$50,SampleCalc!$B$15,SampleCalc!$B$9*$Z67,SampleCalc!$B$9)+T67</f>
        <v>5.1891227647799264E-2</v>
      </c>
      <c r="V67">
        <f ca="1">HYPGEOMDIST(V$50,SampleCalc!$B$15,SampleCalc!$B$9*$Z67,SampleCalc!$B$9)+U67</f>
        <v>8.9383506507308114E-2</v>
      </c>
      <c r="W67">
        <f ca="1">HYPGEOMDIST(W$50,SampleCalc!$B$15,SampleCalc!$B$9*$Z67,SampleCalc!$B$9)+V67</f>
        <v>0.14333414457472521</v>
      </c>
      <c r="X67">
        <f ca="1">HYPGEOMDIST(X$50,SampleCalc!$B$15,SampleCalc!$B$9*$Z67,SampleCalc!$B$9)+W67</f>
        <v>0.21498994559925136</v>
      </c>
      <c r="Y67">
        <f ca="1">HYPGEOMDIST(Y$50,SampleCalc!$B$15,SampleCalc!$B$9*$Z67,SampleCalc!$B$9)+X67</f>
        <v>0.30305422483884004</v>
      </c>
      <c r="Z67">
        <v>0.23400000000000001</v>
      </c>
    </row>
    <row r="68" spans="5:26">
      <c r="E68">
        <f ca="1">HYPGEOMDIST(E$50,SampleCalc!$B$15,SampleCalc!$B$9*$Z68,SampleCalc!$B$9)</f>
        <v>3.8670861889697242E-13</v>
      </c>
      <c r="F68">
        <f ca="1">HYPGEOMDIST(F$50,SampleCalc!$B$15,SampleCalc!$B$9*$Z68,SampleCalc!$B$9)+E68</f>
        <v>1.5287702321446051E-11</v>
      </c>
      <c r="G68">
        <f ca="1">HYPGEOMDIST(G$50,SampleCalc!$B$15,SampleCalc!$B$9*$Z68,SampleCalc!$B$9)+F68</f>
        <v>2.9596590266687465E-10</v>
      </c>
      <c r="H68">
        <f ca="1">HYPGEOMDIST(H$50,SampleCalc!$B$15,SampleCalc!$B$9*$Z68,SampleCalc!$B$9)+G68</f>
        <v>3.7412666986595621E-9</v>
      </c>
      <c r="I68">
        <f ca="1">HYPGEOMDIST(I$50,SampleCalc!$B$15,SampleCalc!$B$9*$Z68,SampleCalc!$B$9)+H68</f>
        <v>3.4740124631097156E-8</v>
      </c>
      <c r="J68">
        <f ca="1">HYPGEOMDIST(J$50,SampleCalc!$B$15,SampleCalc!$B$9*$Z68,SampleCalc!$B$9)+I68</f>
        <v>2.5276895202757279E-7</v>
      </c>
      <c r="K68">
        <f ca="1">HYPGEOMDIST(K$50,SampleCalc!$B$15,SampleCalc!$B$9*$Z68,SampleCalc!$B$9)+J68</f>
        <v>1.5012435470002514E-6</v>
      </c>
      <c r="L68">
        <f ca="1">HYPGEOMDIST(L$50,SampleCalc!$B$15,SampleCalc!$B$9*$Z68,SampleCalc!$B$9)+K68</f>
        <v>7.486666544690079E-6</v>
      </c>
      <c r="M68">
        <f ca="1">HYPGEOMDIST(M$50,SampleCalc!$B$15,SampleCalc!$B$9*$Z68,SampleCalc!$B$9)+L68</f>
        <v>3.2007185337168566E-5</v>
      </c>
      <c r="N68">
        <f ca="1">HYPGEOMDIST(N$50,SampleCalc!$B$15,SampleCalc!$B$9*$Z68,SampleCalc!$B$9)+M68</f>
        <v>1.1919125215486984E-4</v>
      </c>
      <c r="O68">
        <f ca="1">HYPGEOMDIST(O$50,SampleCalc!$B$15,SampleCalc!$B$9*$Z68,SampleCalc!$B$9)+N68</f>
        <v>3.915390635662729E-4</v>
      </c>
      <c r="P68">
        <f ca="1">HYPGEOMDIST(P$50,SampleCalc!$B$15,SampleCalc!$B$9*$Z68,SampleCalc!$B$9)+O68</f>
        <v>1.1463954481288605E-3</v>
      </c>
      <c r="Q68">
        <f ca="1">HYPGEOMDIST(Q$50,SampleCalc!$B$15,SampleCalc!$B$9*$Z68,SampleCalc!$B$9)+P68</f>
        <v>3.0178102348569439E-3</v>
      </c>
      <c r="R68">
        <f ca="1">HYPGEOMDIST(R$50,SampleCalc!$B$15,SampleCalc!$B$9*$Z68,SampleCalc!$B$9)+Q68</f>
        <v>7.1958525494126594E-3</v>
      </c>
      <c r="S68">
        <f ca="1">HYPGEOMDIST(S$50,SampleCalc!$B$15,SampleCalc!$B$9*$Z68,SampleCalc!$B$9)+R68</f>
        <v>1.5643838298498945E-2</v>
      </c>
      <c r="T68">
        <f ca="1">HYPGEOMDIST(T$50,SampleCalc!$B$15,SampleCalc!$B$9*$Z68,SampleCalc!$B$9)+S68</f>
        <v>3.1190362568104618E-2</v>
      </c>
      <c r="U68">
        <f ca="1">HYPGEOMDIST(U$50,SampleCalc!$B$15,SampleCalc!$B$9*$Z68,SampleCalc!$B$9)+T68</f>
        <v>5.7338823721403101E-2</v>
      </c>
      <c r="V68">
        <f ca="1">HYPGEOMDIST(V$50,SampleCalc!$B$15,SampleCalc!$B$9*$Z68,SampleCalc!$B$9)+U68</f>
        <v>9.768360467152612E-2</v>
      </c>
      <c r="W68">
        <f ca="1">HYPGEOMDIST(W$50,SampleCalc!$B$15,SampleCalc!$B$9*$Z68,SampleCalc!$B$9)+V68</f>
        <v>0.15497055670691323</v>
      </c>
      <c r="X68">
        <f ca="1">HYPGEOMDIST(X$50,SampleCalc!$B$15,SampleCalc!$B$9*$Z68,SampleCalc!$B$9)+W68</f>
        <v>0.23004366854618963</v>
      </c>
      <c r="Y68">
        <f ca="1">HYPGEOMDIST(Y$50,SampleCalc!$B$15,SampleCalc!$B$9*$Z68,SampleCalc!$B$9)+X68</f>
        <v>0.32106981665131229</v>
      </c>
      <c r="Z68">
        <v>0.23300000000000001</v>
      </c>
    </row>
    <row r="69" spans="5:26">
      <c r="E69">
        <f ca="1">HYPGEOMDIST(E$50,SampleCalc!$B$15,SampleCalc!$B$9*$Z69,SampleCalc!$B$9)</f>
        <v>3.8670861889697242E-13</v>
      </c>
      <c r="F69">
        <f ca="1">HYPGEOMDIST(F$50,SampleCalc!$B$15,SampleCalc!$B$9*$Z69,SampleCalc!$B$9)+E69</f>
        <v>1.5287702321446051E-11</v>
      </c>
      <c r="G69">
        <f ca="1">HYPGEOMDIST(G$50,SampleCalc!$B$15,SampleCalc!$B$9*$Z69,SampleCalc!$B$9)+F69</f>
        <v>2.9596590266687465E-10</v>
      </c>
      <c r="H69">
        <f ca="1">HYPGEOMDIST(H$50,SampleCalc!$B$15,SampleCalc!$B$9*$Z69,SampleCalc!$B$9)+G69</f>
        <v>3.7412666986595621E-9</v>
      </c>
      <c r="I69">
        <f ca="1">HYPGEOMDIST(I$50,SampleCalc!$B$15,SampleCalc!$B$9*$Z69,SampleCalc!$B$9)+H69</f>
        <v>3.4740124631097156E-8</v>
      </c>
      <c r="J69">
        <f ca="1">HYPGEOMDIST(J$50,SampleCalc!$B$15,SampleCalc!$B$9*$Z69,SampleCalc!$B$9)+I69</f>
        <v>2.5276895202757279E-7</v>
      </c>
      <c r="K69">
        <f ca="1">HYPGEOMDIST(K$50,SampleCalc!$B$15,SampleCalc!$B$9*$Z69,SampleCalc!$B$9)+J69</f>
        <v>1.5012435470002514E-6</v>
      </c>
      <c r="L69">
        <f ca="1">HYPGEOMDIST(L$50,SampleCalc!$B$15,SampleCalc!$B$9*$Z69,SampleCalc!$B$9)+K69</f>
        <v>7.486666544690079E-6</v>
      </c>
      <c r="M69">
        <f ca="1">HYPGEOMDIST(M$50,SampleCalc!$B$15,SampleCalc!$B$9*$Z69,SampleCalc!$B$9)+L69</f>
        <v>3.2007185337168566E-5</v>
      </c>
      <c r="N69">
        <f ca="1">HYPGEOMDIST(N$50,SampleCalc!$B$15,SampleCalc!$B$9*$Z69,SampleCalc!$B$9)+M69</f>
        <v>1.1919125215486984E-4</v>
      </c>
      <c r="O69">
        <f ca="1">HYPGEOMDIST(O$50,SampleCalc!$B$15,SampleCalc!$B$9*$Z69,SampleCalc!$B$9)+N69</f>
        <v>3.915390635662729E-4</v>
      </c>
      <c r="P69">
        <f ca="1">HYPGEOMDIST(P$50,SampleCalc!$B$15,SampleCalc!$B$9*$Z69,SampleCalc!$B$9)+O69</f>
        <v>1.1463954481288605E-3</v>
      </c>
      <c r="Q69">
        <f ca="1">HYPGEOMDIST(Q$50,SampleCalc!$B$15,SampleCalc!$B$9*$Z69,SampleCalc!$B$9)+P69</f>
        <v>3.0178102348569439E-3</v>
      </c>
      <c r="R69">
        <f ca="1">HYPGEOMDIST(R$50,SampleCalc!$B$15,SampleCalc!$B$9*$Z69,SampleCalc!$B$9)+Q69</f>
        <v>7.1958525494126594E-3</v>
      </c>
      <c r="S69">
        <f ca="1">HYPGEOMDIST(S$50,SampleCalc!$B$15,SampleCalc!$B$9*$Z69,SampleCalc!$B$9)+R69</f>
        <v>1.5643838298498945E-2</v>
      </c>
      <c r="T69">
        <f ca="1">HYPGEOMDIST(T$50,SampleCalc!$B$15,SampleCalc!$B$9*$Z69,SampleCalc!$B$9)+S69</f>
        <v>3.1190362568104618E-2</v>
      </c>
      <c r="U69">
        <f ca="1">HYPGEOMDIST(U$50,SampleCalc!$B$15,SampleCalc!$B$9*$Z69,SampleCalc!$B$9)+T69</f>
        <v>5.7338823721403101E-2</v>
      </c>
      <c r="V69">
        <f ca="1">HYPGEOMDIST(V$50,SampleCalc!$B$15,SampleCalc!$B$9*$Z69,SampleCalc!$B$9)+U69</f>
        <v>9.768360467152612E-2</v>
      </c>
      <c r="W69">
        <f ca="1">HYPGEOMDIST(W$50,SampleCalc!$B$15,SampleCalc!$B$9*$Z69,SampleCalc!$B$9)+V69</f>
        <v>0.15497055670691323</v>
      </c>
      <c r="X69">
        <f ca="1">HYPGEOMDIST(X$50,SampleCalc!$B$15,SampleCalc!$B$9*$Z69,SampleCalc!$B$9)+W69</f>
        <v>0.23004366854618963</v>
      </c>
      <c r="Y69">
        <f ca="1">HYPGEOMDIST(Y$50,SampleCalc!$B$15,SampleCalc!$B$9*$Z69,SampleCalc!$B$9)+X69</f>
        <v>0.32106981665131229</v>
      </c>
      <c r="Z69">
        <v>0.23200000000000001</v>
      </c>
    </row>
    <row r="70" spans="5:26">
      <c r="E70">
        <f ca="1">HYPGEOMDIST(E$50,SampleCalc!$B$15,SampleCalc!$B$9*$Z70,SampleCalc!$B$9)</f>
        <v>5.1516546116032649E-13</v>
      </c>
      <c r="F70">
        <f ca="1">HYPGEOMDIST(F$50,SampleCalc!$B$15,SampleCalc!$B$9*$Z70,SampleCalc!$B$9)+E70</f>
        <v>2.0126981637746537E-11</v>
      </c>
      <c r="G70">
        <f ca="1">HYPGEOMDIST(G$50,SampleCalc!$B$15,SampleCalc!$B$9*$Z70,SampleCalc!$B$9)+F70</f>
        <v>3.8506850945978915E-10</v>
      </c>
      <c r="H70">
        <f ca="1">HYPGEOMDIST(H$50,SampleCalc!$B$15,SampleCalc!$B$9*$Z70,SampleCalc!$B$9)+G70</f>
        <v>4.810192834260854E-9</v>
      </c>
      <c r="I70">
        <f ca="1">HYPGEOMDIST(I$50,SampleCalc!$B$15,SampleCalc!$B$9*$Z70,SampleCalc!$B$9)+H70</f>
        <v>4.4137918915427981E-8</v>
      </c>
      <c r="J70">
        <f ca="1">HYPGEOMDIST(J$50,SampleCalc!$B$15,SampleCalc!$B$9*$Z70,SampleCalc!$B$9)+I70</f>
        <v>3.1734522418133245E-7</v>
      </c>
      <c r="K70">
        <f ca="1">HYPGEOMDIST(K$50,SampleCalc!$B$15,SampleCalc!$B$9*$Z70,SampleCalc!$B$9)+J70</f>
        <v>1.8624328658263599E-6</v>
      </c>
      <c r="L70">
        <f ca="1">HYPGEOMDIST(L$50,SampleCalc!$B$15,SampleCalc!$B$9*$Z70,SampleCalc!$B$9)+K70</f>
        <v>9.177736806240322E-6</v>
      </c>
      <c r="M70">
        <f ca="1">HYPGEOMDIST(M$50,SampleCalc!$B$15,SampleCalc!$B$9*$Z70,SampleCalc!$B$9)+L70</f>
        <v>3.8771466383369524E-5</v>
      </c>
      <c r="N70">
        <f ca="1">HYPGEOMDIST(N$50,SampleCalc!$B$15,SampleCalc!$B$9*$Z70,SampleCalc!$B$9)+M70</f>
        <v>1.4266951175930114E-4</v>
      </c>
      <c r="O70">
        <f ca="1">HYPGEOMDIST(O$50,SampleCalc!$B$15,SampleCalc!$B$9*$Z70,SampleCalc!$B$9)+N70</f>
        <v>4.6312027244720794E-4</v>
      </c>
      <c r="P70">
        <f ca="1">HYPGEOMDIST(P$50,SampleCalc!$B$15,SampleCalc!$B$9*$Z70,SampleCalc!$B$9)+O70</f>
        <v>1.3399900812386628E-3</v>
      </c>
      <c r="Q70">
        <f ca="1">HYPGEOMDIST(Q$50,SampleCalc!$B$15,SampleCalc!$B$9*$Z70,SampleCalc!$B$9)+P70</f>
        <v>3.4860391149364621E-3</v>
      </c>
      <c r="R70">
        <f ca="1">HYPGEOMDIST(R$50,SampleCalc!$B$15,SampleCalc!$B$9*$Z70,SampleCalc!$B$9)+Q70</f>
        <v>8.215437036371346E-3</v>
      </c>
      <c r="S70">
        <f ca="1">HYPGEOMDIST(S$50,SampleCalc!$B$15,SampleCalc!$B$9*$Z70,SampleCalc!$B$9)+R70</f>
        <v>1.7654164712672095E-2</v>
      </c>
      <c r="T70">
        <f ca="1">HYPGEOMDIST(T$50,SampleCalc!$B$15,SampleCalc!$B$9*$Z70,SampleCalc!$B$9)+S70</f>
        <v>3.4797046865111286E-2</v>
      </c>
      <c r="U70">
        <f ca="1">HYPGEOMDIST(U$50,SampleCalc!$B$15,SampleCalc!$B$9*$Z70,SampleCalc!$B$9)+T70</f>
        <v>6.3251420929610766E-2</v>
      </c>
      <c r="V70">
        <f ca="1">HYPGEOMDIST(V$50,SampleCalc!$B$15,SampleCalc!$B$9*$Z70,SampleCalc!$B$9)+U70</f>
        <v>0.10657295929770688</v>
      </c>
      <c r="W70">
        <f ca="1">HYPGEOMDIST(W$50,SampleCalc!$B$15,SampleCalc!$B$9*$Z70,SampleCalc!$B$9)+V70</f>
        <v>0.16726701468058786</v>
      </c>
      <c r="X70">
        <f ca="1">HYPGEOMDIST(X$50,SampleCalc!$B$15,SampleCalc!$B$9*$Z70,SampleCalc!$B$9)+W70</f>
        <v>0.24573783201259011</v>
      </c>
      <c r="Y70">
        <f ca="1">HYPGEOMDIST(Y$50,SampleCalc!$B$15,SampleCalc!$B$9*$Z70,SampleCalc!$B$9)+X70</f>
        <v>0.33959807177281037</v>
      </c>
      <c r="Z70">
        <v>0.23100000000000001</v>
      </c>
    </row>
    <row r="71" spans="5:26">
      <c r="E71">
        <f ca="1">HYPGEOMDIST(E$50,SampleCalc!$B$15,SampleCalc!$B$9*$Z71,SampleCalc!$B$9)</f>
        <v>5.1516546116032649E-13</v>
      </c>
      <c r="F71">
        <f ca="1">HYPGEOMDIST(F$50,SampleCalc!$B$15,SampleCalc!$B$9*$Z71,SampleCalc!$B$9)+E71</f>
        <v>2.0126981637746537E-11</v>
      </c>
      <c r="G71">
        <f ca="1">HYPGEOMDIST(G$50,SampleCalc!$B$15,SampleCalc!$B$9*$Z71,SampleCalc!$B$9)+F71</f>
        <v>3.8506850945978915E-10</v>
      </c>
      <c r="H71">
        <f ca="1">HYPGEOMDIST(H$50,SampleCalc!$B$15,SampleCalc!$B$9*$Z71,SampleCalc!$B$9)+G71</f>
        <v>4.810192834260854E-9</v>
      </c>
      <c r="I71">
        <f ca="1">HYPGEOMDIST(I$50,SampleCalc!$B$15,SampleCalc!$B$9*$Z71,SampleCalc!$B$9)+H71</f>
        <v>4.4137918915427981E-8</v>
      </c>
      <c r="J71">
        <f ca="1">HYPGEOMDIST(J$50,SampleCalc!$B$15,SampleCalc!$B$9*$Z71,SampleCalc!$B$9)+I71</f>
        <v>3.1734522418133245E-7</v>
      </c>
      <c r="K71">
        <f ca="1">HYPGEOMDIST(K$50,SampleCalc!$B$15,SampleCalc!$B$9*$Z71,SampleCalc!$B$9)+J71</f>
        <v>1.8624328658263599E-6</v>
      </c>
      <c r="L71">
        <f ca="1">HYPGEOMDIST(L$50,SampleCalc!$B$15,SampleCalc!$B$9*$Z71,SampleCalc!$B$9)+K71</f>
        <v>9.177736806240322E-6</v>
      </c>
      <c r="M71">
        <f ca="1">HYPGEOMDIST(M$50,SampleCalc!$B$15,SampleCalc!$B$9*$Z71,SampleCalc!$B$9)+L71</f>
        <v>3.8771466383369524E-5</v>
      </c>
      <c r="N71">
        <f ca="1">HYPGEOMDIST(N$50,SampleCalc!$B$15,SampleCalc!$B$9*$Z71,SampleCalc!$B$9)+M71</f>
        <v>1.4266951175930114E-4</v>
      </c>
      <c r="O71">
        <f ca="1">HYPGEOMDIST(O$50,SampleCalc!$B$15,SampleCalc!$B$9*$Z71,SampleCalc!$B$9)+N71</f>
        <v>4.6312027244720794E-4</v>
      </c>
      <c r="P71">
        <f ca="1">HYPGEOMDIST(P$50,SampleCalc!$B$15,SampleCalc!$B$9*$Z71,SampleCalc!$B$9)+O71</f>
        <v>1.3399900812386628E-3</v>
      </c>
      <c r="Q71">
        <f ca="1">HYPGEOMDIST(Q$50,SampleCalc!$B$15,SampleCalc!$B$9*$Z71,SampleCalc!$B$9)+P71</f>
        <v>3.4860391149364621E-3</v>
      </c>
      <c r="R71">
        <f ca="1">HYPGEOMDIST(R$50,SampleCalc!$B$15,SampleCalc!$B$9*$Z71,SampleCalc!$B$9)+Q71</f>
        <v>8.215437036371346E-3</v>
      </c>
      <c r="S71">
        <f ca="1">HYPGEOMDIST(S$50,SampleCalc!$B$15,SampleCalc!$B$9*$Z71,SampleCalc!$B$9)+R71</f>
        <v>1.7654164712672095E-2</v>
      </c>
      <c r="T71">
        <f ca="1">HYPGEOMDIST(T$50,SampleCalc!$B$15,SampleCalc!$B$9*$Z71,SampleCalc!$B$9)+S71</f>
        <v>3.4797046865111286E-2</v>
      </c>
      <c r="U71">
        <f ca="1">HYPGEOMDIST(U$50,SampleCalc!$B$15,SampleCalc!$B$9*$Z71,SampleCalc!$B$9)+T71</f>
        <v>6.3251420929610766E-2</v>
      </c>
      <c r="V71">
        <f ca="1">HYPGEOMDIST(V$50,SampleCalc!$B$15,SampleCalc!$B$9*$Z71,SampleCalc!$B$9)+U71</f>
        <v>0.10657295929770688</v>
      </c>
      <c r="W71">
        <f ca="1">HYPGEOMDIST(W$50,SampleCalc!$B$15,SampleCalc!$B$9*$Z71,SampleCalc!$B$9)+V71</f>
        <v>0.16726701468058786</v>
      </c>
      <c r="X71">
        <f ca="1">HYPGEOMDIST(X$50,SampleCalc!$B$15,SampleCalc!$B$9*$Z71,SampleCalc!$B$9)+W71</f>
        <v>0.24573783201259011</v>
      </c>
      <c r="Y71">
        <f ca="1">HYPGEOMDIST(Y$50,SampleCalc!$B$15,SampleCalc!$B$9*$Z71,SampleCalc!$B$9)+X71</f>
        <v>0.33959807177281037</v>
      </c>
      <c r="Z71">
        <v>0.23</v>
      </c>
    </row>
    <row r="72" spans="5:26">
      <c r="E72">
        <f ca="1">HYPGEOMDIST(E$50,SampleCalc!$B$15,SampleCalc!$B$9*$Z72,SampleCalc!$B$9)</f>
        <v>6.8570299313064125E-13</v>
      </c>
      <c r="F72">
        <f ca="1">HYPGEOMDIST(F$50,SampleCalc!$B$15,SampleCalc!$B$9*$Z72,SampleCalc!$B$9)+E72</f>
        <v>2.6473790817260339E-11</v>
      </c>
      <c r="G72">
        <f ca="1">HYPGEOMDIST(G$50,SampleCalc!$B$15,SampleCalc!$B$9*$Z72,SampleCalc!$B$9)+F72</f>
        <v>5.0050653532416467E-10</v>
      </c>
      <c r="H72">
        <f ca="1">HYPGEOMDIST(H$50,SampleCalc!$B$15,SampleCalc!$B$9*$Z72,SampleCalc!$B$9)+G72</f>
        <v>6.1781137414318835E-9</v>
      </c>
      <c r="I72">
        <f ca="1">HYPGEOMDIST(I$50,SampleCalc!$B$15,SampleCalc!$B$9*$Z72,SampleCalc!$B$9)+H72</f>
        <v>5.6016497405249996E-8</v>
      </c>
      <c r="J72">
        <f ca="1">HYPGEOMDIST(J$50,SampleCalc!$B$15,SampleCalc!$B$9*$Z72,SampleCalc!$B$9)+I72</f>
        <v>3.9795849244107259E-7</v>
      </c>
      <c r="K72">
        <f ca="1">HYPGEOMDIST(K$50,SampleCalc!$B$15,SampleCalc!$B$9*$Z72,SampleCalc!$B$9)+J72</f>
        <v>2.3077122361124274E-6</v>
      </c>
      <c r="L72">
        <f ca="1">HYPGEOMDIST(L$50,SampleCalc!$B$15,SampleCalc!$B$9*$Z72,SampleCalc!$B$9)+K72</f>
        <v>1.1236431037692788E-5</v>
      </c>
      <c r="M72">
        <f ca="1">HYPGEOMDIST(M$50,SampleCalc!$B$15,SampleCalc!$B$9*$Z72,SampleCalc!$B$9)+L72</f>
        <v>4.6902617760616342E-5</v>
      </c>
      <c r="N72">
        <f ca="1">HYPGEOMDIST(N$50,SampleCalc!$B$15,SampleCalc!$B$9*$Z72,SampleCalc!$B$9)+M72</f>
        <v>1.7053479529737994E-4</v>
      </c>
      <c r="O72">
        <f ca="1">HYPGEOMDIST(O$50,SampleCalc!$B$15,SampleCalc!$B$9*$Z72,SampleCalc!$B$9)+N72</f>
        <v>5.469947758968256E-4</v>
      </c>
      <c r="P72">
        <f ca="1">HYPGEOMDIST(P$50,SampleCalc!$B$15,SampleCalc!$B$9*$Z72,SampleCalc!$B$9)+O72</f>
        <v>1.563925632581041E-3</v>
      </c>
      <c r="Q72">
        <f ca="1">HYPGEOMDIST(Q$50,SampleCalc!$B$15,SampleCalc!$B$9*$Z72,SampleCalc!$B$9)+P72</f>
        <v>4.0206667060551865E-3</v>
      </c>
      <c r="R72">
        <f ca="1">HYPGEOMDIST(R$50,SampleCalc!$B$15,SampleCalc!$B$9*$Z72,SampleCalc!$B$9)+Q72</f>
        <v>9.3644995360949203E-3</v>
      </c>
      <c r="S72">
        <f ca="1">HYPGEOMDIST(S$50,SampleCalc!$B$15,SampleCalc!$B$9*$Z72,SampleCalc!$B$9)+R72</f>
        <v>1.9890192819511987E-2</v>
      </c>
      <c r="T72">
        <f ca="1">HYPGEOMDIST(T$50,SampleCalc!$B$15,SampleCalc!$B$9*$Z72,SampleCalc!$B$9)+S72</f>
        <v>3.8755916300172076E-2</v>
      </c>
      <c r="U72">
        <f ca="1">HYPGEOMDIST(U$50,SampleCalc!$B$15,SampleCalc!$B$9*$Z72,SampleCalc!$B$9)+T72</f>
        <v>6.9655474427503236E-2</v>
      </c>
      <c r="V72">
        <f ca="1">HYPGEOMDIST(V$50,SampleCalc!$B$15,SampleCalc!$B$9*$Z72,SampleCalc!$B$9)+U72</f>
        <v>0.11607289840111434</v>
      </c>
      <c r="W72">
        <f ca="1">HYPGEOMDIST(W$50,SampleCalc!$B$15,SampleCalc!$B$9*$Z72,SampleCalc!$B$9)+V72</f>
        <v>0.18023175841370126</v>
      </c>
      <c r="X72">
        <f ca="1">HYPGEOMDIST(X$50,SampleCalc!$B$15,SampleCalc!$B$9*$Z72,SampleCalc!$B$9)+W72</f>
        <v>0.26206135197088931</v>
      </c>
      <c r="Y72">
        <f ca="1">HYPGEOMDIST(Y$50,SampleCalc!$B$15,SampleCalc!$B$9*$Z72,SampleCalc!$B$9)+X72</f>
        <v>0.35860707404682979</v>
      </c>
      <c r="Z72">
        <v>0.22900000000000001</v>
      </c>
    </row>
    <row r="73" spans="5:26">
      <c r="E73">
        <f ca="1">HYPGEOMDIST(E$50,SampleCalc!$B$15,SampleCalc!$B$9*$Z73,SampleCalc!$B$9)</f>
        <v>6.8570299313064125E-13</v>
      </c>
      <c r="F73">
        <f ca="1">HYPGEOMDIST(F$50,SampleCalc!$B$15,SampleCalc!$B$9*$Z73,SampleCalc!$B$9)+E73</f>
        <v>2.6473790817260339E-11</v>
      </c>
      <c r="G73">
        <f ca="1">HYPGEOMDIST(G$50,SampleCalc!$B$15,SampleCalc!$B$9*$Z73,SampleCalc!$B$9)+F73</f>
        <v>5.0050653532416467E-10</v>
      </c>
      <c r="H73">
        <f ca="1">HYPGEOMDIST(H$50,SampleCalc!$B$15,SampleCalc!$B$9*$Z73,SampleCalc!$B$9)+G73</f>
        <v>6.1781137414318835E-9</v>
      </c>
      <c r="I73">
        <f ca="1">HYPGEOMDIST(I$50,SampleCalc!$B$15,SampleCalc!$B$9*$Z73,SampleCalc!$B$9)+H73</f>
        <v>5.6016497405249996E-8</v>
      </c>
      <c r="J73">
        <f ca="1">HYPGEOMDIST(J$50,SampleCalc!$B$15,SampleCalc!$B$9*$Z73,SampleCalc!$B$9)+I73</f>
        <v>3.9795849244107259E-7</v>
      </c>
      <c r="K73">
        <f ca="1">HYPGEOMDIST(K$50,SampleCalc!$B$15,SampleCalc!$B$9*$Z73,SampleCalc!$B$9)+J73</f>
        <v>2.3077122361124274E-6</v>
      </c>
      <c r="L73">
        <f ca="1">HYPGEOMDIST(L$50,SampleCalc!$B$15,SampleCalc!$B$9*$Z73,SampleCalc!$B$9)+K73</f>
        <v>1.1236431037692788E-5</v>
      </c>
      <c r="M73">
        <f ca="1">HYPGEOMDIST(M$50,SampleCalc!$B$15,SampleCalc!$B$9*$Z73,SampleCalc!$B$9)+L73</f>
        <v>4.6902617760616342E-5</v>
      </c>
      <c r="N73">
        <f ca="1">HYPGEOMDIST(N$50,SampleCalc!$B$15,SampleCalc!$B$9*$Z73,SampleCalc!$B$9)+M73</f>
        <v>1.7053479529737994E-4</v>
      </c>
      <c r="O73">
        <f ca="1">HYPGEOMDIST(O$50,SampleCalc!$B$15,SampleCalc!$B$9*$Z73,SampleCalc!$B$9)+N73</f>
        <v>5.469947758968256E-4</v>
      </c>
      <c r="P73">
        <f ca="1">HYPGEOMDIST(P$50,SampleCalc!$B$15,SampleCalc!$B$9*$Z73,SampleCalc!$B$9)+O73</f>
        <v>1.563925632581041E-3</v>
      </c>
      <c r="Q73">
        <f ca="1">HYPGEOMDIST(Q$50,SampleCalc!$B$15,SampleCalc!$B$9*$Z73,SampleCalc!$B$9)+P73</f>
        <v>4.0206667060551865E-3</v>
      </c>
      <c r="R73">
        <f ca="1">HYPGEOMDIST(R$50,SampleCalc!$B$15,SampleCalc!$B$9*$Z73,SampleCalc!$B$9)+Q73</f>
        <v>9.3644995360949203E-3</v>
      </c>
      <c r="S73">
        <f ca="1">HYPGEOMDIST(S$50,SampleCalc!$B$15,SampleCalc!$B$9*$Z73,SampleCalc!$B$9)+R73</f>
        <v>1.9890192819511987E-2</v>
      </c>
      <c r="T73">
        <f ca="1">HYPGEOMDIST(T$50,SampleCalc!$B$15,SampleCalc!$B$9*$Z73,SampleCalc!$B$9)+S73</f>
        <v>3.8755916300172076E-2</v>
      </c>
      <c r="U73">
        <f ca="1">HYPGEOMDIST(U$50,SampleCalc!$B$15,SampleCalc!$B$9*$Z73,SampleCalc!$B$9)+T73</f>
        <v>6.9655474427503236E-2</v>
      </c>
      <c r="V73">
        <f ca="1">HYPGEOMDIST(V$50,SampleCalc!$B$15,SampleCalc!$B$9*$Z73,SampleCalc!$B$9)+U73</f>
        <v>0.11607289840111434</v>
      </c>
      <c r="W73">
        <f ca="1">HYPGEOMDIST(W$50,SampleCalc!$B$15,SampleCalc!$B$9*$Z73,SampleCalc!$B$9)+V73</f>
        <v>0.18023175841370126</v>
      </c>
      <c r="X73">
        <f ca="1">HYPGEOMDIST(X$50,SampleCalc!$B$15,SampleCalc!$B$9*$Z73,SampleCalc!$B$9)+W73</f>
        <v>0.26206135197088931</v>
      </c>
      <c r="Y73">
        <f ca="1">HYPGEOMDIST(Y$50,SampleCalc!$B$15,SampleCalc!$B$9*$Z73,SampleCalc!$B$9)+X73</f>
        <v>0.35860707404682979</v>
      </c>
      <c r="Z73">
        <v>0.22800000000000001</v>
      </c>
    </row>
    <row r="74" spans="5:26">
      <c r="E74">
        <f ca="1">HYPGEOMDIST(E$50,SampleCalc!$B$15,SampleCalc!$B$9*$Z74,SampleCalc!$B$9)</f>
        <v>9.1191428983353361E-13</v>
      </c>
      <c r="F74">
        <f ca="1">HYPGEOMDIST(F$50,SampleCalc!$B$15,SampleCalc!$B$9*$Z74,SampleCalc!$B$9)+E74</f>
        <v>3.4790154755977935E-11</v>
      </c>
      <c r="G74">
        <f ca="1">HYPGEOMDIST(G$50,SampleCalc!$B$15,SampleCalc!$B$9*$Z74,SampleCalc!$B$9)+F74</f>
        <v>6.4991725127436739E-10</v>
      </c>
      <c r="H74">
        <f ca="1">HYPGEOMDIST(H$50,SampleCalc!$B$15,SampleCalc!$B$9*$Z74,SampleCalc!$B$9)+G74</f>
        <v>7.9268289577062144E-9</v>
      </c>
      <c r="I74">
        <f ca="1">HYPGEOMDIST(I$50,SampleCalc!$B$15,SampleCalc!$B$9*$Z74,SampleCalc!$B$9)+H74</f>
        <v>7.1013953327873727E-8</v>
      </c>
      <c r="J74">
        <f ca="1">HYPGEOMDIST(J$50,SampleCalc!$B$15,SampleCalc!$B$9*$Z74,SampleCalc!$B$9)+I74</f>
        <v>4.9847184737114413E-7</v>
      </c>
      <c r="K74">
        <f ca="1">HYPGEOMDIST(K$50,SampleCalc!$B$15,SampleCalc!$B$9*$Z74,SampleCalc!$B$9)+J74</f>
        <v>2.8559668993673613E-6</v>
      </c>
      <c r="L74">
        <f ca="1">HYPGEOMDIST(L$50,SampleCalc!$B$15,SampleCalc!$B$9*$Z74,SampleCalc!$B$9)+K74</f>
        <v>1.3739321334038298E-5</v>
      </c>
      <c r="M74">
        <f ca="1">HYPGEOMDIST(M$50,SampleCalc!$B$15,SampleCalc!$B$9*$Z74,SampleCalc!$B$9)+L74</f>
        <v>5.6663052829308198E-5</v>
      </c>
      <c r="N74">
        <f ca="1">HYPGEOMDIST(N$50,SampleCalc!$B$15,SampleCalc!$B$9*$Z74,SampleCalc!$B$9)+M74</f>
        <v>2.0355760061312097E-4</v>
      </c>
      <c r="O74">
        <f ca="1">HYPGEOMDIST(O$50,SampleCalc!$B$15,SampleCalc!$B$9*$Z74,SampleCalc!$B$9)+N74</f>
        <v>6.4511968312074073E-4</v>
      </c>
      <c r="P74">
        <f ca="1">HYPGEOMDIST(P$50,SampleCalc!$B$15,SampleCalc!$B$9*$Z74,SampleCalc!$B$9)+O74</f>
        <v>1.8225299561046349E-3</v>
      </c>
      <c r="Q74">
        <f ca="1">HYPGEOMDIST(Q$50,SampleCalc!$B$15,SampleCalc!$B$9*$Z74,SampleCalc!$B$9)+P74</f>
        <v>4.6300511515860367E-3</v>
      </c>
      <c r="R74">
        <f ca="1">HYPGEOMDIST(R$50,SampleCalc!$B$15,SampleCalc!$B$9*$Z74,SampleCalc!$B$9)+Q74</f>
        <v>1.0657128535812802E-2</v>
      </c>
      <c r="S74">
        <f ca="1">HYPGEOMDIST(S$50,SampleCalc!$B$15,SampleCalc!$B$9*$Z74,SampleCalc!$B$9)+R74</f>
        <v>2.2372524856440937E-2</v>
      </c>
      <c r="T74">
        <f ca="1">HYPGEOMDIST(T$50,SampleCalc!$B$15,SampleCalc!$B$9*$Z74,SampleCalc!$B$9)+S74</f>
        <v>4.3092696388218554E-2</v>
      </c>
      <c r="U74">
        <f ca="1">HYPGEOMDIST(U$50,SampleCalc!$B$15,SampleCalc!$B$9*$Z74,SampleCalc!$B$9)+T74</f>
        <v>7.6577370984971568E-2</v>
      </c>
      <c r="V74">
        <f ca="1">HYPGEOMDIST(V$50,SampleCalc!$B$15,SampleCalc!$B$9*$Z74,SampleCalc!$B$9)+U74</f>
        <v>0.12620324471889124</v>
      </c>
      <c r="W74">
        <f ca="1">HYPGEOMDIST(W$50,SampleCalc!$B$15,SampleCalc!$B$9*$Z74,SampleCalc!$B$9)+V74</f>
        <v>0.193870024006566</v>
      </c>
      <c r="X74">
        <f ca="1">HYPGEOMDIST(X$50,SampleCalc!$B$15,SampleCalc!$B$9*$Z74,SampleCalc!$B$9)+W74</f>
        <v>0.27899919794912459</v>
      </c>
      <c r="Y74">
        <f ca="1">HYPGEOMDIST(Y$50,SampleCalc!$B$15,SampleCalc!$B$9*$Z74,SampleCalc!$B$9)+X74</f>
        <v>0.37806108878453271</v>
      </c>
      <c r="Z74">
        <v>0.22700000000000001</v>
      </c>
    </row>
    <row r="75" spans="5:26">
      <c r="E75">
        <f ca="1">HYPGEOMDIST(E$50,SampleCalc!$B$15,SampleCalc!$B$9*$Z75,SampleCalc!$B$9)</f>
        <v>9.1191428983353361E-13</v>
      </c>
      <c r="F75">
        <f ca="1">HYPGEOMDIST(F$50,SampleCalc!$B$15,SampleCalc!$B$9*$Z75,SampleCalc!$B$9)+E75</f>
        <v>3.4790154755977935E-11</v>
      </c>
      <c r="G75">
        <f ca="1">HYPGEOMDIST(G$50,SampleCalc!$B$15,SampleCalc!$B$9*$Z75,SampleCalc!$B$9)+F75</f>
        <v>6.4991725127436739E-10</v>
      </c>
      <c r="H75">
        <f ca="1">HYPGEOMDIST(H$50,SampleCalc!$B$15,SampleCalc!$B$9*$Z75,SampleCalc!$B$9)+G75</f>
        <v>7.9268289577062144E-9</v>
      </c>
      <c r="I75">
        <f ca="1">HYPGEOMDIST(I$50,SampleCalc!$B$15,SampleCalc!$B$9*$Z75,SampleCalc!$B$9)+H75</f>
        <v>7.1013953327873727E-8</v>
      </c>
      <c r="J75">
        <f ca="1">HYPGEOMDIST(J$50,SampleCalc!$B$15,SampleCalc!$B$9*$Z75,SampleCalc!$B$9)+I75</f>
        <v>4.9847184737114413E-7</v>
      </c>
      <c r="K75">
        <f ca="1">HYPGEOMDIST(K$50,SampleCalc!$B$15,SampleCalc!$B$9*$Z75,SampleCalc!$B$9)+J75</f>
        <v>2.8559668993673613E-6</v>
      </c>
      <c r="L75">
        <f ca="1">HYPGEOMDIST(L$50,SampleCalc!$B$15,SampleCalc!$B$9*$Z75,SampleCalc!$B$9)+K75</f>
        <v>1.3739321334038298E-5</v>
      </c>
      <c r="M75">
        <f ca="1">HYPGEOMDIST(M$50,SampleCalc!$B$15,SampleCalc!$B$9*$Z75,SampleCalc!$B$9)+L75</f>
        <v>5.6663052829308198E-5</v>
      </c>
      <c r="N75">
        <f ca="1">HYPGEOMDIST(N$50,SampleCalc!$B$15,SampleCalc!$B$9*$Z75,SampleCalc!$B$9)+M75</f>
        <v>2.0355760061312097E-4</v>
      </c>
      <c r="O75">
        <f ca="1">HYPGEOMDIST(O$50,SampleCalc!$B$15,SampleCalc!$B$9*$Z75,SampleCalc!$B$9)+N75</f>
        <v>6.4511968312074073E-4</v>
      </c>
      <c r="P75">
        <f ca="1">HYPGEOMDIST(P$50,SampleCalc!$B$15,SampleCalc!$B$9*$Z75,SampleCalc!$B$9)+O75</f>
        <v>1.8225299561046349E-3</v>
      </c>
      <c r="Q75">
        <f ca="1">HYPGEOMDIST(Q$50,SampleCalc!$B$15,SampleCalc!$B$9*$Z75,SampleCalc!$B$9)+P75</f>
        <v>4.6300511515860367E-3</v>
      </c>
      <c r="R75">
        <f ca="1">HYPGEOMDIST(R$50,SampleCalc!$B$15,SampleCalc!$B$9*$Z75,SampleCalc!$B$9)+Q75</f>
        <v>1.0657128535812802E-2</v>
      </c>
      <c r="S75">
        <f ca="1">HYPGEOMDIST(S$50,SampleCalc!$B$15,SampleCalc!$B$9*$Z75,SampleCalc!$B$9)+R75</f>
        <v>2.2372524856440937E-2</v>
      </c>
      <c r="T75">
        <f ca="1">HYPGEOMDIST(T$50,SampleCalc!$B$15,SampleCalc!$B$9*$Z75,SampleCalc!$B$9)+S75</f>
        <v>4.3092696388218554E-2</v>
      </c>
      <c r="U75">
        <f ca="1">HYPGEOMDIST(U$50,SampleCalc!$B$15,SampleCalc!$B$9*$Z75,SampleCalc!$B$9)+T75</f>
        <v>7.6577370984971568E-2</v>
      </c>
      <c r="V75">
        <f ca="1">HYPGEOMDIST(V$50,SampleCalc!$B$15,SampleCalc!$B$9*$Z75,SampleCalc!$B$9)+U75</f>
        <v>0.12620324471889124</v>
      </c>
      <c r="W75">
        <f ca="1">HYPGEOMDIST(W$50,SampleCalc!$B$15,SampleCalc!$B$9*$Z75,SampleCalc!$B$9)+V75</f>
        <v>0.193870024006566</v>
      </c>
      <c r="X75">
        <f ca="1">HYPGEOMDIST(X$50,SampleCalc!$B$15,SampleCalc!$B$9*$Z75,SampleCalc!$B$9)+W75</f>
        <v>0.27899919794912459</v>
      </c>
      <c r="Y75">
        <f ca="1">HYPGEOMDIST(Y$50,SampleCalc!$B$15,SampleCalc!$B$9*$Z75,SampleCalc!$B$9)+X75</f>
        <v>0.37806108878453271</v>
      </c>
      <c r="Z75">
        <v>0.22600000000000001</v>
      </c>
    </row>
    <row r="76" spans="5:26">
      <c r="E76">
        <f ca="1">HYPGEOMDIST(E$50,SampleCalc!$B$15,SampleCalc!$B$9*$Z76,SampleCalc!$B$9)</f>
        <v>1.2117217275870233E-12</v>
      </c>
      <c r="F76">
        <f ca="1">HYPGEOMDIST(F$50,SampleCalc!$B$15,SampleCalc!$B$9*$Z76,SampleCalc!$B$9)+E76</f>
        <v>4.5677360004091014E-11</v>
      </c>
      <c r="G76">
        <f ca="1">HYPGEOMDIST(G$50,SampleCalc!$B$15,SampleCalc!$B$9*$Z76,SampleCalc!$B$9)+F76</f>
        <v>8.4310959746282476E-10</v>
      </c>
      <c r="H76">
        <f ca="1">HYPGEOMDIST(H$50,SampleCalc!$B$15,SampleCalc!$B$9*$Z76,SampleCalc!$B$9)+G76</f>
        <v>1.0160001501782928E-8</v>
      </c>
      <c r="I76">
        <f ca="1">HYPGEOMDIST(I$50,SampleCalc!$B$15,SampleCalc!$B$9*$Z76,SampleCalc!$B$9)+H76</f>
        <v>8.9928019435983064E-8</v>
      </c>
      <c r="J76">
        <f ca="1">HYPGEOMDIST(J$50,SampleCalc!$B$15,SampleCalc!$B$9*$Z76,SampleCalc!$B$9)+I76</f>
        <v>6.2364857579572167E-7</v>
      </c>
      <c r="K76">
        <f ca="1">HYPGEOMDIST(K$50,SampleCalc!$B$15,SampleCalc!$B$9*$Z76,SampleCalc!$B$9)+J76</f>
        <v>3.5301569970903402E-6</v>
      </c>
      <c r="L76">
        <f ca="1">HYPGEOMDIST(L$50,SampleCalc!$B$15,SampleCalc!$B$9*$Z76,SampleCalc!$B$9)+K76</f>
        <v>1.6778169581491035E-5</v>
      </c>
      <c r="M76">
        <f ca="1">HYPGEOMDIST(M$50,SampleCalc!$B$15,SampleCalc!$B$9*$Z76,SampleCalc!$B$9)+L76</f>
        <v>6.8362618582001303E-5</v>
      </c>
      <c r="N76">
        <f ca="1">HYPGEOMDIST(N$50,SampleCalc!$B$15,SampleCalc!$B$9*$Z76,SampleCalc!$B$9)+M76</f>
        <v>2.4263389110052078E-4</v>
      </c>
      <c r="O76">
        <f ca="1">HYPGEOMDIST(O$50,SampleCalc!$B$15,SampleCalc!$B$9*$Z76,SampleCalc!$B$9)+N76</f>
        <v>7.5973484243775679E-4</v>
      </c>
      <c r="P76">
        <f ca="1">HYPGEOMDIST(P$50,SampleCalc!$B$15,SampleCalc!$B$9*$Z76,SampleCalc!$B$9)+O76</f>
        <v>2.1206737998725723E-3</v>
      </c>
      <c r="Q76">
        <f ca="1">HYPGEOMDIST(Q$50,SampleCalc!$B$15,SampleCalc!$B$9*$Z76,SampleCalc!$B$9)+P76</f>
        <v>5.3234317356121224E-3</v>
      </c>
      <c r="R76">
        <f ca="1">HYPGEOMDIST(R$50,SampleCalc!$B$15,SampleCalc!$B$9*$Z76,SampleCalc!$B$9)+Q76</f>
        <v>1.210859356668708E-2</v>
      </c>
      <c r="S76">
        <f ca="1">HYPGEOMDIST(S$50,SampleCalc!$B$15,SampleCalc!$B$9*$Z76,SampleCalc!$B$9)+R76</f>
        <v>2.5122990104022039E-2</v>
      </c>
      <c r="T76">
        <f ca="1">HYPGEOMDIST(T$50,SampleCalc!$B$15,SampleCalc!$B$9*$Z76,SampleCalc!$B$9)+S76</f>
        <v>4.7833889251475623E-2</v>
      </c>
      <c r="U76">
        <f ca="1">HYPGEOMDIST(U$50,SampleCalc!$B$15,SampleCalc!$B$9*$Z76,SampleCalc!$B$9)+T76</f>
        <v>8.4043210396269219E-2</v>
      </c>
      <c r="V76">
        <f ca="1">HYPGEOMDIST(V$50,SampleCalc!$B$15,SampleCalc!$B$9*$Z76,SampleCalc!$B$9)+U76</f>
        <v>0.13698202372046778</v>
      </c>
      <c r="W76">
        <f ca="1">HYPGEOMDIST(W$50,SampleCalc!$B$15,SampleCalc!$B$9*$Z76,SampleCalc!$B$9)+V76</f>
        <v>0.20818377891726175</v>
      </c>
      <c r="X76">
        <f ca="1">HYPGEOMDIST(X$50,SampleCalc!$B$15,SampleCalc!$B$9*$Z76,SampleCalc!$B$9)+W76</f>
        <v>0.29653227597309068</v>
      </c>
      <c r="Y76">
        <f ca="1">HYPGEOMDIST(Y$50,SampleCalc!$B$15,SampleCalc!$B$9*$Z76,SampleCalc!$B$9)+X76</f>
        <v>0.39792067139244813</v>
      </c>
      <c r="Z76">
        <v>0.22500000000000001</v>
      </c>
    </row>
    <row r="77" spans="5:26">
      <c r="E77">
        <f ca="1">HYPGEOMDIST(E$50,SampleCalc!$B$15,SampleCalc!$B$9*$Z77,SampleCalc!$B$9)</f>
        <v>1.2117217275870233E-12</v>
      </c>
      <c r="F77">
        <f ca="1">HYPGEOMDIST(F$50,SampleCalc!$B$15,SampleCalc!$B$9*$Z77,SampleCalc!$B$9)+E77</f>
        <v>4.5677360004091014E-11</v>
      </c>
      <c r="G77">
        <f ca="1">HYPGEOMDIST(G$50,SampleCalc!$B$15,SampleCalc!$B$9*$Z77,SampleCalc!$B$9)+F77</f>
        <v>8.4310959746282476E-10</v>
      </c>
      <c r="H77">
        <f ca="1">HYPGEOMDIST(H$50,SampleCalc!$B$15,SampleCalc!$B$9*$Z77,SampleCalc!$B$9)+G77</f>
        <v>1.0160001501782928E-8</v>
      </c>
      <c r="I77">
        <f ca="1">HYPGEOMDIST(I$50,SampleCalc!$B$15,SampleCalc!$B$9*$Z77,SampleCalc!$B$9)+H77</f>
        <v>8.9928019435983064E-8</v>
      </c>
      <c r="J77">
        <f ca="1">HYPGEOMDIST(J$50,SampleCalc!$B$15,SampleCalc!$B$9*$Z77,SampleCalc!$B$9)+I77</f>
        <v>6.2364857579572167E-7</v>
      </c>
      <c r="K77">
        <f ca="1">HYPGEOMDIST(K$50,SampleCalc!$B$15,SampleCalc!$B$9*$Z77,SampleCalc!$B$9)+J77</f>
        <v>3.5301569970903402E-6</v>
      </c>
      <c r="L77">
        <f ca="1">HYPGEOMDIST(L$50,SampleCalc!$B$15,SampleCalc!$B$9*$Z77,SampleCalc!$B$9)+K77</f>
        <v>1.6778169581491035E-5</v>
      </c>
      <c r="M77">
        <f ca="1">HYPGEOMDIST(M$50,SampleCalc!$B$15,SampleCalc!$B$9*$Z77,SampleCalc!$B$9)+L77</f>
        <v>6.8362618582001303E-5</v>
      </c>
      <c r="N77">
        <f ca="1">HYPGEOMDIST(N$50,SampleCalc!$B$15,SampleCalc!$B$9*$Z77,SampleCalc!$B$9)+M77</f>
        <v>2.4263389110052078E-4</v>
      </c>
      <c r="O77">
        <f ca="1">HYPGEOMDIST(O$50,SampleCalc!$B$15,SampleCalc!$B$9*$Z77,SampleCalc!$B$9)+N77</f>
        <v>7.5973484243775679E-4</v>
      </c>
      <c r="P77">
        <f ca="1">HYPGEOMDIST(P$50,SampleCalc!$B$15,SampleCalc!$B$9*$Z77,SampleCalc!$B$9)+O77</f>
        <v>2.1206737998725723E-3</v>
      </c>
      <c r="Q77">
        <f ca="1">HYPGEOMDIST(Q$50,SampleCalc!$B$15,SampleCalc!$B$9*$Z77,SampleCalc!$B$9)+P77</f>
        <v>5.3234317356121224E-3</v>
      </c>
      <c r="R77">
        <f ca="1">HYPGEOMDIST(R$50,SampleCalc!$B$15,SampleCalc!$B$9*$Z77,SampleCalc!$B$9)+Q77</f>
        <v>1.210859356668708E-2</v>
      </c>
      <c r="S77">
        <f ca="1">HYPGEOMDIST(S$50,SampleCalc!$B$15,SampleCalc!$B$9*$Z77,SampleCalc!$B$9)+R77</f>
        <v>2.5122990104022039E-2</v>
      </c>
      <c r="T77">
        <f ca="1">HYPGEOMDIST(T$50,SampleCalc!$B$15,SampleCalc!$B$9*$Z77,SampleCalc!$B$9)+S77</f>
        <v>4.7833889251475623E-2</v>
      </c>
      <c r="U77">
        <f ca="1">HYPGEOMDIST(U$50,SampleCalc!$B$15,SampleCalc!$B$9*$Z77,SampleCalc!$B$9)+T77</f>
        <v>8.4043210396269219E-2</v>
      </c>
      <c r="V77">
        <f ca="1">HYPGEOMDIST(V$50,SampleCalc!$B$15,SampleCalc!$B$9*$Z77,SampleCalc!$B$9)+U77</f>
        <v>0.13698202372046778</v>
      </c>
      <c r="W77">
        <f ca="1">HYPGEOMDIST(W$50,SampleCalc!$B$15,SampleCalc!$B$9*$Z77,SampleCalc!$B$9)+V77</f>
        <v>0.20818377891726175</v>
      </c>
      <c r="X77">
        <f ca="1">HYPGEOMDIST(X$50,SampleCalc!$B$15,SampleCalc!$B$9*$Z77,SampleCalc!$B$9)+W77</f>
        <v>0.29653227597309068</v>
      </c>
      <c r="Y77">
        <f ca="1">HYPGEOMDIST(Y$50,SampleCalc!$B$15,SampleCalc!$B$9*$Z77,SampleCalc!$B$9)+X77</f>
        <v>0.39792067139244813</v>
      </c>
      <c r="Z77">
        <v>0.224</v>
      </c>
    </row>
    <row r="78" spans="5:26">
      <c r="E78">
        <f ca="1">HYPGEOMDIST(E$50,SampleCalc!$B$15,SampleCalc!$B$9*$Z78,SampleCalc!$B$9)</f>
        <v>1.6087363550558087E-12</v>
      </c>
      <c r="F78">
        <f ca="1">HYPGEOMDIST(F$50,SampleCalc!$B$15,SampleCalc!$B$9*$Z78,SampleCalc!$B$9)+E78</f>
        <v>5.9917221387282761E-11</v>
      </c>
      <c r="G78">
        <f ca="1">HYPGEOMDIST(G$50,SampleCalc!$B$15,SampleCalc!$B$9*$Z78,SampleCalc!$B$9)+F78</f>
        <v>1.0926692020428262E-9</v>
      </c>
      <c r="H78">
        <f ca="1">HYPGEOMDIST(H$50,SampleCalc!$B$15,SampleCalc!$B$9*$Z78,SampleCalc!$B$9)+G78</f>
        <v>1.3008859285147223E-8</v>
      </c>
      <c r="I78">
        <f ca="1">HYPGEOMDIST(I$50,SampleCalc!$B$15,SampleCalc!$B$9*$Z78,SampleCalc!$B$9)+H78</f>
        <v>1.1375482998775705E-7</v>
      </c>
      <c r="J78">
        <f ca="1">HYPGEOMDIST(J$50,SampleCalc!$B$15,SampleCalc!$B$9*$Z78,SampleCalc!$B$9)+I78</f>
        <v>7.7935438407936203E-7</v>
      </c>
      <c r="K78">
        <f ca="1">HYPGEOMDIST(K$50,SampleCalc!$B$15,SampleCalc!$B$9*$Z78,SampleCalc!$B$9)+J78</f>
        <v>4.3581577836153829E-6</v>
      </c>
      <c r="L78">
        <f ca="1">HYPGEOMDIST(L$50,SampleCalc!$B$15,SampleCalc!$B$9*$Z78,SampleCalc!$B$9)+K78</f>
        <v>2.0462773081527493E-5</v>
      </c>
      <c r="M78">
        <f ca="1">HYPGEOMDIST(M$50,SampleCalc!$B$15,SampleCalc!$B$9*$Z78,SampleCalc!$B$9)+L78</f>
        <v>8.2366560123667965E-5</v>
      </c>
      <c r="N78">
        <f ca="1">HYPGEOMDIST(N$50,SampleCalc!$B$15,SampleCalc!$B$9*$Z78,SampleCalc!$B$9)+M78</f>
        <v>2.8880361889848825E-4</v>
      </c>
      <c r="O78">
        <f ca="1">HYPGEOMDIST(O$50,SampleCalc!$B$15,SampleCalc!$B$9*$Z78,SampleCalc!$B$9)+N78</f>
        <v>8.9339849004296237E-4</v>
      </c>
      <c r="P78">
        <f ca="1">HYPGEOMDIST(P$50,SampleCalc!$B$15,SampleCalc!$B$9*$Z78,SampleCalc!$B$9)+O78</f>
        <v>2.4638264358446665E-3</v>
      </c>
      <c r="Q78">
        <f ca="1">HYPGEOMDIST(Q$50,SampleCalc!$B$15,SampleCalc!$B$9*$Z78,SampleCalc!$B$9)+P78</f>
        <v>6.1109951624333213E-3</v>
      </c>
      <c r="R78">
        <f ca="1">HYPGEOMDIST(R$50,SampleCalc!$B$15,SampleCalc!$B$9*$Z78,SampleCalc!$B$9)+Q78</f>
        <v>1.3735393133853951E-2</v>
      </c>
      <c r="S78">
        <f ca="1">HYPGEOMDIST(S$50,SampleCalc!$B$15,SampleCalc!$B$9*$Z78,SampleCalc!$B$9)+R78</f>
        <v>2.8164628382698859E-2</v>
      </c>
      <c r="T78">
        <f ca="1">HYPGEOMDIST(T$50,SampleCalc!$B$15,SampleCalc!$B$9*$Z78,SampleCalc!$B$9)+S78</f>
        <v>5.3006649415017579E-2</v>
      </c>
      <c r="U78">
        <f ca="1">HYPGEOMDIST(U$50,SampleCalc!$B$15,SampleCalc!$B$9*$Z78,SampleCalc!$B$9)+T78</f>
        <v>9.207856599012082E-2</v>
      </c>
      <c r="V78">
        <f ca="1">HYPGEOMDIST(V$50,SampleCalc!$B$15,SampleCalc!$B$9*$Z78,SampleCalc!$B$9)+U78</f>
        <v>0.14842516294852398</v>
      </c>
      <c r="W78">
        <f ca="1">HYPGEOMDIST(W$50,SampleCalc!$B$15,SampleCalc!$B$9*$Z78,SampleCalc!$B$9)+V78</f>
        <v>0.22317147038208987</v>
      </c>
      <c r="X78">
        <f ca="1">HYPGEOMDIST(X$50,SampleCalc!$B$15,SampleCalc!$B$9*$Z78,SampleCalc!$B$9)+W78</f>
        <v>0.31463734658369025</v>
      </c>
      <c r="Y78">
        <f ca="1">HYPGEOMDIST(Y$50,SampleCalc!$B$15,SampleCalc!$B$9*$Z78,SampleCalc!$B$9)+X78</f>
        <v>0.41814282054729029</v>
      </c>
      <c r="Z78">
        <v>0.223</v>
      </c>
    </row>
    <row r="79" spans="5:26">
      <c r="E79">
        <f ca="1">HYPGEOMDIST(E$50,SampleCalc!$B$15,SampleCalc!$B$9*$Z79,SampleCalc!$B$9)</f>
        <v>1.6087363550558087E-12</v>
      </c>
      <c r="F79">
        <f ca="1">HYPGEOMDIST(F$50,SampleCalc!$B$15,SampleCalc!$B$9*$Z79,SampleCalc!$B$9)+E79</f>
        <v>5.9917221387282761E-11</v>
      </c>
      <c r="G79">
        <f ca="1">HYPGEOMDIST(G$50,SampleCalc!$B$15,SampleCalc!$B$9*$Z79,SampleCalc!$B$9)+F79</f>
        <v>1.0926692020428262E-9</v>
      </c>
      <c r="H79">
        <f ca="1">HYPGEOMDIST(H$50,SampleCalc!$B$15,SampleCalc!$B$9*$Z79,SampleCalc!$B$9)+G79</f>
        <v>1.3008859285147223E-8</v>
      </c>
      <c r="I79">
        <f ca="1">HYPGEOMDIST(I$50,SampleCalc!$B$15,SampleCalc!$B$9*$Z79,SampleCalc!$B$9)+H79</f>
        <v>1.1375482998775705E-7</v>
      </c>
      <c r="J79">
        <f ca="1">HYPGEOMDIST(J$50,SampleCalc!$B$15,SampleCalc!$B$9*$Z79,SampleCalc!$B$9)+I79</f>
        <v>7.7935438407936203E-7</v>
      </c>
      <c r="K79">
        <f ca="1">HYPGEOMDIST(K$50,SampleCalc!$B$15,SampleCalc!$B$9*$Z79,SampleCalc!$B$9)+J79</f>
        <v>4.3581577836153829E-6</v>
      </c>
      <c r="L79">
        <f ca="1">HYPGEOMDIST(L$50,SampleCalc!$B$15,SampleCalc!$B$9*$Z79,SampleCalc!$B$9)+K79</f>
        <v>2.0462773081527493E-5</v>
      </c>
      <c r="M79">
        <f ca="1">HYPGEOMDIST(M$50,SampleCalc!$B$15,SampleCalc!$B$9*$Z79,SampleCalc!$B$9)+L79</f>
        <v>8.2366560123667965E-5</v>
      </c>
      <c r="N79">
        <f ca="1">HYPGEOMDIST(N$50,SampleCalc!$B$15,SampleCalc!$B$9*$Z79,SampleCalc!$B$9)+M79</f>
        <v>2.8880361889848825E-4</v>
      </c>
      <c r="O79">
        <f ca="1">HYPGEOMDIST(O$50,SampleCalc!$B$15,SampleCalc!$B$9*$Z79,SampleCalc!$B$9)+N79</f>
        <v>8.9339849004296237E-4</v>
      </c>
      <c r="P79">
        <f ca="1">HYPGEOMDIST(P$50,SampleCalc!$B$15,SampleCalc!$B$9*$Z79,SampleCalc!$B$9)+O79</f>
        <v>2.4638264358446665E-3</v>
      </c>
      <c r="Q79">
        <f ca="1">HYPGEOMDIST(Q$50,SampleCalc!$B$15,SampleCalc!$B$9*$Z79,SampleCalc!$B$9)+P79</f>
        <v>6.1109951624333213E-3</v>
      </c>
      <c r="R79">
        <f ca="1">HYPGEOMDIST(R$50,SampleCalc!$B$15,SampleCalc!$B$9*$Z79,SampleCalc!$B$9)+Q79</f>
        <v>1.3735393133853951E-2</v>
      </c>
      <c r="S79">
        <f ca="1">HYPGEOMDIST(S$50,SampleCalc!$B$15,SampleCalc!$B$9*$Z79,SampleCalc!$B$9)+R79</f>
        <v>2.8164628382698859E-2</v>
      </c>
      <c r="T79">
        <f ca="1">HYPGEOMDIST(T$50,SampleCalc!$B$15,SampleCalc!$B$9*$Z79,SampleCalc!$B$9)+S79</f>
        <v>5.3006649415017579E-2</v>
      </c>
      <c r="U79">
        <f ca="1">HYPGEOMDIST(U$50,SampleCalc!$B$15,SampleCalc!$B$9*$Z79,SampleCalc!$B$9)+T79</f>
        <v>9.207856599012082E-2</v>
      </c>
      <c r="V79">
        <f ca="1">HYPGEOMDIST(V$50,SampleCalc!$B$15,SampleCalc!$B$9*$Z79,SampleCalc!$B$9)+U79</f>
        <v>0.14842516294852398</v>
      </c>
      <c r="W79">
        <f ca="1">HYPGEOMDIST(W$50,SampleCalc!$B$15,SampleCalc!$B$9*$Z79,SampleCalc!$B$9)+V79</f>
        <v>0.22317147038208987</v>
      </c>
      <c r="X79">
        <f ca="1">HYPGEOMDIST(X$50,SampleCalc!$B$15,SampleCalc!$B$9*$Z79,SampleCalc!$B$9)+W79</f>
        <v>0.31463734658369025</v>
      </c>
      <c r="Y79">
        <f ca="1">HYPGEOMDIST(Y$50,SampleCalc!$B$15,SampleCalc!$B$9*$Z79,SampleCalc!$B$9)+X79</f>
        <v>0.41814282054729029</v>
      </c>
      <c r="Z79">
        <v>0.222</v>
      </c>
    </row>
    <row r="80" spans="5:26">
      <c r="E80">
        <f ca="1">HYPGEOMDIST(E$50,SampleCalc!$B$15,SampleCalc!$B$9*$Z80,SampleCalc!$B$9)</f>
        <v>2.1340380220128106E-12</v>
      </c>
      <c r="F80">
        <f ca="1">HYPGEOMDIST(F$50,SampleCalc!$B$15,SampleCalc!$B$9*$Z80,SampleCalc!$B$9)+E80</f>
        <v>7.8525365182878033E-11</v>
      </c>
      <c r="G80">
        <f ca="1">HYPGEOMDIST(G$50,SampleCalc!$B$15,SampleCalc!$B$9*$Z80,SampleCalc!$B$9)+F80</f>
        <v>1.4147283934780809E-9</v>
      </c>
      <c r="H80">
        <f ca="1">HYPGEOMDIST(H$50,SampleCalc!$B$15,SampleCalc!$B$9*$Z80,SampleCalc!$B$9)+G80</f>
        <v>1.6639344715871892E-8</v>
      </c>
      <c r="I80">
        <f ca="1">HYPGEOMDIST(I$50,SampleCalc!$B$15,SampleCalc!$B$9*$Z80,SampleCalc!$B$9)+H80</f>
        <v>1.4373679188377533E-7</v>
      </c>
      <c r="J80">
        <f ca="1">HYPGEOMDIST(J$50,SampleCalc!$B$15,SampleCalc!$B$9*$Z80,SampleCalc!$B$9)+I80</f>
        <v>9.7280321648671492E-7</v>
      </c>
      <c r="K80">
        <f ca="1">HYPGEOMDIST(K$50,SampleCalc!$B$15,SampleCalc!$B$9*$Z80,SampleCalc!$B$9)+J80</f>
        <v>5.3737641537539889E-6</v>
      </c>
      <c r="L80">
        <f ca="1">HYPGEOMDIST(L$50,SampleCalc!$B$15,SampleCalc!$B$9*$Z80,SampleCalc!$B$9)+K80</f>
        <v>2.4924307282762827E-5</v>
      </c>
      <c r="M80">
        <f ca="1">HYPGEOMDIST(M$50,SampleCalc!$B$15,SampleCalc!$B$9*$Z80,SampleCalc!$B$9)+L80</f>
        <v>9.9104700024329077E-5</v>
      </c>
      <c r="N80">
        <f ca="1">HYPGEOMDIST(N$50,SampleCalc!$B$15,SampleCalc!$B$9*$Z80,SampleCalc!$B$9)+M80</f>
        <v>3.4327162530790048E-4</v>
      </c>
      <c r="O80">
        <f ca="1">HYPGEOMDIST(O$50,SampleCalc!$B$15,SampleCalc!$B$9*$Z80,SampleCalc!$B$9)+N80</f>
        <v>1.0490264846719597E-3</v>
      </c>
      <c r="P80">
        <f ca="1">HYPGEOMDIST(P$50,SampleCalc!$B$15,SampleCalc!$B$9*$Z80,SampleCalc!$B$9)+O80</f>
        <v>2.8581149468272227E-3</v>
      </c>
      <c r="Q80">
        <f ca="1">HYPGEOMDIST(Q$50,SampleCalc!$B$15,SampleCalc!$B$9*$Z80,SampleCalc!$B$9)+P80</f>
        <v>7.0039426725997033E-3</v>
      </c>
      <c r="R80">
        <f ca="1">HYPGEOMDIST(R$50,SampleCalc!$B$15,SampleCalc!$B$9*$Z80,SampleCalc!$B$9)+Q80</f>
        <v>1.5555296678753314E-2</v>
      </c>
      <c r="S80">
        <f ca="1">HYPGEOMDIST(S$50,SampleCalc!$B$15,SampleCalc!$B$9*$Z80,SampleCalc!$B$9)+R80</f>
        <v>3.1521658251931137E-2</v>
      </c>
      <c r="T80">
        <f ca="1">HYPGEOMDIST(T$50,SampleCalc!$B$15,SampleCalc!$B$9*$Z80,SampleCalc!$B$9)+S80</f>
        <v>5.8638637389807256E-2</v>
      </c>
      <c r="U80">
        <f ca="1">HYPGEOMDIST(U$50,SampleCalc!$B$15,SampleCalc!$B$9*$Z80,SampleCalc!$B$9)+T80</f>
        <v>0.10070822498375016</v>
      </c>
      <c r="V80">
        <f ca="1">HYPGEOMDIST(V$50,SampleCalc!$B$15,SampleCalc!$B$9*$Z80,SampleCalc!$B$9)+U80</f>
        <v>0.16054618577558874</v>
      </c>
      <c r="W80">
        <f ca="1">HYPGEOMDIST(W$50,SampleCalc!$B$15,SampleCalc!$B$9*$Z80,SampleCalc!$B$9)+V80</f>
        <v>0.23882779153371514</v>
      </c>
      <c r="X80">
        <f ca="1">HYPGEOMDIST(X$50,SampleCalc!$B$15,SampleCalc!$B$9*$Z80,SampleCalc!$B$9)+W80</f>
        <v>0.33328698153208652</v>
      </c>
      <c r="Y80">
        <f ca="1">HYPGEOMDIST(Y$50,SampleCalc!$B$15,SampleCalc!$B$9*$Z80,SampleCalc!$B$9)+X80</f>
        <v>0.43868117648727567</v>
      </c>
      <c r="Z80">
        <v>0.221</v>
      </c>
    </row>
    <row r="81" spans="5:26">
      <c r="E81">
        <f ca="1">HYPGEOMDIST(E$50,SampleCalc!$B$15,SampleCalc!$B$9*$Z81,SampleCalc!$B$9)</f>
        <v>2.1340380220128106E-12</v>
      </c>
      <c r="F81">
        <f ca="1">HYPGEOMDIST(F$50,SampleCalc!$B$15,SampleCalc!$B$9*$Z81,SampleCalc!$B$9)+E81</f>
        <v>7.8525365182878033E-11</v>
      </c>
      <c r="G81">
        <f ca="1">HYPGEOMDIST(G$50,SampleCalc!$B$15,SampleCalc!$B$9*$Z81,SampleCalc!$B$9)+F81</f>
        <v>1.4147283934780809E-9</v>
      </c>
      <c r="H81">
        <f ca="1">HYPGEOMDIST(H$50,SampleCalc!$B$15,SampleCalc!$B$9*$Z81,SampleCalc!$B$9)+G81</f>
        <v>1.6639344715871892E-8</v>
      </c>
      <c r="I81">
        <f ca="1">HYPGEOMDIST(I$50,SampleCalc!$B$15,SampleCalc!$B$9*$Z81,SampleCalc!$B$9)+H81</f>
        <v>1.4373679188377533E-7</v>
      </c>
      <c r="J81">
        <f ca="1">HYPGEOMDIST(J$50,SampleCalc!$B$15,SampleCalc!$B$9*$Z81,SampleCalc!$B$9)+I81</f>
        <v>9.7280321648671492E-7</v>
      </c>
      <c r="K81">
        <f ca="1">HYPGEOMDIST(K$50,SampleCalc!$B$15,SampleCalc!$B$9*$Z81,SampleCalc!$B$9)+J81</f>
        <v>5.3737641537539889E-6</v>
      </c>
      <c r="L81">
        <f ca="1">HYPGEOMDIST(L$50,SampleCalc!$B$15,SampleCalc!$B$9*$Z81,SampleCalc!$B$9)+K81</f>
        <v>2.4924307282762827E-5</v>
      </c>
      <c r="M81">
        <f ca="1">HYPGEOMDIST(M$50,SampleCalc!$B$15,SampleCalc!$B$9*$Z81,SampleCalc!$B$9)+L81</f>
        <v>9.9104700024329077E-5</v>
      </c>
      <c r="N81">
        <f ca="1">HYPGEOMDIST(N$50,SampleCalc!$B$15,SampleCalc!$B$9*$Z81,SampleCalc!$B$9)+M81</f>
        <v>3.4327162530790048E-4</v>
      </c>
      <c r="O81">
        <f ca="1">HYPGEOMDIST(O$50,SampleCalc!$B$15,SampleCalc!$B$9*$Z81,SampleCalc!$B$9)+N81</f>
        <v>1.0490264846719597E-3</v>
      </c>
      <c r="P81">
        <f ca="1">HYPGEOMDIST(P$50,SampleCalc!$B$15,SampleCalc!$B$9*$Z81,SampleCalc!$B$9)+O81</f>
        <v>2.8581149468272227E-3</v>
      </c>
      <c r="Q81">
        <f ca="1">HYPGEOMDIST(Q$50,SampleCalc!$B$15,SampleCalc!$B$9*$Z81,SampleCalc!$B$9)+P81</f>
        <v>7.0039426725997033E-3</v>
      </c>
      <c r="R81">
        <f ca="1">HYPGEOMDIST(R$50,SampleCalc!$B$15,SampleCalc!$B$9*$Z81,SampleCalc!$B$9)+Q81</f>
        <v>1.5555296678753314E-2</v>
      </c>
      <c r="S81">
        <f ca="1">HYPGEOMDIST(S$50,SampleCalc!$B$15,SampleCalc!$B$9*$Z81,SampleCalc!$B$9)+R81</f>
        <v>3.1521658251931137E-2</v>
      </c>
      <c r="T81">
        <f ca="1">HYPGEOMDIST(T$50,SampleCalc!$B$15,SampleCalc!$B$9*$Z81,SampleCalc!$B$9)+S81</f>
        <v>5.8638637389807256E-2</v>
      </c>
      <c r="U81">
        <f ca="1">HYPGEOMDIST(U$50,SampleCalc!$B$15,SampleCalc!$B$9*$Z81,SampleCalc!$B$9)+T81</f>
        <v>0.10070822498375016</v>
      </c>
      <c r="V81">
        <f ca="1">HYPGEOMDIST(V$50,SampleCalc!$B$15,SampleCalc!$B$9*$Z81,SampleCalc!$B$9)+U81</f>
        <v>0.16054618577558874</v>
      </c>
      <c r="W81">
        <f ca="1">HYPGEOMDIST(W$50,SampleCalc!$B$15,SampleCalc!$B$9*$Z81,SampleCalc!$B$9)+V81</f>
        <v>0.23882779153371514</v>
      </c>
      <c r="X81">
        <f ca="1">HYPGEOMDIST(X$50,SampleCalc!$B$15,SampleCalc!$B$9*$Z81,SampleCalc!$B$9)+W81</f>
        <v>0.33328698153208652</v>
      </c>
      <c r="Y81">
        <f ca="1">HYPGEOMDIST(Y$50,SampleCalc!$B$15,SampleCalc!$B$9*$Z81,SampleCalc!$B$9)+X81</f>
        <v>0.43868117648727567</v>
      </c>
      <c r="Z81">
        <v>0.22</v>
      </c>
    </row>
    <row r="82" spans="5:26">
      <c r="E82">
        <f ca="1">HYPGEOMDIST(E$50,SampleCalc!$B$15,SampleCalc!$B$9*$Z82,SampleCalc!$B$9)</f>
        <v>2.8285046325661271E-12</v>
      </c>
      <c r="F82">
        <f ca="1">HYPGEOMDIST(F$50,SampleCalc!$B$15,SampleCalc!$B$9*$Z82,SampleCalc!$B$9)+E82</f>
        <v>1.0281996569733633E-10</v>
      </c>
      <c r="G82">
        <f ca="1">HYPGEOMDIST(G$50,SampleCalc!$B$15,SampleCalc!$B$9*$Z82,SampleCalc!$B$9)+F82</f>
        <v>1.8299452022706381E-9</v>
      </c>
      <c r="H82">
        <f ca="1">HYPGEOMDIST(H$50,SampleCalc!$B$15,SampleCalc!$B$9*$Z82,SampleCalc!$B$9)+G82</f>
        <v>2.1261070067432022E-8</v>
      </c>
      <c r="I82">
        <f ca="1">HYPGEOMDIST(I$50,SampleCalc!$B$15,SampleCalc!$B$9*$Z82,SampleCalc!$B$9)+H82</f>
        <v>1.8142162936572715E-7</v>
      </c>
      <c r="J82">
        <f ca="1">HYPGEOMDIST(J$50,SampleCalc!$B$15,SampleCalc!$B$9*$Z82,SampleCalc!$B$9)+I82</f>
        <v>1.2128556312467485E-6</v>
      </c>
      <c r="K82">
        <f ca="1">HYPGEOMDIST(K$50,SampleCalc!$B$15,SampleCalc!$B$9*$Z82,SampleCalc!$B$9)+J82</f>
        <v>6.6178896255999998E-6</v>
      </c>
      <c r="L82">
        <f ca="1">HYPGEOMDIST(L$50,SampleCalc!$B$15,SampleCalc!$B$9*$Z82,SampleCalc!$B$9)+K82</f>
        <v>3.0319244936694915E-5</v>
      </c>
      <c r="M82">
        <f ca="1">HYPGEOMDIST(M$50,SampleCalc!$B$15,SampleCalc!$B$9*$Z82,SampleCalc!$B$9)+L82</f>
        <v>1.190819939111668E-4</v>
      </c>
      <c r="N82">
        <f ca="1">HYPGEOMDIST(N$50,SampleCalc!$B$15,SampleCalc!$B$9*$Z82,SampleCalc!$B$9)+M82</f>
        <v>4.0743115797736029E-4</v>
      </c>
      <c r="O82">
        <f ca="1">HYPGEOMDIST(O$50,SampleCalc!$B$15,SampleCalc!$B$9*$Z82,SampleCalc!$B$9)+N82</f>
        <v>1.2299353308874857E-3</v>
      </c>
      <c r="P82">
        <f ca="1">HYPGEOMDIST(P$50,SampleCalc!$B$15,SampleCalc!$B$9*$Z82,SampleCalc!$B$9)+O82</f>
        <v>3.3103870623660391E-3</v>
      </c>
      <c r="Q82">
        <f ca="1">HYPGEOMDIST(Q$50,SampleCalc!$B$15,SampleCalc!$B$9*$Z82,SampleCalc!$B$9)+P82</f>
        <v>8.0145572369633121E-3</v>
      </c>
      <c r="R82">
        <f ca="1">HYPGEOMDIST(R$50,SampleCalc!$B$15,SampleCalc!$B$9*$Z82,SampleCalc!$B$9)+Q82</f>
        <v>1.7587379060794134E-2</v>
      </c>
      <c r="S82">
        <f ca="1">HYPGEOMDIST(S$50,SampleCalc!$B$15,SampleCalc!$B$9*$Z82,SampleCalc!$B$9)+R82</f>
        <v>3.5219428134368791E-2</v>
      </c>
      <c r="T82">
        <f ca="1">HYPGEOMDIST(T$50,SampleCalc!$B$15,SampleCalc!$B$9*$Z82,SampleCalc!$B$9)+S82</f>
        <v>6.4757850130744421E-2</v>
      </c>
      <c r="U82">
        <f ca="1">HYPGEOMDIST(U$50,SampleCalc!$B$15,SampleCalc!$B$9*$Z82,SampleCalc!$B$9)+T82</f>
        <v>0.10995590983339795</v>
      </c>
      <c r="V82">
        <f ca="1">HYPGEOMDIST(V$50,SampleCalc!$B$15,SampleCalc!$B$9*$Z82,SampleCalc!$B$9)+U82</f>
        <v>0.17335590308146398</v>
      </c>
      <c r="W82">
        <f ca="1">HYPGEOMDIST(W$50,SampleCalc!$B$15,SampleCalc!$B$9*$Z82,SampleCalc!$B$9)+V82</f>
        <v>0.25514346980616109</v>
      </c>
      <c r="X82">
        <f ca="1">HYPGEOMDIST(X$50,SampleCalc!$B$15,SampleCalc!$B$9*$Z82,SampleCalc!$B$9)+W82</f>
        <v>0.35244956243302994</v>
      </c>
      <c r="Y82">
        <f ca="1">HYPGEOMDIST(Y$50,SampleCalc!$B$15,SampleCalc!$B$9*$Z82,SampleCalc!$B$9)+X82</f>
        <v>0.45948626432258588</v>
      </c>
      <c r="Z82">
        <v>0.219</v>
      </c>
    </row>
    <row r="83" spans="5:26">
      <c r="E83">
        <f ca="1">HYPGEOMDIST(E$50,SampleCalc!$B$15,SampleCalc!$B$9*$Z83,SampleCalc!$B$9)</f>
        <v>2.8285046325661271E-12</v>
      </c>
      <c r="F83">
        <f ca="1">HYPGEOMDIST(F$50,SampleCalc!$B$15,SampleCalc!$B$9*$Z83,SampleCalc!$B$9)+E83</f>
        <v>1.0281996569733633E-10</v>
      </c>
      <c r="G83">
        <f ca="1">HYPGEOMDIST(G$50,SampleCalc!$B$15,SampleCalc!$B$9*$Z83,SampleCalc!$B$9)+F83</f>
        <v>1.8299452022706381E-9</v>
      </c>
      <c r="H83">
        <f ca="1">HYPGEOMDIST(H$50,SampleCalc!$B$15,SampleCalc!$B$9*$Z83,SampleCalc!$B$9)+G83</f>
        <v>2.1261070067432022E-8</v>
      </c>
      <c r="I83">
        <f ca="1">HYPGEOMDIST(I$50,SampleCalc!$B$15,SampleCalc!$B$9*$Z83,SampleCalc!$B$9)+H83</f>
        <v>1.8142162936572715E-7</v>
      </c>
      <c r="J83">
        <f ca="1">HYPGEOMDIST(J$50,SampleCalc!$B$15,SampleCalc!$B$9*$Z83,SampleCalc!$B$9)+I83</f>
        <v>1.2128556312467485E-6</v>
      </c>
      <c r="K83">
        <f ca="1">HYPGEOMDIST(K$50,SampleCalc!$B$15,SampleCalc!$B$9*$Z83,SampleCalc!$B$9)+J83</f>
        <v>6.6178896255999998E-6</v>
      </c>
      <c r="L83">
        <f ca="1">HYPGEOMDIST(L$50,SampleCalc!$B$15,SampleCalc!$B$9*$Z83,SampleCalc!$B$9)+K83</f>
        <v>3.0319244936694915E-5</v>
      </c>
      <c r="M83">
        <f ca="1">HYPGEOMDIST(M$50,SampleCalc!$B$15,SampleCalc!$B$9*$Z83,SampleCalc!$B$9)+L83</f>
        <v>1.190819939111668E-4</v>
      </c>
      <c r="N83">
        <f ca="1">HYPGEOMDIST(N$50,SampleCalc!$B$15,SampleCalc!$B$9*$Z83,SampleCalc!$B$9)+M83</f>
        <v>4.0743115797736029E-4</v>
      </c>
      <c r="O83">
        <f ca="1">HYPGEOMDIST(O$50,SampleCalc!$B$15,SampleCalc!$B$9*$Z83,SampleCalc!$B$9)+N83</f>
        <v>1.2299353308874857E-3</v>
      </c>
      <c r="P83">
        <f ca="1">HYPGEOMDIST(P$50,SampleCalc!$B$15,SampleCalc!$B$9*$Z83,SampleCalc!$B$9)+O83</f>
        <v>3.3103870623660391E-3</v>
      </c>
      <c r="Q83">
        <f ca="1">HYPGEOMDIST(Q$50,SampleCalc!$B$15,SampleCalc!$B$9*$Z83,SampleCalc!$B$9)+P83</f>
        <v>8.0145572369633121E-3</v>
      </c>
      <c r="R83">
        <f ca="1">HYPGEOMDIST(R$50,SampleCalc!$B$15,SampleCalc!$B$9*$Z83,SampleCalc!$B$9)+Q83</f>
        <v>1.7587379060794134E-2</v>
      </c>
      <c r="S83">
        <f ca="1">HYPGEOMDIST(S$50,SampleCalc!$B$15,SampleCalc!$B$9*$Z83,SampleCalc!$B$9)+R83</f>
        <v>3.5219428134368791E-2</v>
      </c>
      <c r="T83">
        <f ca="1">HYPGEOMDIST(T$50,SampleCalc!$B$15,SampleCalc!$B$9*$Z83,SampleCalc!$B$9)+S83</f>
        <v>6.4757850130744421E-2</v>
      </c>
      <c r="U83">
        <f ca="1">HYPGEOMDIST(U$50,SampleCalc!$B$15,SampleCalc!$B$9*$Z83,SampleCalc!$B$9)+T83</f>
        <v>0.10995590983339795</v>
      </c>
      <c r="V83">
        <f ca="1">HYPGEOMDIST(V$50,SampleCalc!$B$15,SampleCalc!$B$9*$Z83,SampleCalc!$B$9)+U83</f>
        <v>0.17335590308146398</v>
      </c>
      <c r="W83">
        <f ca="1">HYPGEOMDIST(W$50,SampleCalc!$B$15,SampleCalc!$B$9*$Z83,SampleCalc!$B$9)+V83</f>
        <v>0.25514346980616109</v>
      </c>
      <c r="X83">
        <f ca="1">HYPGEOMDIST(X$50,SampleCalc!$B$15,SampleCalc!$B$9*$Z83,SampleCalc!$B$9)+W83</f>
        <v>0.35244956243302994</v>
      </c>
      <c r="Y83">
        <f ca="1">HYPGEOMDIST(Y$50,SampleCalc!$B$15,SampleCalc!$B$9*$Z83,SampleCalc!$B$9)+X83</f>
        <v>0.45948626432258588</v>
      </c>
      <c r="Z83">
        <v>0.218</v>
      </c>
    </row>
    <row r="84" spans="5:26">
      <c r="E84">
        <f ca="1">HYPGEOMDIST(E$50,SampleCalc!$B$15,SampleCalc!$B$9*$Z84,SampleCalc!$B$9)</f>
        <v>3.7458574863713614E-12</v>
      </c>
      <c r="F84">
        <f ca="1">HYPGEOMDIST(F$50,SampleCalc!$B$15,SampleCalc!$B$9*$Z84,SampleCalc!$B$9)+E84</f>
        <v>1.3451033701060778E-10</v>
      </c>
      <c r="G84">
        <f ca="1">HYPGEOMDIST(G$50,SampleCalc!$B$15,SampleCalc!$B$9*$Z84,SampleCalc!$B$9)+F84</f>
        <v>2.3647468040640719E-9</v>
      </c>
      <c r="H84">
        <f ca="1">HYPGEOMDIST(H$50,SampleCalc!$B$15,SampleCalc!$B$9*$Z84,SampleCalc!$B$9)+G84</f>
        <v>2.7138521784800648E-8</v>
      </c>
      <c r="I84">
        <f ca="1">HYPGEOMDIST(I$50,SampleCalc!$B$15,SampleCalc!$B$9*$Z84,SampleCalc!$B$9)+H84</f>
        <v>2.2873511569054476E-7</v>
      </c>
      <c r="J84">
        <f ca="1">HYPGEOMDIST(J$50,SampleCalc!$B$15,SampleCalc!$B$9*$Z84,SampleCalc!$B$9)+I84</f>
        <v>1.5103804382753668E-6</v>
      </c>
      <c r="K84">
        <f ca="1">HYPGEOMDIST(K$50,SampleCalc!$B$15,SampleCalc!$B$9*$Z84,SampleCalc!$B$9)+J84</f>
        <v>8.1399950125510476E-6</v>
      </c>
      <c r="L84">
        <f ca="1">HYPGEOMDIST(L$50,SampleCalc!$B$15,SampleCalc!$B$9*$Z84,SampleCalc!$B$9)+K84</f>
        <v>3.6833942109133231E-5</v>
      </c>
      <c r="M84">
        <f ca="1">HYPGEOMDIST(M$50,SampleCalc!$B$15,SampleCalc!$B$9*$Z84,SampleCalc!$B$9)+L84</f>
        <v>1.4289064048543957E-4</v>
      </c>
      <c r="N84">
        <f ca="1">HYPGEOMDIST(N$50,SampleCalc!$B$15,SampleCalc!$B$9*$Z84,SampleCalc!$B$9)+M84</f>
        <v>4.8289025640948179E-4</v>
      </c>
      <c r="O84">
        <f ca="1">HYPGEOMDIST(O$50,SampleCalc!$B$15,SampleCalc!$B$9*$Z84,SampleCalc!$B$9)+N84</f>
        <v>1.4398891753486243E-3</v>
      </c>
      <c r="P84">
        <f ca="1">HYPGEOMDIST(P$50,SampleCalc!$B$15,SampleCalc!$B$9*$Z84,SampleCalc!$B$9)+O84</f>
        <v>3.8282773568171155E-3</v>
      </c>
      <c r="Q84">
        <f ca="1">HYPGEOMDIST(Q$50,SampleCalc!$B$15,SampleCalc!$B$9*$Z84,SampleCalc!$B$9)+P84</f>
        <v>9.1562699315486419E-3</v>
      </c>
      <c r="R84">
        <f ca="1">HYPGEOMDIST(R$50,SampleCalc!$B$15,SampleCalc!$B$9*$Z84,SampleCalc!$B$9)+Q84</f>
        <v>1.9852045914280789E-2</v>
      </c>
      <c r="S84">
        <f ca="1">HYPGEOMDIST(S$50,SampleCalc!$B$15,SampleCalc!$B$9*$Z84,SampleCalc!$B$9)+R84</f>
        <v>3.928434859258563E-2</v>
      </c>
      <c r="T84">
        <f ca="1">HYPGEOMDIST(T$50,SampleCalc!$B$15,SampleCalc!$B$9*$Z84,SampleCalc!$B$9)+S84</f>
        <v>7.1392427701776118E-2</v>
      </c>
      <c r="U84">
        <f ca="1">HYPGEOMDIST(U$50,SampleCalc!$B$15,SampleCalc!$B$9*$Z84,SampleCalc!$B$9)+T84</f>
        <v>0.11984398217483941</v>
      </c>
      <c r="V84">
        <f ca="1">HYPGEOMDIST(V$50,SampleCalc!$B$15,SampleCalc!$B$9*$Z84,SampleCalc!$B$9)+U84</f>
        <v>0.18686210676077167</v>
      </c>
      <c r="W84">
        <f ca="1">HYPGEOMDIST(W$50,SampleCalc!$B$15,SampleCalc!$B$9*$Z84,SampleCalc!$B$9)+V84</f>
        <v>0.2721050822824041</v>
      </c>
      <c r="X84">
        <f ca="1">HYPGEOMDIST(X$50,SampleCalc!$B$15,SampleCalc!$B$9*$Z84,SampleCalc!$B$9)+W84</f>
        <v>0.37208932424762731</v>
      </c>
      <c r="Y84">
        <f ca="1">HYPGEOMDIST(Y$50,SampleCalc!$B$15,SampleCalc!$B$9*$Z84,SampleCalc!$B$9)+X84</f>
        <v>0.48050578155580354</v>
      </c>
      <c r="Z84">
        <v>0.217</v>
      </c>
    </row>
    <row r="85" spans="5:26">
      <c r="E85">
        <f ca="1">HYPGEOMDIST(E$50,SampleCalc!$B$15,SampleCalc!$B$9*$Z85,SampleCalc!$B$9)</f>
        <v>3.7458574863713614E-12</v>
      </c>
      <c r="F85">
        <f ca="1">HYPGEOMDIST(F$50,SampleCalc!$B$15,SampleCalc!$B$9*$Z85,SampleCalc!$B$9)+E85</f>
        <v>1.3451033701060778E-10</v>
      </c>
      <c r="G85">
        <f ca="1">HYPGEOMDIST(G$50,SampleCalc!$B$15,SampleCalc!$B$9*$Z85,SampleCalc!$B$9)+F85</f>
        <v>2.3647468040640719E-9</v>
      </c>
      <c r="H85">
        <f ca="1">HYPGEOMDIST(H$50,SampleCalc!$B$15,SampleCalc!$B$9*$Z85,SampleCalc!$B$9)+G85</f>
        <v>2.7138521784800648E-8</v>
      </c>
      <c r="I85">
        <f ca="1">HYPGEOMDIST(I$50,SampleCalc!$B$15,SampleCalc!$B$9*$Z85,SampleCalc!$B$9)+H85</f>
        <v>2.2873511569054476E-7</v>
      </c>
      <c r="J85">
        <f ca="1">HYPGEOMDIST(J$50,SampleCalc!$B$15,SampleCalc!$B$9*$Z85,SampleCalc!$B$9)+I85</f>
        <v>1.5103804382753668E-6</v>
      </c>
      <c r="K85">
        <f ca="1">HYPGEOMDIST(K$50,SampleCalc!$B$15,SampleCalc!$B$9*$Z85,SampleCalc!$B$9)+J85</f>
        <v>8.1399950125510476E-6</v>
      </c>
      <c r="L85">
        <f ca="1">HYPGEOMDIST(L$50,SampleCalc!$B$15,SampleCalc!$B$9*$Z85,SampleCalc!$B$9)+K85</f>
        <v>3.6833942109133231E-5</v>
      </c>
      <c r="M85">
        <f ca="1">HYPGEOMDIST(M$50,SampleCalc!$B$15,SampleCalc!$B$9*$Z85,SampleCalc!$B$9)+L85</f>
        <v>1.4289064048543957E-4</v>
      </c>
      <c r="N85">
        <f ca="1">HYPGEOMDIST(N$50,SampleCalc!$B$15,SampleCalc!$B$9*$Z85,SampleCalc!$B$9)+M85</f>
        <v>4.8289025640948179E-4</v>
      </c>
      <c r="O85">
        <f ca="1">HYPGEOMDIST(O$50,SampleCalc!$B$15,SampleCalc!$B$9*$Z85,SampleCalc!$B$9)+N85</f>
        <v>1.4398891753486243E-3</v>
      </c>
      <c r="P85">
        <f ca="1">HYPGEOMDIST(P$50,SampleCalc!$B$15,SampleCalc!$B$9*$Z85,SampleCalc!$B$9)+O85</f>
        <v>3.8282773568171155E-3</v>
      </c>
      <c r="Q85">
        <f ca="1">HYPGEOMDIST(Q$50,SampleCalc!$B$15,SampleCalc!$B$9*$Z85,SampleCalc!$B$9)+P85</f>
        <v>9.1562699315486419E-3</v>
      </c>
      <c r="R85">
        <f ca="1">HYPGEOMDIST(R$50,SampleCalc!$B$15,SampleCalc!$B$9*$Z85,SampleCalc!$B$9)+Q85</f>
        <v>1.9852045914280789E-2</v>
      </c>
      <c r="S85">
        <f ca="1">HYPGEOMDIST(S$50,SampleCalc!$B$15,SampleCalc!$B$9*$Z85,SampleCalc!$B$9)+R85</f>
        <v>3.928434859258563E-2</v>
      </c>
      <c r="T85">
        <f ca="1">HYPGEOMDIST(T$50,SampleCalc!$B$15,SampleCalc!$B$9*$Z85,SampleCalc!$B$9)+S85</f>
        <v>7.1392427701776118E-2</v>
      </c>
      <c r="U85">
        <f ca="1">HYPGEOMDIST(U$50,SampleCalc!$B$15,SampleCalc!$B$9*$Z85,SampleCalc!$B$9)+T85</f>
        <v>0.11984398217483941</v>
      </c>
      <c r="V85">
        <f ca="1">HYPGEOMDIST(V$50,SampleCalc!$B$15,SampleCalc!$B$9*$Z85,SampleCalc!$B$9)+U85</f>
        <v>0.18686210676077167</v>
      </c>
      <c r="W85">
        <f ca="1">HYPGEOMDIST(W$50,SampleCalc!$B$15,SampleCalc!$B$9*$Z85,SampleCalc!$B$9)+V85</f>
        <v>0.2721050822824041</v>
      </c>
      <c r="X85">
        <f ca="1">HYPGEOMDIST(X$50,SampleCalc!$B$15,SampleCalc!$B$9*$Z85,SampleCalc!$B$9)+W85</f>
        <v>0.37208932424762731</v>
      </c>
      <c r="Y85">
        <f ca="1">HYPGEOMDIST(Y$50,SampleCalc!$B$15,SampleCalc!$B$9*$Z85,SampleCalc!$B$9)+X85</f>
        <v>0.48050578155580354</v>
      </c>
      <c r="Z85">
        <v>0.216</v>
      </c>
    </row>
    <row r="86" spans="5:26">
      <c r="E86">
        <f ca="1">HYPGEOMDIST(E$50,SampleCalc!$B$15,SampleCalc!$B$9*$Z86,SampleCalc!$B$9)</f>
        <v>4.9566397041883608E-12</v>
      </c>
      <c r="F86">
        <f ca="1">HYPGEOMDIST(F$50,SampleCalc!$B$15,SampleCalc!$B$9*$Z86,SampleCalc!$B$9)+E86</f>
        <v>1.7581101232641281E-10</v>
      </c>
      <c r="G86">
        <f ca="1">HYPGEOMDIST(G$50,SampleCalc!$B$15,SampleCalc!$B$9*$Z86,SampleCalc!$B$9)+F86</f>
        <v>3.0529072201956435E-9</v>
      </c>
      <c r="H86">
        <f ca="1">HYPGEOMDIST(H$50,SampleCalc!$B$15,SampleCalc!$B$9*$Z86,SampleCalc!$B$9)+G86</f>
        <v>3.4605062299828234E-8</v>
      </c>
      <c r="I86">
        <f ca="1">HYPGEOMDIST(I$50,SampleCalc!$B$15,SampleCalc!$B$9*$Z86,SampleCalc!$B$9)+H86</f>
        <v>2.8807054729169367E-7</v>
      </c>
      <c r="J86">
        <f ca="1">HYPGEOMDIST(J$50,SampleCalc!$B$15,SampleCalc!$B$9*$Z86,SampleCalc!$B$9)+I86</f>
        <v>1.8786923590684596E-6</v>
      </c>
      <c r="K86">
        <f ca="1">HYPGEOMDIST(K$50,SampleCalc!$B$15,SampleCalc!$B$9*$Z86,SampleCalc!$B$9)+J86</f>
        <v>9.9997878799221217E-6</v>
      </c>
      <c r="L86">
        <f ca="1">HYPGEOMDIST(L$50,SampleCalc!$B$15,SampleCalc!$B$9*$Z86,SampleCalc!$B$9)+K86</f>
        <v>4.4689993840711461E-5</v>
      </c>
      <c r="M86">
        <f ca="1">HYPGEOMDIST(M$50,SampleCalc!$B$15,SampleCalc!$B$9*$Z86,SampleCalc!$B$9)+L86</f>
        <v>1.7122394181244305E-4</v>
      </c>
      <c r="N86">
        <f ca="1">HYPGEOMDIST(N$50,SampleCalc!$B$15,SampleCalc!$B$9*$Z86,SampleCalc!$B$9)+M86</f>
        <v>5.7150126742236548E-4</v>
      </c>
      <c r="O86">
        <f ca="1">HYPGEOMDIST(O$50,SampleCalc!$B$15,SampleCalc!$B$9*$Z86,SampleCalc!$B$9)+N86</f>
        <v>1.6831509345722672E-3</v>
      </c>
      <c r="P86">
        <f ca="1">HYPGEOMDIST(P$50,SampleCalc!$B$15,SampleCalc!$B$9*$Z86,SampleCalc!$B$9)+O86</f>
        <v>4.4202765317872868E-3</v>
      </c>
      <c r="Q86">
        <f ca="1">HYPGEOMDIST(Q$50,SampleCalc!$B$15,SampleCalc!$B$9*$Z86,SampleCalc!$B$9)+P86</f>
        <v>1.0443724447988627E-2</v>
      </c>
      <c r="R86">
        <f ca="1">HYPGEOMDIST(R$50,SampleCalc!$B$15,SampleCalc!$B$9*$Z86,SampleCalc!$B$9)+Q86</f>
        <v>2.2371048113320316E-2</v>
      </c>
      <c r="S86">
        <f ca="1">HYPGEOMDIST(S$50,SampleCalc!$B$15,SampleCalc!$B$9*$Z86,SampleCalc!$B$9)+R86</f>
        <v>4.3743804024417646E-2</v>
      </c>
      <c r="T86">
        <f ca="1">HYPGEOMDIST(T$50,SampleCalc!$B$15,SampleCalc!$B$9*$Z86,SampleCalc!$B$9)+S86</f>
        <v>7.857043577185957E-2</v>
      </c>
      <c r="U86">
        <f ca="1">HYPGEOMDIST(U$50,SampleCalc!$B$15,SampleCalc!$B$9*$Z86,SampleCalc!$B$9)+T86</f>
        <v>0.13039313141521761</v>
      </c>
      <c r="V86">
        <f ca="1">HYPGEOMDIST(V$50,SampleCalc!$B$15,SampleCalc!$B$9*$Z86,SampleCalc!$B$9)+U86</f>
        <v>0.20106926934771036</v>
      </c>
      <c r="W86">
        <f ca="1">HYPGEOMDIST(W$50,SampleCalc!$B$15,SampleCalc!$B$9*$Z86,SampleCalc!$B$9)+V86</f>
        <v>0.28969490262813791</v>
      </c>
      <c r="X86">
        <f ca="1">HYPGEOMDIST(X$50,SampleCalc!$B$15,SampleCalc!$B$9*$Z86,SampleCalc!$B$9)+W86</f>
        <v>0.39216644597136363</v>
      </c>
      <c r="Y86">
        <f ca="1">HYPGEOMDIST(Y$50,SampleCalc!$B$15,SampleCalc!$B$9*$Z86,SampleCalc!$B$9)+X86</f>
        <v>0.50168492825743594</v>
      </c>
      <c r="Z86">
        <v>0.215</v>
      </c>
    </row>
    <row r="87" spans="5:26">
      <c r="E87">
        <f ca="1">HYPGEOMDIST(E$50,SampleCalc!$B$15,SampleCalc!$B$9*$Z87,SampleCalc!$B$9)</f>
        <v>4.9566397041883608E-12</v>
      </c>
      <c r="F87">
        <f ca="1">HYPGEOMDIST(F$50,SampleCalc!$B$15,SampleCalc!$B$9*$Z87,SampleCalc!$B$9)+E87</f>
        <v>1.7581101232641281E-10</v>
      </c>
      <c r="G87">
        <f ca="1">HYPGEOMDIST(G$50,SampleCalc!$B$15,SampleCalc!$B$9*$Z87,SampleCalc!$B$9)+F87</f>
        <v>3.0529072201956435E-9</v>
      </c>
      <c r="H87">
        <f ca="1">HYPGEOMDIST(H$50,SampleCalc!$B$15,SampleCalc!$B$9*$Z87,SampleCalc!$B$9)+G87</f>
        <v>3.4605062299828234E-8</v>
      </c>
      <c r="I87">
        <f ca="1">HYPGEOMDIST(I$50,SampleCalc!$B$15,SampleCalc!$B$9*$Z87,SampleCalc!$B$9)+H87</f>
        <v>2.8807054729169367E-7</v>
      </c>
      <c r="J87">
        <f ca="1">HYPGEOMDIST(J$50,SampleCalc!$B$15,SampleCalc!$B$9*$Z87,SampleCalc!$B$9)+I87</f>
        <v>1.8786923590684596E-6</v>
      </c>
      <c r="K87">
        <f ca="1">HYPGEOMDIST(K$50,SampleCalc!$B$15,SampleCalc!$B$9*$Z87,SampleCalc!$B$9)+J87</f>
        <v>9.9997878799221217E-6</v>
      </c>
      <c r="L87">
        <f ca="1">HYPGEOMDIST(L$50,SampleCalc!$B$15,SampleCalc!$B$9*$Z87,SampleCalc!$B$9)+K87</f>
        <v>4.4689993840711461E-5</v>
      </c>
      <c r="M87">
        <f ca="1">HYPGEOMDIST(M$50,SampleCalc!$B$15,SampleCalc!$B$9*$Z87,SampleCalc!$B$9)+L87</f>
        <v>1.7122394181244305E-4</v>
      </c>
      <c r="N87">
        <f ca="1">HYPGEOMDIST(N$50,SampleCalc!$B$15,SampleCalc!$B$9*$Z87,SampleCalc!$B$9)+M87</f>
        <v>5.7150126742236548E-4</v>
      </c>
      <c r="O87">
        <f ca="1">HYPGEOMDIST(O$50,SampleCalc!$B$15,SampleCalc!$B$9*$Z87,SampleCalc!$B$9)+N87</f>
        <v>1.6831509345722672E-3</v>
      </c>
      <c r="P87">
        <f ca="1">HYPGEOMDIST(P$50,SampleCalc!$B$15,SampleCalc!$B$9*$Z87,SampleCalc!$B$9)+O87</f>
        <v>4.4202765317872868E-3</v>
      </c>
      <c r="Q87">
        <f ca="1">HYPGEOMDIST(Q$50,SampleCalc!$B$15,SampleCalc!$B$9*$Z87,SampleCalc!$B$9)+P87</f>
        <v>1.0443724447988627E-2</v>
      </c>
      <c r="R87">
        <f ca="1">HYPGEOMDIST(R$50,SampleCalc!$B$15,SampleCalc!$B$9*$Z87,SampleCalc!$B$9)+Q87</f>
        <v>2.2371048113320316E-2</v>
      </c>
      <c r="S87">
        <f ca="1">HYPGEOMDIST(S$50,SampleCalc!$B$15,SampleCalc!$B$9*$Z87,SampleCalc!$B$9)+R87</f>
        <v>4.3743804024417646E-2</v>
      </c>
      <c r="T87">
        <f ca="1">HYPGEOMDIST(T$50,SampleCalc!$B$15,SampleCalc!$B$9*$Z87,SampleCalc!$B$9)+S87</f>
        <v>7.857043577185957E-2</v>
      </c>
      <c r="U87">
        <f ca="1">HYPGEOMDIST(U$50,SampleCalc!$B$15,SampleCalc!$B$9*$Z87,SampleCalc!$B$9)+T87</f>
        <v>0.13039313141521761</v>
      </c>
      <c r="V87">
        <f ca="1">HYPGEOMDIST(V$50,SampleCalc!$B$15,SampleCalc!$B$9*$Z87,SampleCalc!$B$9)+U87</f>
        <v>0.20106926934771036</v>
      </c>
      <c r="W87">
        <f ca="1">HYPGEOMDIST(W$50,SampleCalc!$B$15,SampleCalc!$B$9*$Z87,SampleCalc!$B$9)+V87</f>
        <v>0.28969490262813791</v>
      </c>
      <c r="X87">
        <f ca="1">HYPGEOMDIST(X$50,SampleCalc!$B$15,SampleCalc!$B$9*$Z87,SampleCalc!$B$9)+W87</f>
        <v>0.39216644597136363</v>
      </c>
      <c r="Y87">
        <f ca="1">HYPGEOMDIST(Y$50,SampleCalc!$B$15,SampleCalc!$B$9*$Z87,SampleCalc!$B$9)+X87</f>
        <v>0.50168492825743594</v>
      </c>
      <c r="Z87">
        <v>0.214</v>
      </c>
    </row>
    <row r="88" spans="5:26">
      <c r="E88">
        <f ca="1">HYPGEOMDIST(E$50,SampleCalc!$B$15,SampleCalc!$B$9*$Z88,SampleCalc!$B$9)</f>
        <v>6.5534095417792462E-12</v>
      </c>
      <c r="F88">
        <f ca="1">HYPGEOMDIST(F$50,SampleCalc!$B$15,SampleCalc!$B$9*$Z88,SampleCalc!$B$9)+E88</f>
        <v>2.295885115389218E-10</v>
      </c>
      <c r="G88">
        <f ca="1">HYPGEOMDIST(G$50,SampleCalc!$B$15,SampleCalc!$B$9*$Z88,SampleCalc!$B$9)+F88</f>
        <v>3.9375470822414189E-9</v>
      </c>
      <c r="H88">
        <f ca="1">HYPGEOMDIST(H$50,SampleCalc!$B$15,SampleCalc!$B$9*$Z88,SampleCalc!$B$9)+G88</f>
        <v>4.4080407533168954E-8</v>
      </c>
      <c r="I88">
        <f ca="1">HYPGEOMDIST(I$50,SampleCalc!$B$15,SampleCalc!$B$9*$Z88,SampleCalc!$B$9)+H88</f>
        <v>3.6239866933733691E-7</v>
      </c>
      <c r="J88">
        <f ca="1">HYPGEOMDIST(J$50,SampleCalc!$B$15,SampleCalc!$B$9*$Z88,SampleCalc!$B$9)+I88</f>
        <v>2.3340808929481055E-6</v>
      </c>
      <c r="K88">
        <f ca="1">HYPGEOMDIST(K$50,SampleCalc!$B$15,SampleCalc!$B$9*$Z88,SampleCalc!$B$9)+J88</f>
        <v>1.2269240606328895E-5</v>
      </c>
      <c r="L88">
        <f ca="1">HYPGEOMDIST(L$50,SampleCalc!$B$15,SampleCalc!$B$9*$Z88,SampleCalc!$B$9)+K88</f>
        <v>5.4150475932055873E-5</v>
      </c>
      <c r="M88">
        <f ca="1">HYPGEOMDIST(M$50,SampleCalc!$B$15,SampleCalc!$B$9*$Z88,SampleCalc!$B$9)+L88</f>
        <v>2.0489212807869826E-4</v>
      </c>
      <c r="N88">
        <f ca="1">HYPGEOMDIST(N$50,SampleCalc!$B$15,SampleCalc!$B$9*$Z88,SampleCalc!$B$9)+M88</f>
        <v>6.7539375967936579E-4</v>
      </c>
      <c r="O88">
        <f ca="1">HYPGEOMDIST(O$50,SampleCalc!$B$15,SampleCalc!$B$9*$Z88,SampleCalc!$B$9)+N88</f>
        <v>1.9645376782111952E-3</v>
      </c>
      <c r="P88">
        <f ca="1">HYPGEOMDIST(P$50,SampleCalc!$B$15,SampleCalc!$B$9*$Z88,SampleCalc!$B$9)+O88</f>
        <v>5.0958034008939807E-3</v>
      </c>
      <c r="Q88">
        <f ca="1">HYPGEOMDIST(Q$50,SampleCalc!$B$15,SampleCalc!$B$9*$Z88,SampleCalc!$B$9)+P88</f>
        <v>1.1892838538169116E-2</v>
      </c>
      <c r="R88">
        <f ca="1">HYPGEOMDIST(R$50,SampleCalc!$B$15,SampleCalc!$B$9*$Z88,SampleCalc!$B$9)+Q88</f>
        <v>2.5167483466174173E-2</v>
      </c>
      <c r="S88">
        <f ca="1">HYPGEOMDIST(S$50,SampleCalc!$B$15,SampleCalc!$B$9*$Z88,SampleCalc!$B$9)+R88</f>
        <v>4.8626042119853434E-2</v>
      </c>
      <c r="T88">
        <f ca="1">HYPGEOMDIST(T$50,SampleCalc!$B$15,SampleCalc!$B$9*$Z88,SampleCalc!$B$9)+S88</f>
        <v>8.6319623905445814E-2</v>
      </c>
      <c r="U88">
        <f ca="1">HYPGEOMDIST(U$50,SampleCalc!$B$15,SampleCalc!$B$9*$Z88,SampleCalc!$B$9)+T88</f>
        <v>0.14162205052598742</v>
      </c>
      <c r="V88">
        <f ca="1">HYPGEOMDIST(V$50,SampleCalc!$B$15,SampleCalc!$B$9*$Z88,SampleCalc!$B$9)+U88</f>
        <v>0.2159782543855393</v>
      </c>
      <c r="W88">
        <f ca="1">HYPGEOMDIST(W$50,SampleCalc!$B$15,SampleCalc!$B$9*$Z88,SampleCalc!$B$9)+V88</f>
        <v>0.30789078415637416</v>
      </c>
      <c r="X88">
        <f ca="1">HYPGEOMDIST(X$50,SampleCalc!$B$15,SampleCalc!$B$9*$Z88,SampleCalc!$B$9)+W88</f>
        <v>0.41263719032390056</v>
      </c>
      <c r="Y88">
        <f ca="1">HYPGEOMDIST(Y$50,SampleCalc!$B$15,SampleCalc!$B$9*$Z88,SampleCalc!$B$9)+X88</f>
        <v>0.52296677757488474</v>
      </c>
      <c r="Z88">
        <v>0.21299999999999999</v>
      </c>
    </row>
    <row r="89" spans="5:26">
      <c r="E89">
        <f ca="1">HYPGEOMDIST(E$50,SampleCalc!$B$15,SampleCalc!$B$9*$Z89,SampleCalc!$B$9)</f>
        <v>6.5534095417792462E-12</v>
      </c>
      <c r="F89">
        <f ca="1">HYPGEOMDIST(F$50,SampleCalc!$B$15,SampleCalc!$B$9*$Z89,SampleCalc!$B$9)+E89</f>
        <v>2.295885115389218E-10</v>
      </c>
      <c r="G89">
        <f ca="1">HYPGEOMDIST(G$50,SampleCalc!$B$15,SampleCalc!$B$9*$Z89,SampleCalc!$B$9)+F89</f>
        <v>3.9375470822414189E-9</v>
      </c>
      <c r="H89">
        <f ca="1">HYPGEOMDIST(H$50,SampleCalc!$B$15,SampleCalc!$B$9*$Z89,SampleCalc!$B$9)+G89</f>
        <v>4.4080407533168954E-8</v>
      </c>
      <c r="I89">
        <f ca="1">HYPGEOMDIST(I$50,SampleCalc!$B$15,SampleCalc!$B$9*$Z89,SampleCalc!$B$9)+H89</f>
        <v>3.6239866933733691E-7</v>
      </c>
      <c r="J89">
        <f ca="1">HYPGEOMDIST(J$50,SampleCalc!$B$15,SampleCalc!$B$9*$Z89,SampleCalc!$B$9)+I89</f>
        <v>2.3340808929481055E-6</v>
      </c>
      <c r="K89">
        <f ca="1">HYPGEOMDIST(K$50,SampleCalc!$B$15,SampleCalc!$B$9*$Z89,SampleCalc!$B$9)+J89</f>
        <v>1.2269240606328895E-5</v>
      </c>
      <c r="L89">
        <f ca="1">HYPGEOMDIST(L$50,SampleCalc!$B$15,SampleCalc!$B$9*$Z89,SampleCalc!$B$9)+K89</f>
        <v>5.4150475932055873E-5</v>
      </c>
      <c r="M89">
        <f ca="1">HYPGEOMDIST(M$50,SampleCalc!$B$15,SampleCalc!$B$9*$Z89,SampleCalc!$B$9)+L89</f>
        <v>2.0489212807869826E-4</v>
      </c>
      <c r="N89">
        <f ca="1">HYPGEOMDIST(N$50,SampleCalc!$B$15,SampleCalc!$B$9*$Z89,SampleCalc!$B$9)+M89</f>
        <v>6.7539375967936579E-4</v>
      </c>
      <c r="O89">
        <f ca="1">HYPGEOMDIST(O$50,SampleCalc!$B$15,SampleCalc!$B$9*$Z89,SampleCalc!$B$9)+N89</f>
        <v>1.9645376782111952E-3</v>
      </c>
      <c r="P89">
        <f ca="1">HYPGEOMDIST(P$50,SampleCalc!$B$15,SampleCalc!$B$9*$Z89,SampleCalc!$B$9)+O89</f>
        <v>5.0958034008939807E-3</v>
      </c>
      <c r="Q89">
        <f ca="1">HYPGEOMDIST(Q$50,SampleCalc!$B$15,SampleCalc!$B$9*$Z89,SampleCalc!$B$9)+P89</f>
        <v>1.1892838538169116E-2</v>
      </c>
      <c r="R89">
        <f ca="1">HYPGEOMDIST(R$50,SampleCalc!$B$15,SampleCalc!$B$9*$Z89,SampleCalc!$B$9)+Q89</f>
        <v>2.5167483466174173E-2</v>
      </c>
      <c r="S89">
        <f ca="1">HYPGEOMDIST(S$50,SampleCalc!$B$15,SampleCalc!$B$9*$Z89,SampleCalc!$B$9)+R89</f>
        <v>4.8626042119853434E-2</v>
      </c>
      <c r="T89">
        <f ca="1">HYPGEOMDIST(T$50,SampleCalc!$B$15,SampleCalc!$B$9*$Z89,SampleCalc!$B$9)+S89</f>
        <v>8.6319623905445814E-2</v>
      </c>
      <c r="U89">
        <f ca="1">HYPGEOMDIST(U$50,SampleCalc!$B$15,SampleCalc!$B$9*$Z89,SampleCalc!$B$9)+T89</f>
        <v>0.14162205052598742</v>
      </c>
      <c r="V89">
        <f ca="1">HYPGEOMDIST(V$50,SampleCalc!$B$15,SampleCalc!$B$9*$Z89,SampleCalc!$B$9)+U89</f>
        <v>0.2159782543855393</v>
      </c>
      <c r="W89">
        <f ca="1">HYPGEOMDIST(W$50,SampleCalc!$B$15,SampleCalc!$B$9*$Z89,SampleCalc!$B$9)+V89</f>
        <v>0.30789078415637416</v>
      </c>
      <c r="X89">
        <f ca="1">HYPGEOMDIST(X$50,SampleCalc!$B$15,SampleCalc!$B$9*$Z89,SampleCalc!$B$9)+W89</f>
        <v>0.41263719032390056</v>
      </c>
      <c r="Y89">
        <f ca="1">HYPGEOMDIST(Y$50,SampleCalc!$B$15,SampleCalc!$B$9*$Z89,SampleCalc!$B$9)+X89</f>
        <v>0.52296677757488474</v>
      </c>
      <c r="Z89">
        <v>0.21199999999999999</v>
      </c>
    </row>
    <row r="90" spans="5:26">
      <c r="E90">
        <f ca="1">HYPGEOMDIST(E$50,SampleCalc!$B$15,SampleCalc!$B$9*$Z90,SampleCalc!$B$9)</f>
        <v>8.6575142776013453E-12</v>
      </c>
      <c r="F90">
        <f ca="1">HYPGEOMDIST(F$50,SampleCalc!$B$15,SampleCalc!$B$9*$Z90,SampleCalc!$B$9)+E90</f>
        <v>2.9954999400500677E-10</v>
      </c>
      <c r="G90">
        <f ca="1">HYPGEOMDIST(G$50,SampleCalc!$B$15,SampleCalc!$B$9*$Z90,SampleCalc!$B$9)+F90</f>
        <v>5.0736657742487978E-9</v>
      </c>
      <c r="H90">
        <f ca="1">HYPGEOMDIST(H$50,SampleCalc!$B$15,SampleCalc!$B$9*$Z90,SampleCalc!$B$9)+G90</f>
        <v>5.6092417412571512E-8</v>
      </c>
      <c r="I90">
        <f ca="1">HYPGEOMDIST(I$50,SampleCalc!$B$15,SampleCalc!$B$9*$Z90,SampleCalc!$B$9)+H90</f>
        <v>4.5540254780954321E-7</v>
      </c>
      <c r="J90">
        <f ca="1">HYPGEOMDIST(J$50,SampleCalc!$B$15,SampleCalc!$B$9*$Z90,SampleCalc!$B$9)+I90</f>
        <v>2.8964484238941859E-6</v>
      </c>
      <c r="K90">
        <f ca="1">HYPGEOMDIST(K$50,SampleCalc!$B$15,SampleCalc!$B$9*$Z90,SampleCalc!$B$9)+J90</f>
        <v>1.5034982561801429E-5</v>
      </c>
      <c r="L90">
        <f ca="1">HYPGEOMDIST(L$50,SampleCalc!$B$15,SampleCalc!$B$9*$Z90,SampleCalc!$B$9)+K90</f>
        <v>6.5527204395953421E-5</v>
      </c>
      <c r="M90">
        <f ca="1">HYPGEOMDIST(M$50,SampleCalc!$B$15,SampleCalc!$B$9*$Z90,SampleCalc!$B$9)+L90</f>
        <v>2.4484037981837762E-4</v>
      </c>
      <c r="N90">
        <f ca="1">HYPGEOMDIST(N$50,SampleCalc!$B$15,SampleCalc!$B$9*$Z90,SampleCalc!$B$9)+M90</f>
        <v>7.9701111048425546E-4</v>
      </c>
      <c r="O90">
        <f ca="1">HYPGEOMDIST(O$50,SampleCalc!$B$15,SampleCalc!$B$9*$Z90,SampleCalc!$B$9)+N90</f>
        <v>2.289480347546201E-3</v>
      </c>
      <c r="P90">
        <f ca="1">HYPGEOMDIST(P$50,SampleCalc!$B$15,SampleCalc!$B$9*$Z90,SampleCalc!$B$9)+O90</f>
        <v>5.8652790768119224E-3</v>
      </c>
      <c r="Q90">
        <f ca="1">HYPGEOMDIST(Q$50,SampleCalc!$B$15,SampleCalc!$B$9*$Z90,SampleCalc!$B$9)+P90</f>
        <v>1.3520861029339547E-2</v>
      </c>
      <c r="R90">
        <f ca="1">HYPGEOMDIST(R$50,SampleCalc!$B$15,SampleCalc!$B$9*$Z90,SampleCalc!$B$9)+Q90</f>
        <v>2.8265783665716714E-2</v>
      </c>
      <c r="S90">
        <f ca="1">HYPGEOMDIST(S$50,SampleCalc!$B$15,SampleCalc!$B$9*$Z90,SampleCalc!$B$9)+R90</f>
        <v>5.3960039542342901E-2</v>
      </c>
      <c r="T90">
        <f ca="1">HYPGEOMDIST(T$50,SampleCalc!$B$15,SampleCalc!$B$9*$Z90,SampleCalc!$B$9)+S90</f>
        <v>9.4667159999112419E-2</v>
      </c>
      <c r="U90">
        <f ca="1">HYPGEOMDIST(U$50,SampleCalc!$B$15,SampleCalc!$B$9*$Z90,SampleCalc!$B$9)+T90</f>
        <v>0.15354710208836841</v>
      </c>
      <c r="V90">
        <f ca="1">HYPGEOMDIST(V$50,SampleCalc!$B$15,SampleCalc!$B$9*$Z90,SampleCalc!$B$9)+U90</f>
        <v>0.23158604245983197</v>
      </c>
      <c r="W90">
        <f ca="1">HYPGEOMDIST(W$50,SampleCalc!$B$15,SampleCalc!$B$9*$Z90,SampleCalc!$B$9)+V90</f>
        <v>0.32666608337508185</v>
      </c>
      <c r="X90">
        <f ca="1">HYPGEOMDIST(X$50,SampleCalc!$B$15,SampleCalc!$B$9*$Z90,SampleCalc!$B$9)+W90</f>
        <v>0.43345409357880338</v>
      </c>
      <c r="Y90">
        <f ca="1">HYPGEOMDIST(Y$50,SampleCalc!$B$15,SampleCalc!$B$9*$Z90,SampleCalc!$B$9)+X90</f>
        <v>0.54429268347990734</v>
      </c>
      <c r="Z90">
        <v>0.21099999999999999</v>
      </c>
    </row>
    <row r="91" spans="5:26">
      <c r="E91">
        <f ca="1">HYPGEOMDIST(E$50,SampleCalc!$B$15,SampleCalc!$B$9*$Z91,SampleCalc!$B$9)</f>
        <v>8.6575142776013453E-12</v>
      </c>
      <c r="F91">
        <f ca="1">HYPGEOMDIST(F$50,SampleCalc!$B$15,SampleCalc!$B$9*$Z91,SampleCalc!$B$9)+E91</f>
        <v>2.9954999400500677E-10</v>
      </c>
      <c r="G91">
        <f ca="1">HYPGEOMDIST(G$50,SampleCalc!$B$15,SampleCalc!$B$9*$Z91,SampleCalc!$B$9)+F91</f>
        <v>5.0736657742487978E-9</v>
      </c>
      <c r="H91">
        <f ca="1">HYPGEOMDIST(H$50,SampleCalc!$B$15,SampleCalc!$B$9*$Z91,SampleCalc!$B$9)+G91</f>
        <v>5.6092417412571512E-8</v>
      </c>
      <c r="I91">
        <f ca="1">HYPGEOMDIST(I$50,SampleCalc!$B$15,SampleCalc!$B$9*$Z91,SampleCalc!$B$9)+H91</f>
        <v>4.5540254780954321E-7</v>
      </c>
      <c r="J91">
        <f ca="1">HYPGEOMDIST(J$50,SampleCalc!$B$15,SampleCalc!$B$9*$Z91,SampleCalc!$B$9)+I91</f>
        <v>2.8964484238941859E-6</v>
      </c>
      <c r="K91">
        <f ca="1">HYPGEOMDIST(K$50,SampleCalc!$B$15,SampleCalc!$B$9*$Z91,SampleCalc!$B$9)+J91</f>
        <v>1.5034982561801429E-5</v>
      </c>
      <c r="L91">
        <f ca="1">HYPGEOMDIST(L$50,SampleCalc!$B$15,SampleCalc!$B$9*$Z91,SampleCalc!$B$9)+K91</f>
        <v>6.5527204395953421E-5</v>
      </c>
      <c r="M91">
        <f ca="1">HYPGEOMDIST(M$50,SampleCalc!$B$15,SampleCalc!$B$9*$Z91,SampleCalc!$B$9)+L91</f>
        <v>2.4484037981837762E-4</v>
      </c>
      <c r="N91">
        <f ca="1">HYPGEOMDIST(N$50,SampleCalc!$B$15,SampleCalc!$B$9*$Z91,SampleCalc!$B$9)+M91</f>
        <v>7.9701111048425546E-4</v>
      </c>
      <c r="O91">
        <f ca="1">HYPGEOMDIST(O$50,SampleCalc!$B$15,SampleCalc!$B$9*$Z91,SampleCalc!$B$9)+N91</f>
        <v>2.289480347546201E-3</v>
      </c>
      <c r="P91">
        <f ca="1">HYPGEOMDIST(P$50,SampleCalc!$B$15,SampleCalc!$B$9*$Z91,SampleCalc!$B$9)+O91</f>
        <v>5.8652790768119224E-3</v>
      </c>
      <c r="Q91">
        <f ca="1">HYPGEOMDIST(Q$50,SampleCalc!$B$15,SampleCalc!$B$9*$Z91,SampleCalc!$B$9)+P91</f>
        <v>1.3520861029339547E-2</v>
      </c>
      <c r="R91">
        <f ca="1">HYPGEOMDIST(R$50,SampleCalc!$B$15,SampleCalc!$B$9*$Z91,SampleCalc!$B$9)+Q91</f>
        <v>2.8265783665716714E-2</v>
      </c>
      <c r="S91">
        <f ca="1">HYPGEOMDIST(S$50,SampleCalc!$B$15,SampleCalc!$B$9*$Z91,SampleCalc!$B$9)+R91</f>
        <v>5.3960039542342901E-2</v>
      </c>
      <c r="T91">
        <f ca="1">HYPGEOMDIST(T$50,SampleCalc!$B$15,SampleCalc!$B$9*$Z91,SampleCalc!$B$9)+S91</f>
        <v>9.4667159999112419E-2</v>
      </c>
      <c r="U91">
        <f ca="1">HYPGEOMDIST(U$50,SampleCalc!$B$15,SampleCalc!$B$9*$Z91,SampleCalc!$B$9)+T91</f>
        <v>0.15354710208836841</v>
      </c>
      <c r="V91">
        <f ca="1">HYPGEOMDIST(V$50,SampleCalc!$B$15,SampleCalc!$B$9*$Z91,SampleCalc!$B$9)+U91</f>
        <v>0.23158604245983197</v>
      </c>
      <c r="W91">
        <f ca="1">HYPGEOMDIST(W$50,SampleCalc!$B$15,SampleCalc!$B$9*$Z91,SampleCalc!$B$9)+V91</f>
        <v>0.32666608337508185</v>
      </c>
      <c r="X91">
        <f ca="1">HYPGEOMDIST(X$50,SampleCalc!$B$15,SampleCalc!$B$9*$Z91,SampleCalc!$B$9)+W91</f>
        <v>0.43345409357880338</v>
      </c>
      <c r="Y91">
        <f ca="1">HYPGEOMDIST(Y$50,SampleCalc!$B$15,SampleCalc!$B$9*$Z91,SampleCalc!$B$9)+X91</f>
        <v>0.54429268347990734</v>
      </c>
      <c r="Z91">
        <v>0.21</v>
      </c>
    </row>
    <row r="92" spans="5:26">
      <c r="E92">
        <f ca="1">HYPGEOMDIST(E$50,SampleCalc!$B$15,SampleCalc!$B$9*$Z92,SampleCalc!$B$9)</f>
        <v>1.1427918846433784E-11</v>
      </c>
      <c r="F92">
        <f ca="1">HYPGEOMDIST(F$50,SampleCalc!$B$15,SampleCalc!$B$9*$Z92,SampleCalc!$B$9)+E92</f>
        <v>3.9048553267631672E-10</v>
      </c>
      <c r="G92">
        <f ca="1">HYPGEOMDIST(G$50,SampleCalc!$B$15,SampleCalc!$B$9*$Z92,SampleCalc!$B$9)+F92</f>
        <v>6.5313443924865891E-9</v>
      </c>
      <c r="H92">
        <f ca="1">HYPGEOMDIST(H$50,SampleCalc!$B$15,SampleCalc!$B$9*$Z92,SampleCalc!$B$9)+G92</f>
        <v>7.1304231903884745E-8</v>
      </c>
      <c r="I92">
        <f ca="1">HYPGEOMDIST(I$50,SampleCalc!$B$15,SampleCalc!$B$9*$Z92,SampleCalc!$B$9)+H92</f>
        <v>5.7164282762309733E-7</v>
      </c>
      <c r="J92">
        <f ca="1">HYPGEOMDIST(J$50,SampleCalc!$B$15,SampleCalc!$B$9*$Z92,SampleCalc!$B$9)+I92</f>
        <v>3.5900789460603141E-6</v>
      </c>
      <c r="K92">
        <f ca="1">HYPGEOMDIST(K$50,SampleCalc!$B$15,SampleCalc!$B$9*$Z92,SampleCalc!$B$9)+J92</f>
        <v>1.8401130684078233E-5</v>
      </c>
      <c r="L92">
        <f ca="1">HYPGEOMDIST(L$50,SampleCalc!$B$15,SampleCalc!$B$9*$Z92,SampleCalc!$B$9)+K92</f>
        <v>7.9189160618614346E-5</v>
      </c>
      <c r="M92">
        <f ca="1">HYPGEOMDIST(M$50,SampleCalc!$B$15,SampleCalc!$B$9*$Z92,SampleCalc!$B$9)+L92</f>
        <v>2.9216929958973865E-4</v>
      </c>
      <c r="N92">
        <f ca="1">HYPGEOMDIST(N$50,SampleCalc!$B$15,SampleCalc!$B$9*$Z92,SampleCalc!$B$9)+M92</f>
        <v>9.3915103782348864E-4</v>
      </c>
      <c r="O92">
        <f ca="1">HYPGEOMDIST(O$50,SampleCalc!$B$15,SampleCalc!$B$9*$Z92,SampleCalc!$B$9)+N92</f>
        <v>2.6640878334692783E-3</v>
      </c>
      <c r="P92">
        <f ca="1">HYPGEOMDIST(P$50,SampleCalc!$B$15,SampleCalc!$B$9*$Z92,SampleCalc!$B$9)+O92</f>
        <v>6.7402027285293643E-3</v>
      </c>
      <c r="Q92">
        <f ca="1">HYPGEOMDIST(Q$50,SampleCalc!$B$15,SampleCalc!$B$9*$Z92,SampleCalc!$B$9)+P92</f>
        <v>1.534642287955767E-2</v>
      </c>
      <c r="R92">
        <f ca="1">HYPGEOMDIST(R$50,SampleCalc!$B$15,SampleCalc!$B$9*$Z92,SampleCalc!$B$9)+Q92</f>
        <v>3.1691684449266858E-2</v>
      </c>
      <c r="S92">
        <f ca="1">HYPGEOMDIST(S$50,SampleCalc!$B$15,SampleCalc!$B$9*$Z92,SampleCalc!$B$9)+R92</f>
        <v>5.9775342464738514E-2</v>
      </c>
      <c r="T92">
        <f ca="1">HYPGEOMDIST(T$50,SampleCalc!$B$15,SampleCalc!$B$9*$Z92,SampleCalc!$B$9)+S92</f>
        <v>0.10363934165080858</v>
      </c>
      <c r="U92">
        <f ca="1">HYPGEOMDIST(U$50,SampleCalc!$B$15,SampleCalc!$B$9*$Z92,SampleCalc!$B$9)+T92</f>
        <v>0.1661819781485101</v>
      </c>
      <c r="V92">
        <f ca="1">HYPGEOMDIST(V$50,SampleCalc!$B$15,SampleCalc!$B$9*$Z92,SampleCalc!$B$9)+U92</f>
        <v>0.24788547804530348</v>
      </c>
      <c r="W92">
        <f ca="1">HYPGEOMDIST(W$50,SampleCalc!$B$15,SampleCalc!$B$9*$Z92,SampleCalc!$B$9)+V92</f>
        <v>0.3459896280786125</v>
      </c>
      <c r="X92">
        <f ca="1">HYPGEOMDIST(X$50,SampleCalc!$B$15,SampleCalc!$B$9*$Z92,SampleCalc!$B$9)+W92</f>
        <v>0.4545662059409184</v>
      </c>
      <c r="Y92">
        <f ca="1">HYPGEOMDIST(Y$50,SampleCalc!$B$15,SampleCalc!$B$9*$Z92,SampleCalc!$B$9)+X92</f>
        <v>0.56560272189541716</v>
      </c>
      <c r="Z92">
        <v>0.20899999999999999</v>
      </c>
    </row>
    <row r="93" spans="5:26">
      <c r="E93">
        <f ca="1">HYPGEOMDIST(E$50,SampleCalc!$B$15,SampleCalc!$B$9*$Z93,SampleCalc!$B$9)</f>
        <v>1.1427918846433784E-11</v>
      </c>
      <c r="F93">
        <f ca="1">HYPGEOMDIST(F$50,SampleCalc!$B$15,SampleCalc!$B$9*$Z93,SampleCalc!$B$9)+E93</f>
        <v>3.9048553267631672E-10</v>
      </c>
      <c r="G93">
        <f ca="1">HYPGEOMDIST(G$50,SampleCalc!$B$15,SampleCalc!$B$9*$Z93,SampleCalc!$B$9)+F93</f>
        <v>6.5313443924865891E-9</v>
      </c>
      <c r="H93">
        <f ca="1">HYPGEOMDIST(H$50,SampleCalc!$B$15,SampleCalc!$B$9*$Z93,SampleCalc!$B$9)+G93</f>
        <v>7.1304231903884745E-8</v>
      </c>
      <c r="I93">
        <f ca="1">HYPGEOMDIST(I$50,SampleCalc!$B$15,SampleCalc!$B$9*$Z93,SampleCalc!$B$9)+H93</f>
        <v>5.7164282762309733E-7</v>
      </c>
      <c r="J93">
        <f ca="1">HYPGEOMDIST(J$50,SampleCalc!$B$15,SampleCalc!$B$9*$Z93,SampleCalc!$B$9)+I93</f>
        <v>3.5900789460603141E-6</v>
      </c>
      <c r="K93">
        <f ca="1">HYPGEOMDIST(K$50,SampleCalc!$B$15,SampleCalc!$B$9*$Z93,SampleCalc!$B$9)+J93</f>
        <v>1.8401130684078233E-5</v>
      </c>
      <c r="L93">
        <f ca="1">HYPGEOMDIST(L$50,SampleCalc!$B$15,SampleCalc!$B$9*$Z93,SampleCalc!$B$9)+K93</f>
        <v>7.9189160618614346E-5</v>
      </c>
      <c r="M93">
        <f ca="1">HYPGEOMDIST(M$50,SampleCalc!$B$15,SampleCalc!$B$9*$Z93,SampleCalc!$B$9)+L93</f>
        <v>2.9216929958973865E-4</v>
      </c>
      <c r="N93">
        <f ca="1">HYPGEOMDIST(N$50,SampleCalc!$B$15,SampleCalc!$B$9*$Z93,SampleCalc!$B$9)+M93</f>
        <v>9.3915103782348864E-4</v>
      </c>
      <c r="O93">
        <f ca="1">HYPGEOMDIST(O$50,SampleCalc!$B$15,SampleCalc!$B$9*$Z93,SampleCalc!$B$9)+N93</f>
        <v>2.6640878334692783E-3</v>
      </c>
      <c r="P93">
        <f ca="1">HYPGEOMDIST(P$50,SampleCalc!$B$15,SampleCalc!$B$9*$Z93,SampleCalc!$B$9)+O93</f>
        <v>6.7402027285293643E-3</v>
      </c>
      <c r="Q93">
        <f ca="1">HYPGEOMDIST(Q$50,SampleCalc!$B$15,SampleCalc!$B$9*$Z93,SampleCalc!$B$9)+P93</f>
        <v>1.534642287955767E-2</v>
      </c>
      <c r="R93">
        <f ca="1">HYPGEOMDIST(R$50,SampleCalc!$B$15,SampleCalc!$B$9*$Z93,SampleCalc!$B$9)+Q93</f>
        <v>3.1691684449266858E-2</v>
      </c>
      <c r="S93">
        <f ca="1">HYPGEOMDIST(S$50,SampleCalc!$B$15,SampleCalc!$B$9*$Z93,SampleCalc!$B$9)+R93</f>
        <v>5.9775342464738514E-2</v>
      </c>
      <c r="T93">
        <f ca="1">HYPGEOMDIST(T$50,SampleCalc!$B$15,SampleCalc!$B$9*$Z93,SampleCalc!$B$9)+S93</f>
        <v>0.10363934165080858</v>
      </c>
      <c r="U93">
        <f ca="1">HYPGEOMDIST(U$50,SampleCalc!$B$15,SampleCalc!$B$9*$Z93,SampleCalc!$B$9)+T93</f>
        <v>0.1661819781485101</v>
      </c>
      <c r="V93">
        <f ca="1">HYPGEOMDIST(V$50,SampleCalc!$B$15,SampleCalc!$B$9*$Z93,SampleCalc!$B$9)+U93</f>
        <v>0.24788547804530348</v>
      </c>
      <c r="W93">
        <f ca="1">HYPGEOMDIST(W$50,SampleCalc!$B$15,SampleCalc!$B$9*$Z93,SampleCalc!$B$9)+V93</f>
        <v>0.3459896280786125</v>
      </c>
      <c r="X93">
        <f ca="1">HYPGEOMDIST(X$50,SampleCalc!$B$15,SampleCalc!$B$9*$Z93,SampleCalc!$B$9)+W93</f>
        <v>0.4545662059409184</v>
      </c>
      <c r="Y93">
        <f ca="1">HYPGEOMDIST(Y$50,SampleCalc!$B$15,SampleCalc!$B$9*$Z93,SampleCalc!$B$9)+X93</f>
        <v>0.56560272189541716</v>
      </c>
      <c r="Z93">
        <v>0.20799999999999999</v>
      </c>
    </row>
    <row r="94" spans="5:26">
      <c r="E94">
        <f ca="1">HYPGEOMDIST(E$50,SampleCalc!$B$15,SampleCalc!$B$9*$Z94,SampleCalc!$B$9)</f>
        <v>1.5072703594798032E-11</v>
      </c>
      <c r="F94">
        <f ca="1">HYPGEOMDIST(F$50,SampleCalc!$B$15,SampleCalc!$B$9*$Z94,SampleCalc!$B$9)+E94</f>
        <v>5.0857897228805259E-10</v>
      </c>
      <c r="G94">
        <f ca="1">HYPGEOMDIST(G$50,SampleCalc!$B$15,SampleCalc!$B$9*$Z94,SampleCalc!$B$9)+F94</f>
        <v>8.3997930706999998E-9</v>
      </c>
      <c r="H94">
        <f ca="1">HYPGEOMDIST(H$50,SampleCalc!$B$15,SampleCalc!$B$9*$Z94,SampleCalc!$B$9)+G94</f>
        <v>9.0548024046931335E-8</v>
      </c>
      <c r="I94">
        <f ca="1">HYPGEOMDIST(I$50,SampleCalc!$B$15,SampleCalc!$B$9*$Z94,SampleCalc!$B$9)+H94</f>
        <v>7.1675994870180951E-7</v>
      </c>
      <c r="J94">
        <f ca="1">HYPGEOMDIST(J$50,SampleCalc!$B$15,SampleCalc!$B$9*$Z94,SampleCalc!$B$9)+I94</f>
        <v>4.444562700176733E-6</v>
      </c>
      <c r="K94">
        <f ca="1">HYPGEOMDIST(K$50,SampleCalc!$B$15,SampleCalc!$B$9*$Z94,SampleCalc!$B$9)+J94</f>
        <v>2.2492632698902785E-5</v>
      </c>
      <c r="L94">
        <f ca="1">HYPGEOMDIST(L$50,SampleCalc!$B$15,SampleCalc!$B$9*$Z94,SampleCalc!$B$9)+K94</f>
        <v>9.5572248231777783E-5</v>
      </c>
      <c r="M94">
        <f ca="1">HYPGEOMDIST(M$50,SampleCalc!$B$15,SampleCalc!$B$9*$Z94,SampleCalc!$B$9)+L94</f>
        <v>3.4815810385996706E-4</v>
      </c>
      <c r="N94">
        <f ca="1">HYPGEOMDIST(N$50,SampleCalc!$B$15,SampleCalc!$B$9*$Z94,SampleCalc!$B$9)+M94</f>
        <v>1.1050103450971228E-3</v>
      </c>
      <c r="O94">
        <f ca="1">HYPGEOMDIST(O$50,SampleCalc!$B$15,SampleCalc!$B$9*$Z94,SampleCalc!$B$9)+N94</f>
        <v>3.0952153704467875E-3</v>
      </c>
      <c r="P94">
        <f ca="1">HYPGEOMDIST(P$50,SampleCalc!$B$15,SampleCalc!$B$9*$Z94,SampleCalc!$B$9)+O94</f>
        <v>7.7332281305710921E-3</v>
      </c>
      <c r="Q94">
        <f ca="1">HYPGEOMDIST(Q$50,SampleCalc!$B$15,SampleCalc!$B$9*$Z94,SampleCalc!$B$9)+P94</f>
        <v>1.7389580575771311E-2</v>
      </c>
      <c r="R94">
        <f ca="1">HYPGEOMDIST(R$50,SampleCalc!$B$15,SampleCalc!$B$9*$Z94,SampleCalc!$B$9)+Q94</f>
        <v>3.5472176874426484E-2</v>
      </c>
      <c r="S94">
        <f ca="1">HYPGEOMDIST(S$50,SampleCalc!$B$15,SampleCalc!$B$9*$Z94,SampleCalc!$B$9)+R94</f>
        <v>6.6101880808883254E-2</v>
      </c>
      <c r="T94">
        <f ca="1">HYPGEOMDIST(T$50,SampleCalc!$B$15,SampleCalc!$B$9*$Z94,SampleCalc!$B$9)+S94</f>
        <v>0.11326128572737805</v>
      </c>
      <c r="U94">
        <f ca="1">HYPGEOMDIST(U$50,SampleCalc!$B$15,SampleCalc!$B$9*$Z94,SampleCalc!$B$9)+T94</f>
        <v>0.1795373579393322</v>
      </c>
      <c r="V94">
        <f ca="1">HYPGEOMDIST(V$50,SampleCalc!$B$15,SampleCalc!$B$9*$Z94,SampleCalc!$B$9)+U94</f>
        <v>0.2648650424741455</v>
      </c>
      <c r="W94">
        <f ca="1">HYPGEOMDIST(W$50,SampleCalc!$B$15,SampleCalc!$B$9*$Z94,SampleCalc!$B$9)+V94</f>
        <v>0.36582573364961063</v>
      </c>
      <c r="X94">
        <f ca="1">HYPGEOMDIST(X$50,SampleCalc!$B$15,SampleCalc!$B$9*$Z94,SampleCalc!$B$9)+W94</f>
        <v>0.4759193820860142</v>
      </c>
      <c r="Y94">
        <f ca="1">HYPGEOMDIST(Y$50,SampleCalc!$B$15,SampleCalc!$B$9*$Z94,SampleCalc!$B$9)+X94</f>
        <v>0.58683616060418531</v>
      </c>
      <c r="Z94">
        <v>0.20699999999999999</v>
      </c>
    </row>
    <row r="95" spans="5:26">
      <c r="E95">
        <f ca="1">HYPGEOMDIST(E$50,SampleCalc!$B$15,SampleCalc!$B$9*$Z95,SampleCalc!$B$9)</f>
        <v>1.5072703594798032E-11</v>
      </c>
      <c r="F95">
        <f ca="1">HYPGEOMDIST(F$50,SampleCalc!$B$15,SampleCalc!$B$9*$Z95,SampleCalc!$B$9)+E95</f>
        <v>5.0857897228805259E-10</v>
      </c>
      <c r="G95">
        <f ca="1">HYPGEOMDIST(G$50,SampleCalc!$B$15,SampleCalc!$B$9*$Z95,SampleCalc!$B$9)+F95</f>
        <v>8.3997930706999998E-9</v>
      </c>
      <c r="H95">
        <f ca="1">HYPGEOMDIST(H$50,SampleCalc!$B$15,SampleCalc!$B$9*$Z95,SampleCalc!$B$9)+G95</f>
        <v>9.0548024046931335E-8</v>
      </c>
      <c r="I95">
        <f ca="1">HYPGEOMDIST(I$50,SampleCalc!$B$15,SampleCalc!$B$9*$Z95,SampleCalc!$B$9)+H95</f>
        <v>7.1675994870180951E-7</v>
      </c>
      <c r="J95">
        <f ca="1">HYPGEOMDIST(J$50,SampleCalc!$B$15,SampleCalc!$B$9*$Z95,SampleCalc!$B$9)+I95</f>
        <v>4.444562700176733E-6</v>
      </c>
      <c r="K95">
        <f ca="1">HYPGEOMDIST(K$50,SampleCalc!$B$15,SampleCalc!$B$9*$Z95,SampleCalc!$B$9)+J95</f>
        <v>2.2492632698902785E-5</v>
      </c>
      <c r="L95">
        <f ca="1">HYPGEOMDIST(L$50,SampleCalc!$B$15,SampleCalc!$B$9*$Z95,SampleCalc!$B$9)+K95</f>
        <v>9.5572248231777783E-5</v>
      </c>
      <c r="M95">
        <f ca="1">HYPGEOMDIST(M$50,SampleCalc!$B$15,SampleCalc!$B$9*$Z95,SampleCalc!$B$9)+L95</f>
        <v>3.4815810385996706E-4</v>
      </c>
      <c r="N95">
        <f ca="1">HYPGEOMDIST(N$50,SampleCalc!$B$15,SampleCalc!$B$9*$Z95,SampleCalc!$B$9)+M95</f>
        <v>1.1050103450971228E-3</v>
      </c>
      <c r="O95">
        <f ca="1">HYPGEOMDIST(O$50,SampleCalc!$B$15,SampleCalc!$B$9*$Z95,SampleCalc!$B$9)+N95</f>
        <v>3.0952153704467875E-3</v>
      </c>
      <c r="P95">
        <f ca="1">HYPGEOMDIST(P$50,SampleCalc!$B$15,SampleCalc!$B$9*$Z95,SampleCalc!$B$9)+O95</f>
        <v>7.7332281305710921E-3</v>
      </c>
      <c r="Q95">
        <f ca="1">HYPGEOMDIST(Q$50,SampleCalc!$B$15,SampleCalc!$B$9*$Z95,SampleCalc!$B$9)+P95</f>
        <v>1.7389580575771311E-2</v>
      </c>
      <c r="R95">
        <f ca="1">HYPGEOMDIST(R$50,SampleCalc!$B$15,SampleCalc!$B$9*$Z95,SampleCalc!$B$9)+Q95</f>
        <v>3.5472176874426484E-2</v>
      </c>
      <c r="S95">
        <f ca="1">HYPGEOMDIST(S$50,SampleCalc!$B$15,SampleCalc!$B$9*$Z95,SampleCalc!$B$9)+R95</f>
        <v>6.6101880808883254E-2</v>
      </c>
      <c r="T95">
        <f ca="1">HYPGEOMDIST(T$50,SampleCalc!$B$15,SampleCalc!$B$9*$Z95,SampleCalc!$B$9)+S95</f>
        <v>0.11326128572737805</v>
      </c>
      <c r="U95">
        <f ca="1">HYPGEOMDIST(U$50,SampleCalc!$B$15,SampleCalc!$B$9*$Z95,SampleCalc!$B$9)+T95</f>
        <v>0.1795373579393322</v>
      </c>
      <c r="V95">
        <f ca="1">HYPGEOMDIST(V$50,SampleCalc!$B$15,SampleCalc!$B$9*$Z95,SampleCalc!$B$9)+U95</f>
        <v>0.2648650424741455</v>
      </c>
      <c r="W95">
        <f ca="1">HYPGEOMDIST(W$50,SampleCalc!$B$15,SampleCalc!$B$9*$Z95,SampleCalc!$B$9)+V95</f>
        <v>0.36582573364961063</v>
      </c>
      <c r="X95">
        <f ca="1">HYPGEOMDIST(X$50,SampleCalc!$B$15,SampleCalc!$B$9*$Z95,SampleCalc!$B$9)+W95</f>
        <v>0.4759193820860142</v>
      </c>
      <c r="Y95">
        <f ca="1">HYPGEOMDIST(Y$50,SampleCalc!$B$15,SampleCalc!$B$9*$Z95,SampleCalc!$B$9)+X95</f>
        <v>0.58683616060418531</v>
      </c>
      <c r="Z95">
        <v>0.20599999999999999</v>
      </c>
    </row>
    <row r="96" spans="5:26">
      <c r="E96">
        <f ca="1">HYPGEOMDIST(E$50,SampleCalc!$B$15,SampleCalc!$B$9*$Z96,SampleCalc!$B$9)</f>
        <v>1.9864026591819915E-11</v>
      </c>
      <c r="F96">
        <f ca="1">HYPGEOMDIST(F$50,SampleCalc!$B$15,SampleCalc!$B$9*$Z96,SampleCalc!$B$9)+E96</f>
        <v>6.61806430509644E-10</v>
      </c>
      <c r="G96">
        <f ca="1">HYPGEOMDIST(G$50,SampleCalc!$B$15,SampleCalc!$B$9*$Z96,SampleCalc!$B$9)+F96</f>
        <v>1.0792459992337801E-8</v>
      </c>
      <c r="H96">
        <f ca="1">HYPGEOMDIST(H$50,SampleCalc!$B$15,SampleCalc!$B$9*$Z96,SampleCalc!$B$9)+G96</f>
        <v>1.1486693374226638E-7</v>
      </c>
      <c r="I96">
        <f ca="1">HYPGEOMDIST(I$50,SampleCalc!$B$15,SampleCalc!$B$9*$Z96,SampleCalc!$B$9)+H96</f>
        <v>8.9772124731709736E-7</v>
      </c>
      <c r="J96">
        <f ca="1">HYPGEOMDIST(J$50,SampleCalc!$B$15,SampleCalc!$B$9*$Z96,SampleCalc!$B$9)+I96</f>
        <v>5.4959065835976699E-6</v>
      </c>
      <c r="K96">
        <f ca="1">HYPGEOMDIST(K$50,SampleCalc!$B$15,SampleCalc!$B$9*$Z96,SampleCalc!$B$9)+J96</f>
        <v>2.7459208511816628E-5</v>
      </c>
      <c r="L96">
        <f ca="1">HYPGEOMDIST(L$50,SampleCalc!$B$15,SampleCalc!$B$9*$Z96,SampleCalc!$B$9)+K96</f>
        <v>1.1519056711552061E-4</v>
      </c>
      <c r="M96">
        <f ca="1">HYPGEOMDIST(M$50,SampleCalc!$B$15,SampleCalc!$B$9*$Z96,SampleCalc!$B$9)+L96</f>
        <v>4.1429082396806825E-4</v>
      </c>
      <c r="N96">
        <f ca="1">HYPGEOMDIST(N$50,SampleCalc!$B$15,SampleCalc!$B$9*$Z96,SampleCalc!$B$9)+M96</f>
        <v>1.2982341339660222E-3</v>
      </c>
      <c r="O96">
        <f ca="1">HYPGEOMDIST(O$50,SampleCalc!$B$15,SampleCalc!$B$9*$Z96,SampleCalc!$B$9)+N96</f>
        <v>3.5905371215280224E-3</v>
      </c>
      <c r="P96">
        <f ca="1">HYPGEOMDIST(P$50,SampleCalc!$B$15,SampleCalc!$B$9*$Z96,SampleCalc!$B$9)+O96</f>
        <v>8.858240065934218E-3</v>
      </c>
      <c r="Q96">
        <f ca="1">HYPGEOMDIST(Q$50,SampleCalc!$B$15,SampleCalc!$B$9*$Z96,SampleCalc!$B$9)+P96</f>
        <v>1.9671850011523891E-2</v>
      </c>
      <c r="R96">
        <f ca="1">HYPGEOMDIST(R$50,SampleCalc!$B$15,SampleCalc!$B$9*$Z96,SampleCalc!$B$9)+Q96</f>
        <v>3.9635437603381778E-2</v>
      </c>
      <c r="S96">
        <f ca="1">HYPGEOMDIST(S$50,SampleCalc!$B$15,SampleCalc!$B$9*$Z96,SampleCalc!$B$9)+R96</f>
        <v>7.2969755311576651E-2</v>
      </c>
      <c r="T96">
        <f ca="1">HYPGEOMDIST(T$50,SampleCalc!$B$15,SampleCalc!$B$9*$Z96,SampleCalc!$B$9)+S96</f>
        <v>0.12355659791564282</v>
      </c>
      <c r="U96">
        <f ca="1">HYPGEOMDIST(U$50,SampleCalc!$B$15,SampleCalc!$B$9*$Z96,SampleCalc!$B$9)+T96</f>
        <v>0.19362056800818489</v>
      </c>
      <c r="V96">
        <f ca="1">HYPGEOMDIST(V$50,SampleCalc!$B$15,SampleCalc!$B$9*$Z96,SampleCalc!$B$9)+U96</f>
        <v>0.28250865840772182</v>
      </c>
      <c r="W96">
        <f ca="1">HYPGEOMDIST(W$50,SampleCalc!$B$15,SampleCalc!$B$9*$Z96,SampleCalc!$B$9)+V96</f>
        <v>0.38613427073982093</v>
      </c>
      <c r="X96">
        <f ca="1">HYPGEOMDIST(X$50,SampleCalc!$B$15,SampleCalc!$B$9*$Z96,SampleCalc!$B$9)+W96</f>
        <v>0.49745662063323182</v>
      </c>
      <c r="Y96">
        <f ca="1">HYPGEOMDIST(Y$50,SampleCalc!$B$15,SampleCalc!$B$9*$Z96,SampleCalc!$B$9)+X96</f>
        <v>0.60793195264701894</v>
      </c>
      <c r="Z96">
        <v>0.20499999999999999</v>
      </c>
    </row>
    <row r="97" spans="5:26">
      <c r="E97">
        <f ca="1">HYPGEOMDIST(E$50,SampleCalc!$B$15,SampleCalc!$B$9*$Z97,SampleCalc!$B$9)</f>
        <v>1.9864026591819915E-11</v>
      </c>
      <c r="F97">
        <f ca="1">HYPGEOMDIST(F$50,SampleCalc!$B$15,SampleCalc!$B$9*$Z97,SampleCalc!$B$9)+E97</f>
        <v>6.61806430509644E-10</v>
      </c>
      <c r="G97">
        <f ca="1">HYPGEOMDIST(G$50,SampleCalc!$B$15,SampleCalc!$B$9*$Z97,SampleCalc!$B$9)+F97</f>
        <v>1.0792459992337801E-8</v>
      </c>
      <c r="H97">
        <f ca="1">HYPGEOMDIST(H$50,SampleCalc!$B$15,SampleCalc!$B$9*$Z97,SampleCalc!$B$9)+G97</f>
        <v>1.1486693374226638E-7</v>
      </c>
      <c r="I97">
        <f ca="1">HYPGEOMDIST(I$50,SampleCalc!$B$15,SampleCalc!$B$9*$Z97,SampleCalc!$B$9)+H97</f>
        <v>8.9772124731709736E-7</v>
      </c>
      <c r="J97">
        <f ca="1">HYPGEOMDIST(J$50,SampleCalc!$B$15,SampleCalc!$B$9*$Z97,SampleCalc!$B$9)+I97</f>
        <v>5.4959065835976699E-6</v>
      </c>
      <c r="K97">
        <f ca="1">HYPGEOMDIST(K$50,SampleCalc!$B$15,SampleCalc!$B$9*$Z97,SampleCalc!$B$9)+J97</f>
        <v>2.7459208511816628E-5</v>
      </c>
      <c r="L97">
        <f ca="1">HYPGEOMDIST(L$50,SampleCalc!$B$15,SampleCalc!$B$9*$Z97,SampleCalc!$B$9)+K97</f>
        <v>1.1519056711552061E-4</v>
      </c>
      <c r="M97">
        <f ca="1">HYPGEOMDIST(M$50,SampleCalc!$B$15,SampleCalc!$B$9*$Z97,SampleCalc!$B$9)+L97</f>
        <v>4.1429082396806825E-4</v>
      </c>
      <c r="N97">
        <f ca="1">HYPGEOMDIST(N$50,SampleCalc!$B$15,SampleCalc!$B$9*$Z97,SampleCalc!$B$9)+M97</f>
        <v>1.2982341339660222E-3</v>
      </c>
      <c r="O97">
        <f ca="1">HYPGEOMDIST(O$50,SampleCalc!$B$15,SampleCalc!$B$9*$Z97,SampleCalc!$B$9)+N97</f>
        <v>3.5905371215280224E-3</v>
      </c>
      <c r="P97">
        <f ca="1">HYPGEOMDIST(P$50,SampleCalc!$B$15,SampleCalc!$B$9*$Z97,SampleCalc!$B$9)+O97</f>
        <v>8.858240065934218E-3</v>
      </c>
      <c r="Q97">
        <f ca="1">HYPGEOMDIST(Q$50,SampleCalc!$B$15,SampleCalc!$B$9*$Z97,SampleCalc!$B$9)+P97</f>
        <v>1.9671850011523891E-2</v>
      </c>
      <c r="R97">
        <f ca="1">HYPGEOMDIST(R$50,SampleCalc!$B$15,SampleCalc!$B$9*$Z97,SampleCalc!$B$9)+Q97</f>
        <v>3.9635437603381778E-2</v>
      </c>
      <c r="S97">
        <f ca="1">HYPGEOMDIST(S$50,SampleCalc!$B$15,SampleCalc!$B$9*$Z97,SampleCalc!$B$9)+R97</f>
        <v>7.2969755311576651E-2</v>
      </c>
      <c r="T97">
        <f ca="1">HYPGEOMDIST(T$50,SampleCalc!$B$15,SampleCalc!$B$9*$Z97,SampleCalc!$B$9)+S97</f>
        <v>0.12355659791564282</v>
      </c>
      <c r="U97">
        <f ca="1">HYPGEOMDIST(U$50,SampleCalc!$B$15,SampleCalc!$B$9*$Z97,SampleCalc!$B$9)+T97</f>
        <v>0.19362056800818489</v>
      </c>
      <c r="V97">
        <f ca="1">HYPGEOMDIST(V$50,SampleCalc!$B$15,SampleCalc!$B$9*$Z97,SampleCalc!$B$9)+U97</f>
        <v>0.28250865840772182</v>
      </c>
      <c r="W97">
        <f ca="1">HYPGEOMDIST(W$50,SampleCalc!$B$15,SampleCalc!$B$9*$Z97,SampleCalc!$B$9)+V97</f>
        <v>0.38613427073982093</v>
      </c>
      <c r="X97">
        <f ca="1">HYPGEOMDIST(X$50,SampleCalc!$B$15,SampleCalc!$B$9*$Z97,SampleCalc!$B$9)+W97</f>
        <v>0.49745662063323182</v>
      </c>
      <c r="Y97">
        <f ca="1">HYPGEOMDIST(Y$50,SampleCalc!$B$15,SampleCalc!$B$9*$Z97,SampleCalc!$B$9)+X97</f>
        <v>0.60793195264701894</v>
      </c>
      <c r="Z97">
        <v>0.20399999999999999</v>
      </c>
    </row>
    <row r="98" spans="5:26">
      <c r="E98">
        <f ca="1">HYPGEOMDIST(E$50,SampleCalc!$B$15,SampleCalc!$B$9*$Z98,SampleCalc!$B$9)</f>
        <v>2.6157579571406439E-11</v>
      </c>
      <c r="F98">
        <f ca="1">HYPGEOMDIST(F$50,SampleCalc!$B$15,SampleCalc!$B$9*$Z98,SampleCalc!$B$9)+E98</f>
        <v>8.604466964278428E-10</v>
      </c>
      <c r="G98">
        <f ca="1">HYPGEOMDIST(G$50,SampleCalc!$B$15,SampleCalc!$B$9*$Z98,SampleCalc!$B$9)+F98</f>
        <v>1.3853473926159228E-8</v>
      </c>
      <c r="H98">
        <f ca="1">HYPGEOMDIST(H$50,SampleCalc!$B$15,SampleCalc!$B$9*$Z98,SampleCalc!$B$9)+G98</f>
        <v>1.4556710290206369E-7</v>
      </c>
      <c r="I98">
        <f ca="1">HYPGEOMDIST(I$50,SampleCalc!$B$15,SampleCalc!$B$9*$Z98,SampleCalc!$B$9)+H98</f>
        <v>1.1231224892916356E-6</v>
      </c>
      <c r="J98">
        <f ca="1">HYPGEOMDIST(J$50,SampleCalc!$B$15,SampleCalc!$B$9*$Z98,SampleCalc!$B$9)+I98</f>
        <v>6.7878655205517286E-6</v>
      </c>
      <c r="K98">
        <f ca="1">HYPGEOMDIST(K$50,SampleCalc!$B$15,SampleCalc!$B$9*$Z98,SampleCalc!$B$9)+J98</f>
        <v>3.3479988023835526E-5</v>
      </c>
      <c r="L98">
        <f ca="1">HYPGEOMDIST(L$50,SampleCalc!$B$15,SampleCalc!$B$9*$Z98,SampleCalc!$B$9)+K98</f>
        <v>1.386494107902303E-4</v>
      </c>
      <c r="M98">
        <f ca="1">HYPGEOMDIST(M$50,SampleCalc!$B$15,SampleCalc!$B$9*$Z98,SampleCalc!$B$9)+L98</f>
        <v>4.922858219090641E-4</v>
      </c>
      <c r="N98">
        <f ca="1">HYPGEOMDIST(N$50,SampleCalc!$B$15,SampleCalc!$B$9*$Z98,SampleCalc!$B$9)+M98</f>
        <v>1.5229697209819043E-3</v>
      </c>
      <c r="O98">
        <f ca="1">HYPGEOMDIST(O$50,SampleCalc!$B$15,SampleCalc!$B$9*$Z98,SampleCalc!$B$9)+N98</f>
        <v>4.1586227331796696E-3</v>
      </c>
      <c r="P98">
        <f ca="1">HYPGEOMDIST(P$50,SampleCalc!$B$15,SampleCalc!$B$9*$Z98,SampleCalc!$B$9)+O98</f>
        <v>1.0130429471297706E-2</v>
      </c>
      <c r="Q98">
        <f ca="1">HYPGEOMDIST(Q$50,SampleCalc!$B$15,SampleCalc!$B$9*$Z98,SampleCalc!$B$9)+P98</f>
        <v>2.221622882225089E-2</v>
      </c>
      <c r="R98">
        <f ca="1">HYPGEOMDIST(R$50,SampleCalc!$B$15,SampleCalc!$B$9*$Z98,SampleCalc!$B$9)+Q98</f>
        <v>4.4210736112349706E-2</v>
      </c>
      <c r="S98">
        <f ca="1">HYPGEOMDIST(S$50,SampleCalc!$B$15,SampleCalc!$B$9*$Z98,SampleCalc!$B$9)+R98</f>
        <v>8.0408996870998201E-2</v>
      </c>
      <c r="T98">
        <f ca="1">HYPGEOMDIST(T$50,SampleCalc!$B$15,SampleCalc!$B$9*$Z98,SampleCalc!$B$9)+S98</f>
        <v>0.13454702459682594</v>
      </c>
      <c r="U98">
        <f ca="1">HYPGEOMDIST(U$50,SampleCalc!$B$15,SampleCalc!$B$9*$Z98,SampleCalc!$B$9)+T98</f>
        <v>0.20843524974144101</v>
      </c>
      <c r="V98">
        <f ca="1">HYPGEOMDIST(V$50,SampleCalc!$B$15,SampleCalc!$B$9*$Z98,SampleCalc!$B$9)+U98</f>
        <v>0.30079553117220992</v>
      </c>
      <c r="W98">
        <f ca="1">HYPGEOMDIST(W$50,SampleCalc!$B$15,SampleCalc!$B$9*$Z98,SampleCalc!$B$9)+V98</f>
        <v>0.40687078689643669</v>
      </c>
      <c r="X98">
        <f ca="1">HYPGEOMDIST(X$50,SampleCalc!$B$15,SampleCalc!$B$9*$Z98,SampleCalc!$B$9)+W98</f>
        <v>0.51911845043985672</v>
      </c>
      <c r="Y98">
        <f ca="1">HYPGEOMDIST(Y$50,SampleCalc!$B$15,SampleCalc!$B$9*$Z98,SampleCalc!$B$9)+X98</f>
        <v>0.62882924728399836</v>
      </c>
      <c r="Z98">
        <v>0.20300000000000001</v>
      </c>
    </row>
    <row r="99" spans="5:26">
      <c r="E99">
        <f ca="1">HYPGEOMDIST(E$50,SampleCalc!$B$15,SampleCalc!$B$9*$Z99,SampleCalc!$B$9)</f>
        <v>2.6157579571406439E-11</v>
      </c>
      <c r="F99">
        <f ca="1">HYPGEOMDIST(F$50,SampleCalc!$B$15,SampleCalc!$B$9*$Z99,SampleCalc!$B$9)+E99</f>
        <v>8.604466964278428E-10</v>
      </c>
      <c r="G99">
        <f ca="1">HYPGEOMDIST(G$50,SampleCalc!$B$15,SampleCalc!$B$9*$Z99,SampleCalc!$B$9)+F99</f>
        <v>1.3853473926159228E-8</v>
      </c>
      <c r="H99">
        <f ca="1">HYPGEOMDIST(H$50,SampleCalc!$B$15,SampleCalc!$B$9*$Z99,SampleCalc!$B$9)+G99</f>
        <v>1.4556710290206369E-7</v>
      </c>
      <c r="I99">
        <f ca="1">HYPGEOMDIST(I$50,SampleCalc!$B$15,SampleCalc!$B$9*$Z99,SampleCalc!$B$9)+H99</f>
        <v>1.1231224892916356E-6</v>
      </c>
      <c r="J99">
        <f ca="1">HYPGEOMDIST(J$50,SampleCalc!$B$15,SampleCalc!$B$9*$Z99,SampleCalc!$B$9)+I99</f>
        <v>6.7878655205517286E-6</v>
      </c>
      <c r="K99">
        <f ca="1">HYPGEOMDIST(K$50,SampleCalc!$B$15,SampleCalc!$B$9*$Z99,SampleCalc!$B$9)+J99</f>
        <v>3.3479988023835526E-5</v>
      </c>
      <c r="L99">
        <f ca="1">HYPGEOMDIST(L$50,SampleCalc!$B$15,SampleCalc!$B$9*$Z99,SampleCalc!$B$9)+K99</f>
        <v>1.386494107902303E-4</v>
      </c>
      <c r="M99">
        <f ca="1">HYPGEOMDIST(M$50,SampleCalc!$B$15,SampleCalc!$B$9*$Z99,SampleCalc!$B$9)+L99</f>
        <v>4.922858219090641E-4</v>
      </c>
      <c r="N99">
        <f ca="1">HYPGEOMDIST(N$50,SampleCalc!$B$15,SampleCalc!$B$9*$Z99,SampleCalc!$B$9)+M99</f>
        <v>1.5229697209819043E-3</v>
      </c>
      <c r="O99">
        <f ca="1">HYPGEOMDIST(O$50,SampleCalc!$B$15,SampleCalc!$B$9*$Z99,SampleCalc!$B$9)+N99</f>
        <v>4.1586227331796696E-3</v>
      </c>
      <c r="P99">
        <f ca="1">HYPGEOMDIST(P$50,SampleCalc!$B$15,SampleCalc!$B$9*$Z99,SampleCalc!$B$9)+O99</f>
        <v>1.0130429471297706E-2</v>
      </c>
      <c r="Q99">
        <f ca="1">HYPGEOMDIST(Q$50,SampleCalc!$B$15,SampleCalc!$B$9*$Z99,SampleCalc!$B$9)+P99</f>
        <v>2.221622882225089E-2</v>
      </c>
      <c r="R99">
        <f ca="1">HYPGEOMDIST(R$50,SampleCalc!$B$15,SampleCalc!$B$9*$Z99,SampleCalc!$B$9)+Q99</f>
        <v>4.4210736112349706E-2</v>
      </c>
      <c r="S99">
        <f ca="1">HYPGEOMDIST(S$50,SampleCalc!$B$15,SampleCalc!$B$9*$Z99,SampleCalc!$B$9)+R99</f>
        <v>8.0408996870998201E-2</v>
      </c>
      <c r="T99">
        <f ca="1">HYPGEOMDIST(T$50,SampleCalc!$B$15,SampleCalc!$B$9*$Z99,SampleCalc!$B$9)+S99</f>
        <v>0.13454702459682594</v>
      </c>
      <c r="U99">
        <f ca="1">HYPGEOMDIST(U$50,SampleCalc!$B$15,SampleCalc!$B$9*$Z99,SampleCalc!$B$9)+T99</f>
        <v>0.20843524974144101</v>
      </c>
      <c r="V99">
        <f ca="1">HYPGEOMDIST(V$50,SampleCalc!$B$15,SampleCalc!$B$9*$Z99,SampleCalc!$B$9)+U99</f>
        <v>0.30079553117220992</v>
      </c>
      <c r="W99">
        <f ca="1">HYPGEOMDIST(W$50,SampleCalc!$B$15,SampleCalc!$B$9*$Z99,SampleCalc!$B$9)+V99</f>
        <v>0.40687078689643669</v>
      </c>
      <c r="X99">
        <f ca="1">HYPGEOMDIST(X$50,SampleCalc!$B$15,SampleCalc!$B$9*$Z99,SampleCalc!$B$9)+W99</f>
        <v>0.51911845043985672</v>
      </c>
      <c r="Y99">
        <f ca="1">HYPGEOMDIST(Y$50,SampleCalc!$B$15,SampleCalc!$B$9*$Z99,SampleCalc!$B$9)+X99</f>
        <v>0.62882924728399836</v>
      </c>
      <c r="Z99">
        <v>0.20200000000000001</v>
      </c>
    </row>
    <row r="100" spans="5:26">
      <c r="E100">
        <f ca="1">HYPGEOMDIST(E$50,SampleCalc!$B$15,SampleCalc!$B$9*$Z100,SampleCalc!$B$9)</f>
        <v>3.4417867857113712E-11</v>
      </c>
      <c r="F100">
        <f ca="1">HYPGEOMDIST(F$50,SampleCalc!$B$15,SampleCalc!$B$9*$Z100,SampleCalc!$B$9)+E100</f>
        <v>1.1177343643433159E-9</v>
      </c>
      <c r="G100">
        <f ca="1">HYPGEOMDIST(G$50,SampleCalc!$B$15,SampleCalc!$B$9*$Z100,SampleCalc!$B$9)+F100</f>
        <v>1.7765759935344514E-8</v>
      </c>
      <c r="H100">
        <f ca="1">HYPGEOMDIST(H$50,SampleCalc!$B$15,SampleCalc!$B$9*$Z100,SampleCalc!$B$9)+G100</f>
        <v>1.842821677095716E-7</v>
      </c>
      <c r="I100">
        <f ca="1">HYPGEOMDIST(I$50,SampleCalc!$B$15,SampleCalc!$B$9*$Z100,SampleCalc!$B$9)+H100</f>
        <v>1.4035553126213434E-6</v>
      </c>
      <c r="J100">
        <f ca="1">HYPGEOMDIST(J$50,SampleCalc!$B$15,SampleCalc!$B$9*$Z100,SampleCalc!$B$9)+I100</f>
        <v>8.3735361643111599E-6</v>
      </c>
      <c r="K100">
        <f ca="1">HYPGEOMDIST(K$50,SampleCalc!$B$15,SampleCalc!$B$9*$Z100,SampleCalc!$B$9)+J100</f>
        <v>4.076895791853618E-5</v>
      </c>
      <c r="L100">
        <f ca="1">HYPGEOMDIST(L$50,SampleCalc!$B$15,SampleCalc!$B$9*$Z100,SampleCalc!$B$9)+K100</f>
        <v>1.6666021563132609E-4</v>
      </c>
      <c r="M100">
        <f ca="1">HYPGEOMDIST(M$50,SampleCalc!$B$15,SampleCalc!$B$9*$Z100,SampleCalc!$B$9)+L100</f>
        <v>5.84128941628426E-4</v>
      </c>
      <c r="N100">
        <f ca="1">HYPGEOMDIST(N$50,SampleCalc!$B$15,SampleCalc!$B$9*$Z100,SampleCalc!$B$9)+M100</f>
        <v>1.7839254647638602E-3</v>
      </c>
      <c r="O100">
        <f ca="1">HYPGEOMDIST(O$50,SampleCalc!$B$15,SampleCalc!$B$9*$Z100,SampleCalc!$B$9)+N100</f>
        <v>4.8090175264400466E-3</v>
      </c>
      <c r="P100">
        <f ca="1">HYPGEOMDIST(P$50,SampleCalc!$B$15,SampleCalc!$B$9*$Z100,SampleCalc!$B$9)+O100</f>
        <v>1.1566366027846602E-2</v>
      </c>
      <c r="Q100">
        <f ca="1">HYPGEOMDIST(Q$50,SampleCalc!$B$15,SampleCalc!$B$9*$Z100,SampleCalc!$B$9)+P100</f>
        <v>2.5047205008105186E-2</v>
      </c>
      <c r="R100">
        <f ca="1">HYPGEOMDIST(R$50,SampleCalc!$B$15,SampleCalc!$B$9*$Z100,SampleCalc!$B$9)+Q100</f>
        <v>4.9228316811568334E-2</v>
      </c>
      <c r="S100">
        <f ca="1">HYPGEOMDIST(S$50,SampleCalc!$B$15,SampleCalc!$B$9*$Z100,SampleCalc!$B$9)+R100</f>
        <v>8.8449298018398376E-2</v>
      </c>
      <c r="T100">
        <f ca="1">HYPGEOMDIST(T$50,SampleCalc!$B$15,SampleCalc!$B$9*$Z100,SampleCalc!$B$9)+S100</f>
        <v>0.14625208996626984</v>
      </c>
      <c r="U100">
        <f ca="1">HYPGEOMDIST(U$50,SampleCalc!$B$15,SampleCalc!$B$9*$Z100,SampleCalc!$B$9)+T100</f>
        <v>0.22398103968523375</v>
      </c>
      <c r="V100">
        <f ca="1">HYPGEOMDIST(V$50,SampleCalc!$B$15,SampleCalc!$B$9*$Z100,SampleCalc!$B$9)+U100</f>
        <v>0.31970003219236909</v>
      </c>
      <c r="W100">
        <f ca="1">HYPGEOMDIST(W$50,SampleCalc!$B$15,SampleCalc!$B$9*$Z100,SampleCalc!$B$9)+V100</f>
        <v>0.42798668399866413</v>
      </c>
      <c r="X100">
        <f ca="1">HYPGEOMDIST(X$50,SampleCalc!$B$15,SampleCalc!$B$9*$Z100,SampleCalc!$B$9)+W100</f>
        <v>0.54084336070602346</v>
      </c>
      <c r="Y100">
        <f ca="1">HYPGEOMDIST(Y$50,SampleCalc!$B$15,SampleCalc!$B$9*$Z100,SampleCalc!$B$9)+X100</f>
        <v>0.64946791203685683</v>
      </c>
      <c r="Z100">
        <v>0.20100000000000001</v>
      </c>
    </row>
    <row r="101" spans="5:26">
      <c r="E101">
        <f ca="1">HYPGEOMDIST(E$50,SampleCalc!$B$15,SampleCalc!$B$9*$Z101,SampleCalc!$B$9)</f>
        <v>3.4417867857113712E-11</v>
      </c>
      <c r="F101">
        <f ca="1">HYPGEOMDIST(F$50,SampleCalc!$B$15,SampleCalc!$B$9*$Z101,SampleCalc!$B$9)+E101</f>
        <v>1.1177343643433159E-9</v>
      </c>
      <c r="G101">
        <f ca="1">HYPGEOMDIST(G$50,SampleCalc!$B$15,SampleCalc!$B$9*$Z101,SampleCalc!$B$9)+F101</f>
        <v>1.7765759935344514E-8</v>
      </c>
      <c r="H101">
        <f ca="1">HYPGEOMDIST(H$50,SampleCalc!$B$15,SampleCalc!$B$9*$Z101,SampleCalc!$B$9)+G101</f>
        <v>1.842821677095716E-7</v>
      </c>
      <c r="I101">
        <f ca="1">HYPGEOMDIST(I$50,SampleCalc!$B$15,SampleCalc!$B$9*$Z101,SampleCalc!$B$9)+H101</f>
        <v>1.4035553126213434E-6</v>
      </c>
      <c r="J101">
        <f ca="1">HYPGEOMDIST(J$50,SampleCalc!$B$15,SampleCalc!$B$9*$Z101,SampleCalc!$B$9)+I101</f>
        <v>8.3735361643111599E-6</v>
      </c>
      <c r="K101">
        <f ca="1">HYPGEOMDIST(K$50,SampleCalc!$B$15,SampleCalc!$B$9*$Z101,SampleCalc!$B$9)+J101</f>
        <v>4.076895791853618E-5</v>
      </c>
      <c r="L101">
        <f ca="1">HYPGEOMDIST(L$50,SampleCalc!$B$15,SampleCalc!$B$9*$Z101,SampleCalc!$B$9)+K101</f>
        <v>1.6666021563132609E-4</v>
      </c>
      <c r="M101">
        <f ca="1">HYPGEOMDIST(M$50,SampleCalc!$B$15,SampleCalc!$B$9*$Z101,SampleCalc!$B$9)+L101</f>
        <v>5.84128941628426E-4</v>
      </c>
      <c r="N101">
        <f ca="1">HYPGEOMDIST(N$50,SampleCalc!$B$15,SampleCalc!$B$9*$Z101,SampleCalc!$B$9)+M101</f>
        <v>1.7839254647638602E-3</v>
      </c>
      <c r="O101">
        <f ca="1">HYPGEOMDIST(O$50,SampleCalc!$B$15,SampleCalc!$B$9*$Z101,SampleCalc!$B$9)+N101</f>
        <v>4.8090175264400466E-3</v>
      </c>
      <c r="P101">
        <f ca="1">HYPGEOMDIST(P$50,SampleCalc!$B$15,SampleCalc!$B$9*$Z101,SampleCalc!$B$9)+O101</f>
        <v>1.1566366027846602E-2</v>
      </c>
      <c r="Q101">
        <f ca="1">HYPGEOMDIST(Q$50,SampleCalc!$B$15,SampleCalc!$B$9*$Z101,SampleCalc!$B$9)+P101</f>
        <v>2.5047205008105186E-2</v>
      </c>
      <c r="R101">
        <f ca="1">HYPGEOMDIST(R$50,SampleCalc!$B$15,SampleCalc!$B$9*$Z101,SampleCalc!$B$9)+Q101</f>
        <v>4.9228316811568334E-2</v>
      </c>
      <c r="S101">
        <f ca="1">HYPGEOMDIST(S$50,SampleCalc!$B$15,SampleCalc!$B$9*$Z101,SampleCalc!$B$9)+R101</f>
        <v>8.8449298018398376E-2</v>
      </c>
      <c r="T101">
        <f ca="1">HYPGEOMDIST(T$50,SampleCalc!$B$15,SampleCalc!$B$9*$Z101,SampleCalc!$B$9)+S101</f>
        <v>0.14625208996626984</v>
      </c>
      <c r="U101">
        <f ca="1">HYPGEOMDIST(U$50,SampleCalc!$B$15,SampleCalc!$B$9*$Z101,SampleCalc!$B$9)+T101</f>
        <v>0.22398103968523375</v>
      </c>
      <c r="V101">
        <f ca="1">HYPGEOMDIST(V$50,SampleCalc!$B$15,SampleCalc!$B$9*$Z101,SampleCalc!$B$9)+U101</f>
        <v>0.31970003219236909</v>
      </c>
      <c r="W101">
        <f ca="1">HYPGEOMDIST(W$50,SampleCalc!$B$15,SampleCalc!$B$9*$Z101,SampleCalc!$B$9)+V101</f>
        <v>0.42798668399866413</v>
      </c>
      <c r="X101">
        <f ca="1">HYPGEOMDIST(X$50,SampleCalc!$B$15,SampleCalc!$B$9*$Z101,SampleCalc!$B$9)+W101</f>
        <v>0.54084336070602346</v>
      </c>
      <c r="Y101">
        <f ca="1">HYPGEOMDIST(Y$50,SampleCalc!$B$15,SampleCalc!$B$9*$Z101,SampleCalc!$B$9)+X101</f>
        <v>0.64946791203685683</v>
      </c>
      <c r="Z101">
        <v>0.2</v>
      </c>
    </row>
    <row r="102" spans="5:26">
      <c r="E102">
        <f ca="1">HYPGEOMDIST(E$50,SampleCalc!$B$15,SampleCalc!$B$9*$Z102,SampleCalc!$B$9)</f>
        <v>4.5251032821975727E-11</v>
      </c>
      <c r="F102">
        <f ca="1">HYPGEOMDIST(F$50,SampleCalc!$B$15,SampleCalc!$B$9*$Z102,SampleCalc!$B$9)+E102</f>
        <v>1.4506948757633398E-9</v>
      </c>
      <c r="G102">
        <f ca="1">HYPGEOMDIST(G$50,SampleCalc!$B$15,SampleCalc!$B$9*$Z102,SampleCalc!$B$9)+F102</f>
        <v>2.2761252168571338E-8</v>
      </c>
      <c r="H102">
        <f ca="1">HYPGEOMDIST(H$50,SampleCalc!$B$15,SampleCalc!$B$9*$Z102,SampleCalc!$B$9)+G102</f>
        <v>2.3305309350604251E-7</v>
      </c>
      <c r="I102">
        <f ca="1">HYPGEOMDIST(I$50,SampleCalc!$B$15,SampleCalc!$B$9*$Z102,SampleCalc!$B$9)+H102</f>
        <v>1.7520543552058343E-6</v>
      </c>
      <c r="J102">
        <f ca="1">HYPGEOMDIST(J$50,SampleCalc!$B$15,SampleCalc!$B$9*$Z102,SampleCalc!$B$9)+I102</f>
        <v>1.0317261469564671E-5</v>
      </c>
      <c r="K102">
        <f ca="1">HYPGEOMDIST(K$50,SampleCalc!$B$15,SampleCalc!$B$9*$Z102,SampleCalc!$B$9)+J102</f>
        <v>4.9581345958431477E-5</v>
      </c>
      <c r="L102">
        <f ca="1">HYPGEOMDIST(L$50,SampleCalc!$B$15,SampleCalc!$B$9*$Z102,SampleCalc!$B$9)+K102</f>
        <v>2.0005771371109404E-4</v>
      </c>
      <c r="M102">
        <f ca="1">HYPGEOMDIST(M$50,SampleCalc!$B$15,SampleCalc!$B$9*$Z102,SampleCalc!$B$9)+L102</f>
        <v>6.9211062871061483E-4</v>
      </c>
      <c r="N102">
        <f ca="1">HYPGEOMDIST(N$50,SampleCalc!$B$15,SampleCalc!$B$9*$Z102,SampleCalc!$B$9)+M102</f>
        <v>2.0864346709314773E-3</v>
      </c>
      <c r="O102">
        <f ca="1">HYPGEOMDIST(O$50,SampleCalc!$B$15,SampleCalc!$B$9*$Z102,SampleCalc!$B$9)+N102</f>
        <v>5.5523258615947698E-3</v>
      </c>
      <c r="P102">
        <f ca="1">HYPGEOMDIST(P$50,SampleCalc!$B$15,SampleCalc!$B$9*$Z102,SampleCalc!$B$9)+O102</f>
        <v>1.3184066705477629E-2</v>
      </c>
      <c r="Q102">
        <f ca="1">HYPGEOMDIST(Q$50,SampleCalc!$B$15,SampleCalc!$B$9*$Z102,SampleCalc!$B$9)+P102</f>
        <v>2.8190749542555411E-2</v>
      </c>
      <c r="R102">
        <f ca="1">HYPGEOMDIST(R$50,SampleCalc!$B$15,SampleCalc!$B$9*$Z102,SampleCalc!$B$9)+Q102</f>
        <v>5.4719254180524549E-2</v>
      </c>
      <c r="S102">
        <f ca="1">HYPGEOMDIST(S$50,SampleCalc!$B$15,SampleCalc!$B$9*$Z102,SampleCalc!$B$9)+R102</f>
        <v>9.7119716810579043E-2</v>
      </c>
      <c r="T102">
        <f ca="1">HYPGEOMDIST(T$50,SampleCalc!$B$15,SampleCalc!$B$9*$Z102,SampleCalc!$B$9)+S102</f>
        <v>0.15868872192130404</v>
      </c>
      <c r="U102">
        <f ca="1">HYPGEOMDIST(U$50,SampleCalc!$B$15,SampleCalc!$B$9*$Z102,SampleCalc!$B$9)+T102</f>
        <v>0.24025326841144673</v>
      </c>
      <c r="V102">
        <f ca="1">HYPGEOMDIST(V$50,SampleCalc!$B$15,SampleCalc!$B$9*$Z102,SampleCalc!$B$9)+U102</f>
        <v>0.33919162951750215</v>
      </c>
      <c r="W102">
        <f ca="1">HYPGEOMDIST(W$50,SampleCalc!$B$15,SampleCalc!$B$9*$Z102,SampleCalc!$B$9)+V102</f>
        <v>0.44942945257306249</v>
      </c>
      <c r="X102">
        <f ca="1">HYPGEOMDIST(X$50,SampleCalc!$B$15,SampleCalc!$B$9*$Z102,SampleCalc!$B$9)+W102</f>
        <v>0.5625682709721902</v>
      </c>
      <c r="Y102">
        <f ca="1">HYPGEOMDIST(Y$50,SampleCalc!$B$15,SampleCalc!$B$9*$Z102,SampleCalc!$B$9)+X102</f>
        <v>0.66978905887044038</v>
      </c>
      <c r="Z102">
        <v>0.19900000000000001</v>
      </c>
    </row>
    <row r="103" spans="5:26">
      <c r="E103">
        <f ca="1">HYPGEOMDIST(E$50,SampleCalc!$B$15,SampleCalc!$B$9*$Z103,SampleCalc!$B$9)</f>
        <v>4.5251032821975727E-11</v>
      </c>
      <c r="F103">
        <f ca="1">HYPGEOMDIST(F$50,SampleCalc!$B$15,SampleCalc!$B$9*$Z103,SampleCalc!$B$9)+E103</f>
        <v>1.4506948757633398E-9</v>
      </c>
      <c r="G103">
        <f ca="1">HYPGEOMDIST(G$50,SampleCalc!$B$15,SampleCalc!$B$9*$Z103,SampleCalc!$B$9)+F103</f>
        <v>2.2761252168571338E-8</v>
      </c>
      <c r="H103">
        <f ca="1">HYPGEOMDIST(H$50,SampleCalc!$B$15,SampleCalc!$B$9*$Z103,SampleCalc!$B$9)+G103</f>
        <v>2.3305309350604251E-7</v>
      </c>
      <c r="I103">
        <f ca="1">HYPGEOMDIST(I$50,SampleCalc!$B$15,SampleCalc!$B$9*$Z103,SampleCalc!$B$9)+H103</f>
        <v>1.7520543552058343E-6</v>
      </c>
      <c r="J103">
        <f ca="1">HYPGEOMDIST(J$50,SampleCalc!$B$15,SampleCalc!$B$9*$Z103,SampleCalc!$B$9)+I103</f>
        <v>1.0317261469564671E-5</v>
      </c>
      <c r="K103">
        <f ca="1">HYPGEOMDIST(K$50,SampleCalc!$B$15,SampleCalc!$B$9*$Z103,SampleCalc!$B$9)+J103</f>
        <v>4.9581345958431477E-5</v>
      </c>
      <c r="L103">
        <f ca="1">HYPGEOMDIST(L$50,SampleCalc!$B$15,SampleCalc!$B$9*$Z103,SampleCalc!$B$9)+K103</f>
        <v>2.0005771371109404E-4</v>
      </c>
      <c r="M103">
        <f ca="1">HYPGEOMDIST(M$50,SampleCalc!$B$15,SampleCalc!$B$9*$Z103,SampleCalc!$B$9)+L103</f>
        <v>6.9211062871061483E-4</v>
      </c>
      <c r="N103">
        <f ca="1">HYPGEOMDIST(N$50,SampleCalc!$B$15,SampleCalc!$B$9*$Z103,SampleCalc!$B$9)+M103</f>
        <v>2.0864346709314773E-3</v>
      </c>
      <c r="O103">
        <f ca="1">HYPGEOMDIST(O$50,SampleCalc!$B$15,SampleCalc!$B$9*$Z103,SampleCalc!$B$9)+N103</f>
        <v>5.5523258615947698E-3</v>
      </c>
      <c r="P103">
        <f ca="1">HYPGEOMDIST(P$50,SampleCalc!$B$15,SampleCalc!$B$9*$Z103,SampleCalc!$B$9)+O103</f>
        <v>1.3184066705477629E-2</v>
      </c>
      <c r="Q103">
        <f ca="1">HYPGEOMDIST(Q$50,SampleCalc!$B$15,SampleCalc!$B$9*$Z103,SampleCalc!$B$9)+P103</f>
        <v>2.8190749542555411E-2</v>
      </c>
      <c r="R103">
        <f ca="1">HYPGEOMDIST(R$50,SampleCalc!$B$15,SampleCalc!$B$9*$Z103,SampleCalc!$B$9)+Q103</f>
        <v>5.4719254180524549E-2</v>
      </c>
      <c r="S103">
        <f ca="1">HYPGEOMDIST(S$50,SampleCalc!$B$15,SampleCalc!$B$9*$Z103,SampleCalc!$B$9)+R103</f>
        <v>9.7119716810579043E-2</v>
      </c>
      <c r="T103">
        <f ca="1">HYPGEOMDIST(T$50,SampleCalc!$B$15,SampleCalc!$B$9*$Z103,SampleCalc!$B$9)+S103</f>
        <v>0.15868872192130404</v>
      </c>
      <c r="U103">
        <f ca="1">HYPGEOMDIST(U$50,SampleCalc!$B$15,SampleCalc!$B$9*$Z103,SampleCalc!$B$9)+T103</f>
        <v>0.24025326841144673</v>
      </c>
      <c r="V103">
        <f ca="1">HYPGEOMDIST(V$50,SampleCalc!$B$15,SampleCalc!$B$9*$Z103,SampleCalc!$B$9)+U103</f>
        <v>0.33919162951750215</v>
      </c>
      <c r="W103">
        <f ca="1">HYPGEOMDIST(W$50,SampleCalc!$B$15,SampleCalc!$B$9*$Z103,SampleCalc!$B$9)+V103</f>
        <v>0.44942945257306249</v>
      </c>
      <c r="X103">
        <f ca="1">HYPGEOMDIST(X$50,SampleCalc!$B$15,SampleCalc!$B$9*$Z103,SampleCalc!$B$9)+W103</f>
        <v>0.5625682709721902</v>
      </c>
      <c r="Y103">
        <f ca="1">HYPGEOMDIST(Y$50,SampleCalc!$B$15,SampleCalc!$B$9*$Z103,SampleCalc!$B$9)+X103</f>
        <v>0.66978905887044038</v>
      </c>
      <c r="Z103">
        <v>0.19800000000000001</v>
      </c>
    </row>
    <row r="104" spans="5:26">
      <c r="E104">
        <f ca="1">HYPGEOMDIST(E$50,SampleCalc!$B$15,SampleCalc!$B$9*$Z104,SampleCalc!$B$9)</f>
        <v>5.9447435275928904E-11</v>
      </c>
      <c r="F104">
        <f ca="1">HYPGEOMDIST(F$50,SampleCalc!$B$15,SampleCalc!$B$9*$Z104,SampleCalc!$B$9)+E104</f>
        <v>1.8812111847089571E-9</v>
      </c>
      <c r="G104">
        <f ca="1">HYPGEOMDIST(G$50,SampleCalc!$B$15,SampleCalc!$B$9*$Z104,SampleCalc!$B$9)+F104</f>
        <v>2.9133732209100772E-8</v>
      </c>
      <c r="H104">
        <f ca="1">HYPGEOMDIST(H$50,SampleCalc!$B$15,SampleCalc!$B$9*$Z104,SampleCalc!$B$9)+G104</f>
        <v>2.9442688185754916E-7</v>
      </c>
      <c r="I104">
        <f ca="1">HYPGEOMDIST(I$50,SampleCalc!$B$15,SampleCalc!$B$9*$Z104,SampleCalc!$B$9)+H104</f>
        <v>2.1846405731027467E-6</v>
      </c>
      <c r="J104">
        <f ca="1">HYPGEOMDIST(J$50,SampleCalc!$B$15,SampleCalc!$B$9*$Z104,SampleCalc!$B$9)+I104</f>
        <v>1.2696902953738418E-5</v>
      </c>
      <c r="K104">
        <f ca="1">HYPGEOMDIST(K$50,SampleCalc!$B$15,SampleCalc!$B$9*$Z104,SampleCalc!$B$9)+J104</f>
        <v>6.0221089132862141E-5</v>
      </c>
      <c r="L104">
        <f ca="1">HYPGEOMDIST(L$50,SampleCalc!$B$15,SampleCalc!$B$9*$Z104,SampleCalc!$B$9)+K104</f>
        <v>2.3981956542822689E-4</v>
      </c>
      <c r="M104">
        <f ca="1">HYPGEOMDIST(M$50,SampleCalc!$B$15,SampleCalc!$B$9*$Z104,SampleCalc!$B$9)+L104</f>
        <v>8.1886735982160169E-4</v>
      </c>
      <c r="N104">
        <f ca="1">HYPGEOMDIST(N$50,SampleCalc!$B$15,SampleCalc!$B$9*$Z104,SampleCalc!$B$9)+M104</f>
        <v>2.4365246901903977E-3</v>
      </c>
      <c r="O104">
        <f ca="1">HYPGEOMDIST(O$50,SampleCalc!$B$15,SampleCalc!$B$9*$Z104,SampleCalc!$B$9)+N104</f>
        <v>6.4002970664706433E-3</v>
      </c>
      <c r="P104">
        <f ca="1">HYPGEOMDIST(P$50,SampleCalc!$B$15,SampleCalc!$B$9*$Z104,SampleCalc!$B$9)+O104</f>
        <v>1.5003058564517373E-2</v>
      </c>
      <c r="Q104">
        <f ca="1">HYPGEOMDIST(Q$50,SampleCalc!$B$15,SampleCalc!$B$9*$Z104,SampleCalc!$B$9)+P104</f>
        <v>3.1674290555622077E-2</v>
      </c>
      <c r="R104">
        <f ca="1">HYPGEOMDIST(R$50,SampleCalc!$B$15,SampleCalc!$B$9*$Z104,SampleCalc!$B$9)+Q104</f>
        <v>6.0715279198916061E-2</v>
      </c>
      <c r="S104">
        <f ca="1">HYPGEOMDIST(S$50,SampleCalc!$B$15,SampleCalc!$B$9*$Z104,SampleCalc!$B$9)+R104</f>
        <v>0.10644835394856766</v>
      </c>
      <c r="T104">
        <f ca="1">HYPGEOMDIST(T$50,SampleCalc!$B$15,SampleCalc!$B$9*$Z104,SampleCalc!$B$9)+S104</f>
        <v>0.17187087084900385</v>
      </c>
      <c r="U104">
        <f ca="1">HYPGEOMDIST(U$50,SampleCalc!$B$15,SampleCalc!$B$9*$Z104,SampleCalc!$B$9)+T104</f>
        <v>0.25724268395491073</v>
      </c>
      <c r="V104">
        <f ca="1">HYPGEOMDIST(V$50,SampleCalc!$B$15,SampleCalc!$B$9*$Z104,SampleCalc!$B$9)+U104</f>
        <v>0.35923487007305865</v>
      </c>
      <c r="W104">
        <f ca="1">HYPGEOMDIST(W$50,SampleCalc!$B$15,SampleCalc!$B$9*$Z104,SampleCalc!$B$9)+V104</f>
        <v>0.47114296317491539</v>
      </c>
      <c r="X104">
        <f ca="1">HYPGEOMDIST(X$50,SampleCalc!$B$15,SampleCalc!$B$9*$Z104,SampleCalc!$B$9)+W104</f>
        <v>0.58422903620416</v>
      </c>
      <c r="Y104">
        <f ca="1">HYPGEOMDIST(Y$50,SampleCalc!$B$15,SampleCalc!$B$9*$Z104,SampleCalc!$B$9)+X104</f>
        <v>0.68973556722208873</v>
      </c>
      <c r="Z104">
        <v>0.19700000000000001</v>
      </c>
    </row>
    <row r="105" spans="5:26">
      <c r="E105">
        <f ca="1">HYPGEOMDIST(E$50,SampleCalc!$B$15,SampleCalc!$B$9*$Z105,SampleCalc!$B$9)</f>
        <v>5.9447435275928904E-11</v>
      </c>
      <c r="F105">
        <f ca="1">HYPGEOMDIST(F$50,SampleCalc!$B$15,SampleCalc!$B$9*$Z105,SampleCalc!$B$9)+E105</f>
        <v>1.8812111847089571E-9</v>
      </c>
      <c r="G105">
        <f ca="1">HYPGEOMDIST(G$50,SampleCalc!$B$15,SampleCalc!$B$9*$Z105,SampleCalc!$B$9)+F105</f>
        <v>2.9133732209100772E-8</v>
      </c>
      <c r="H105">
        <f ca="1">HYPGEOMDIST(H$50,SampleCalc!$B$15,SampleCalc!$B$9*$Z105,SampleCalc!$B$9)+G105</f>
        <v>2.9442688185754916E-7</v>
      </c>
      <c r="I105">
        <f ca="1">HYPGEOMDIST(I$50,SampleCalc!$B$15,SampleCalc!$B$9*$Z105,SampleCalc!$B$9)+H105</f>
        <v>2.1846405731027467E-6</v>
      </c>
      <c r="J105">
        <f ca="1">HYPGEOMDIST(J$50,SampleCalc!$B$15,SampleCalc!$B$9*$Z105,SampleCalc!$B$9)+I105</f>
        <v>1.2696902953738418E-5</v>
      </c>
      <c r="K105">
        <f ca="1">HYPGEOMDIST(K$50,SampleCalc!$B$15,SampleCalc!$B$9*$Z105,SampleCalc!$B$9)+J105</f>
        <v>6.0221089132862141E-5</v>
      </c>
      <c r="L105">
        <f ca="1">HYPGEOMDIST(L$50,SampleCalc!$B$15,SampleCalc!$B$9*$Z105,SampleCalc!$B$9)+K105</f>
        <v>2.3981956542822689E-4</v>
      </c>
      <c r="M105">
        <f ca="1">HYPGEOMDIST(M$50,SampleCalc!$B$15,SampleCalc!$B$9*$Z105,SampleCalc!$B$9)+L105</f>
        <v>8.1886735982160169E-4</v>
      </c>
      <c r="N105">
        <f ca="1">HYPGEOMDIST(N$50,SampleCalc!$B$15,SampleCalc!$B$9*$Z105,SampleCalc!$B$9)+M105</f>
        <v>2.4365246901903977E-3</v>
      </c>
      <c r="O105">
        <f ca="1">HYPGEOMDIST(O$50,SampleCalc!$B$15,SampleCalc!$B$9*$Z105,SampleCalc!$B$9)+N105</f>
        <v>6.4002970664706433E-3</v>
      </c>
      <c r="P105">
        <f ca="1">HYPGEOMDIST(P$50,SampleCalc!$B$15,SampleCalc!$B$9*$Z105,SampleCalc!$B$9)+O105</f>
        <v>1.5003058564517373E-2</v>
      </c>
      <c r="Q105">
        <f ca="1">HYPGEOMDIST(Q$50,SampleCalc!$B$15,SampleCalc!$B$9*$Z105,SampleCalc!$B$9)+P105</f>
        <v>3.1674290555622077E-2</v>
      </c>
      <c r="R105">
        <f ca="1">HYPGEOMDIST(R$50,SampleCalc!$B$15,SampleCalc!$B$9*$Z105,SampleCalc!$B$9)+Q105</f>
        <v>6.0715279198916061E-2</v>
      </c>
      <c r="S105">
        <f ca="1">HYPGEOMDIST(S$50,SampleCalc!$B$15,SampleCalc!$B$9*$Z105,SampleCalc!$B$9)+R105</f>
        <v>0.10644835394856766</v>
      </c>
      <c r="T105">
        <f ca="1">HYPGEOMDIST(T$50,SampleCalc!$B$15,SampleCalc!$B$9*$Z105,SampleCalc!$B$9)+S105</f>
        <v>0.17187087084900385</v>
      </c>
      <c r="U105">
        <f ca="1">HYPGEOMDIST(U$50,SampleCalc!$B$15,SampleCalc!$B$9*$Z105,SampleCalc!$B$9)+T105</f>
        <v>0.25724268395491073</v>
      </c>
      <c r="V105">
        <f ca="1">HYPGEOMDIST(V$50,SampleCalc!$B$15,SampleCalc!$B$9*$Z105,SampleCalc!$B$9)+U105</f>
        <v>0.35923487007305865</v>
      </c>
      <c r="W105">
        <f ca="1">HYPGEOMDIST(W$50,SampleCalc!$B$15,SampleCalc!$B$9*$Z105,SampleCalc!$B$9)+V105</f>
        <v>0.47114296317491539</v>
      </c>
      <c r="X105">
        <f ca="1">HYPGEOMDIST(X$50,SampleCalc!$B$15,SampleCalc!$B$9*$Z105,SampleCalc!$B$9)+W105</f>
        <v>0.58422903620416</v>
      </c>
      <c r="Y105">
        <f ca="1">HYPGEOMDIST(Y$50,SampleCalc!$B$15,SampleCalc!$B$9*$Z105,SampleCalc!$B$9)+X105</f>
        <v>0.68973556722208873</v>
      </c>
      <c r="Z105">
        <v>0.19600000000000001</v>
      </c>
    </row>
    <row r="106" spans="5:26">
      <c r="E106">
        <f ca="1">HYPGEOMDIST(E$50,SampleCalc!$B$15,SampleCalc!$B$9*$Z106,SampleCalc!$B$9)</f>
        <v>7.8036861290551701E-11</v>
      </c>
      <c r="F106">
        <f ca="1">HYPGEOMDIST(F$50,SampleCalc!$B$15,SampleCalc!$B$9*$Z106,SampleCalc!$B$9)+E106</f>
        <v>2.4373850831659333E-9</v>
      </c>
      <c r="G106">
        <f ca="1">HYPGEOMDIST(G$50,SampleCalc!$B$15,SampleCalc!$B$9*$Z106,SampleCalc!$B$9)+F106</f>
        <v>3.7254951075890002E-8</v>
      </c>
      <c r="H106">
        <f ca="1">HYPGEOMDIST(H$50,SampleCalc!$B$15,SampleCalc!$B$9*$Z106,SampleCalc!$B$9)+G106</f>
        <v>3.7157846109204747E-7</v>
      </c>
      <c r="I106">
        <f ca="1">HYPGEOMDIST(I$50,SampleCalc!$B$15,SampleCalc!$B$9*$Z106,SampleCalc!$B$9)+H106</f>
        <v>2.7209804904821181E-6</v>
      </c>
      <c r="J106">
        <f ca="1">HYPGEOMDIST(J$50,SampleCalc!$B$15,SampleCalc!$B$9*$Z106,SampleCalc!$B$9)+I106</f>
        <v>1.5606547005521498E-5</v>
      </c>
      <c r="K106">
        <f ca="1">HYPGEOMDIST(K$50,SampleCalc!$B$15,SampleCalc!$B$9*$Z106,SampleCalc!$B$9)+J106</f>
        <v>7.3049551725388166E-5</v>
      </c>
      <c r="L106">
        <f ca="1">HYPGEOMDIST(L$50,SampleCalc!$B$15,SampleCalc!$B$9*$Z106,SampleCalc!$B$9)+K106</f>
        <v>2.8708877313380829E-4</v>
      </c>
      <c r="M106">
        <f ca="1">HYPGEOMDIST(M$50,SampleCalc!$B$15,SampleCalc!$B$9*$Z106,SampleCalc!$B$9)+L106</f>
        <v>9.6742772689628761E-4</v>
      </c>
      <c r="N106">
        <f ca="1">HYPGEOMDIST(N$50,SampleCalc!$B$15,SampleCalc!$B$9*$Z106,SampleCalc!$B$9)+M106</f>
        <v>2.8409912591985855E-3</v>
      </c>
      <c r="O106">
        <f ca="1">HYPGEOMDIST(O$50,SampleCalc!$B$15,SampleCalc!$B$9*$Z106,SampleCalc!$B$9)+N106</f>
        <v>7.3659131529860977E-3</v>
      </c>
      <c r="P106">
        <f ca="1">HYPGEOMDIST(P$50,SampleCalc!$B$15,SampleCalc!$B$9*$Z106,SampleCalc!$B$9)+O106</f>
        <v>1.7044433910366932E-2</v>
      </c>
      <c r="Q106">
        <f ca="1">HYPGEOMDIST(Q$50,SampleCalc!$B$15,SampleCalc!$B$9*$Z106,SampleCalc!$B$9)+P106</f>
        <v>3.5526666600140644E-2</v>
      </c>
      <c r="R106">
        <f ca="1">HYPGEOMDIST(R$50,SampleCalc!$B$15,SampleCalc!$B$9*$Z106,SampleCalc!$B$9)+Q106</f>
        <v>6.7248575591723425E-2</v>
      </c>
      <c r="S106">
        <f ca="1">HYPGEOMDIST(S$50,SampleCalc!$B$15,SampleCalc!$B$9*$Z106,SampleCalc!$B$9)+R106</f>
        <v>0.11646200449455278</v>
      </c>
      <c r="T106">
        <f ca="1">HYPGEOMDIST(T$50,SampleCalc!$B$15,SampleCalc!$B$9*$Z106,SampleCalc!$B$9)+S106</f>
        <v>0.18580912604996822</v>
      </c>
      <c r="U106">
        <f ca="1">HYPGEOMDIST(U$50,SampleCalc!$B$15,SampleCalc!$B$9*$Z106,SampleCalc!$B$9)+T106</f>
        <v>0.27493520603663035</v>
      </c>
      <c r="V106">
        <f ca="1">HYPGEOMDIST(V$50,SampleCalc!$B$15,SampleCalc!$B$9*$Z106,SampleCalc!$B$9)+U106</f>
        <v>0.37978941778564457</v>
      </c>
      <c r="W106">
        <f ca="1">HYPGEOMDIST(W$50,SampleCalc!$B$15,SampleCalc!$B$9*$Z106,SampleCalc!$B$9)+V106</f>
        <v>0.49306781406834027</v>
      </c>
      <c r="X106">
        <f ca="1">HYPGEOMDIST(X$50,SampleCalc!$B$15,SampleCalc!$B$9*$Z106,SampleCalc!$B$9)+W106</f>
        <v>0.60576098130985967</v>
      </c>
      <c r="Y106">
        <f ca="1">HYPGEOMDIST(Y$50,SampleCalc!$B$15,SampleCalc!$B$9*$Z106,SampleCalc!$B$9)+X106</f>
        <v>0.70925259636376869</v>
      </c>
      <c r="Z106">
        <v>0.19500000000000001</v>
      </c>
    </row>
    <row r="107" spans="5:26">
      <c r="E107">
        <f ca="1">HYPGEOMDIST(E$50,SampleCalc!$B$15,SampleCalc!$B$9*$Z107,SampleCalc!$B$9)</f>
        <v>7.8036861290551701E-11</v>
      </c>
      <c r="F107">
        <f ca="1">HYPGEOMDIST(F$50,SampleCalc!$B$15,SampleCalc!$B$9*$Z107,SampleCalc!$B$9)+E107</f>
        <v>2.4373850831659333E-9</v>
      </c>
      <c r="G107">
        <f ca="1">HYPGEOMDIST(G$50,SampleCalc!$B$15,SampleCalc!$B$9*$Z107,SampleCalc!$B$9)+F107</f>
        <v>3.7254951075890002E-8</v>
      </c>
      <c r="H107">
        <f ca="1">HYPGEOMDIST(H$50,SampleCalc!$B$15,SampleCalc!$B$9*$Z107,SampleCalc!$B$9)+G107</f>
        <v>3.7157846109204747E-7</v>
      </c>
      <c r="I107">
        <f ca="1">HYPGEOMDIST(I$50,SampleCalc!$B$15,SampleCalc!$B$9*$Z107,SampleCalc!$B$9)+H107</f>
        <v>2.7209804904821181E-6</v>
      </c>
      <c r="J107">
        <f ca="1">HYPGEOMDIST(J$50,SampleCalc!$B$15,SampleCalc!$B$9*$Z107,SampleCalc!$B$9)+I107</f>
        <v>1.5606547005521498E-5</v>
      </c>
      <c r="K107">
        <f ca="1">HYPGEOMDIST(K$50,SampleCalc!$B$15,SampleCalc!$B$9*$Z107,SampleCalc!$B$9)+J107</f>
        <v>7.3049551725388166E-5</v>
      </c>
      <c r="L107">
        <f ca="1">HYPGEOMDIST(L$50,SampleCalc!$B$15,SampleCalc!$B$9*$Z107,SampleCalc!$B$9)+K107</f>
        <v>2.8708877313380829E-4</v>
      </c>
      <c r="M107">
        <f ca="1">HYPGEOMDIST(M$50,SampleCalc!$B$15,SampleCalc!$B$9*$Z107,SampleCalc!$B$9)+L107</f>
        <v>9.6742772689628761E-4</v>
      </c>
      <c r="N107">
        <f ca="1">HYPGEOMDIST(N$50,SampleCalc!$B$15,SampleCalc!$B$9*$Z107,SampleCalc!$B$9)+M107</f>
        <v>2.8409912591985855E-3</v>
      </c>
      <c r="O107">
        <f ca="1">HYPGEOMDIST(O$50,SampleCalc!$B$15,SampleCalc!$B$9*$Z107,SampleCalc!$B$9)+N107</f>
        <v>7.3659131529860977E-3</v>
      </c>
      <c r="P107">
        <f ca="1">HYPGEOMDIST(P$50,SampleCalc!$B$15,SampleCalc!$B$9*$Z107,SampleCalc!$B$9)+O107</f>
        <v>1.7044433910366932E-2</v>
      </c>
      <c r="Q107">
        <f ca="1">HYPGEOMDIST(Q$50,SampleCalc!$B$15,SampleCalc!$B$9*$Z107,SampleCalc!$B$9)+P107</f>
        <v>3.5526666600140644E-2</v>
      </c>
      <c r="R107">
        <f ca="1">HYPGEOMDIST(R$50,SampleCalc!$B$15,SampleCalc!$B$9*$Z107,SampleCalc!$B$9)+Q107</f>
        <v>6.7248575591723425E-2</v>
      </c>
      <c r="S107">
        <f ca="1">HYPGEOMDIST(S$50,SampleCalc!$B$15,SampleCalc!$B$9*$Z107,SampleCalc!$B$9)+R107</f>
        <v>0.11646200449455278</v>
      </c>
      <c r="T107">
        <f ca="1">HYPGEOMDIST(T$50,SampleCalc!$B$15,SampleCalc!$B$9*$Z107,SampleCalc!$B$9)+S107</f>
        <v>0.18580912604996822</v>
      </c>
      <c r="U107">
        <f ca="1">HYPGEOMDIST(U$50,SampleCalc!$B$15,SampleCalc!$B$9*$Z107,SampleCalc!$B$9)+T107</f>
        <v>0.27493520603663035</v>
      </c>
      <c r="V107">
        <f ca="1">HYPGEOMDIST(V$50,SampleCalc!$B$15,SampleCalc!$B$9*$Z107,SampleCalc!$B$9)+U107</f>
        <v>0.37978941778564457</v>
      </c>
      <c r="W107">
        <f ca="1">HYPGEOMDIST(W$50,SampleCalc!$B$15,SampleCalc!$B$9*$Z107,SampleCalc!$B$9)+V107</f>
        <v>0.49306781406834027</v>
      </c>
      <c r="X107">
        <f ca="1">HYPGEOMDIST(X$50,SampleCalc!$B$15,SampleCalc!$B$9*$Z107,SampleCalc!$B$9)+W107</f>
        <v>0.60576098130985967</v>
      </c>
      <c r="Y107">
        <f ca="1">HYPGEOMDIST(Y$50,SampleCalc!$B$15,SampleCalc!$B$9*$Z107,SampleCalc!$B$9)+X107</f>
        <v>0.70925259636376869</v>
      </c>
      <c r="Z107">
        <v>0.19400000000000001</v>
      </c>
    </row>
    <row r="108" spans="5:26">
      <c r="E108">
        <f ca="1">HYPGEOMDIST(E$50,SampleCalc!$B$15,SampleCalc!$B$9*$Z108,SampleCalc!$B$9)</f>
        <v>1.0236003883565874E-10</v>
      </c>
      <c r="F108">
        <f ca="1">HYPGEOMDIST(F$50,SampleCalc!$B$15,SampleCalc!$B$9*$Z108,SampleCalc!$B$9)+E108</f>
        <v>3.1552730417788005E-9</v>
      </c>
      <c r="G108">
        <f ca="1">HYPGEOMDIST(G$50,SampleCalc!$B$15,SampleCalc!$B$9*$Z108,SampleCalc!$B$9)+F108</f>
        <v>4.7594853447523789E-8</v>
      </c>
      <c r="H108">
        <f ca="1">HYPGEOMDIST(H$50,SampleCalc!$B$15,SampleCalc!$B$9*$Z108,SampleCalc!$B$9)+G108</f>
        <v>4.6846101900503994E-7</v>
      </c>
      <c r="I108">
        <f ca="1">HYPGEOMDIST(I$50,SampleCalc!$B$15,SampleCalc!$B$9*$Z108,SampleCalc!$B$9)+H108</f>
        <v>3.3851849500202289E-6</v>
      </c>
      <c r="J108">
        <f ca="1">HYPGEOMDIST(J$50,SampleCalc!$B$15,SampleCalc!$B$9*$Z108,SampleCalc!$B$9)+I108</f>
        <v>1.9159722555203963E-5</v>
      </c>
      <c r="K108">
        <f ca="1">HYPGEOMDIST(K$50,SampleCalc!$B$15,SampleCalc!$B$9*$Z108,SampleCalc!$B$9)+J108</f>
        <v>8.8495681105377175E-5</v>
      </c>
      <c r="L108">
        <f ca="1">HYPGEOMDIST(L$50,SampleCalc!$B$15,SampleCalc!$B$9*$Z108,SampleCalc!$B$9)+K108</f>
        <v>3.4319920231009552E-4</v>
      </c>
      <c r="M108">
        <f ca="1">HYPGEOMDIST(M$50,SampleCalc!$B$15,SampleCalc!$B$9*$Z108,SampleCalc!$B$9)+L108</f>
        <v>1.1412635185532017E-3</v>
      </c>
      <c r="N108">
        <f ca="1">HYPGEOMDIST(N$50,SampleCalc!$B$15,SampleCalc!$B$9*$Z108,SampleCalc!$B$9)+M108</f>
        <v>3.3074780523725577E-3</v>
      </c>
      <c r="O108">
        <f ca="1">HYPGEOMDIST(O$50,SampleCalc!$B$15,SampleCalc!$B$9*$Z108,SampleCalc!$B$9)+N108</f>
        <v>8.4634773625859878E-3</v>
      </c>
      <c r="P108">
        <f ca="1">HYPGEOMDIST(P$50,SampleCalc!$B$15,SampleCalc!$B$9*$Z108,SampleCalc!$B$9)+O108</f>
        <v>1.9330895686421393E-2</v>
      </c>
      <c r="Q108">
        <f ca="1">HYPGEOMDIST(Q$50,SampleCalc!$B$15,SampleCalc!$B$9*$Z108,SampleCalc!$B$9)+P108</f>
        <v>3.9778056464991926E-2</v>
      </c>
      <c r="R108">
        <f ca="1">HYPGEOMDIST(R$50,SampleCalc!$B$15,SampleCalc!$B$9*$Z108,SampleCalc!$B$9)+Q108</f>
        <v>7.4351544711719397E-2</v>
      </c>
      <c r="S108">
        <f ca="1">HYPGEOMDIST(S$50,SampleCalc!$B$15,SampleCalc!$B$9*$Z108,SampleCalc!$B$9)+R108</f>
        <v>0.12718578617837989</v>
      </c>
      <c r="T108">
        <f ca="1">HYPGEOMDIST(T$50,SampleCalc!$B$15,SampleCalc!$B$9*$Z108,SampleCalc!$B$9)+S108</f>
        <v>0.20051033511993316</v>
      </c>
      <c r="U108">
        <f ca="1">HYPGEOMDIST(U$50,SampleCalc!$B$15,SampleCalc!$B$9*$Z108,SampleCalc!$B$9)+T108</f>
        <v>0.29331171737408651</v>
      </c>
      <c r="V108">
        <f ca="1">HYPGEOMDIST(V$50,SampleCalc!$B$15,SampleCalc!$B$9*$Z108,SampleCalc!$B$9)+U108</f>
        <v>0.40081015111645413</v>
      </c>
      <c r="W108">
        <f ca="1">HYPGEOMDIST(W$50,SampleCalc!$B$15,SampleCalc!$B$9*$Z108,SampleCalc!$B$9)+V108</f>
        <v>0.51514173342492664</v>
      </c>
      <c r="X108">
        <f ca="1">HYPGEOMDIST(X$50,SampleCalc!$B$15,SampleCalc!$B$9*$Z108,SampleCalc!$B$9)+W108</f>
        <v>0.62709945864056271</v>
      </c>
      <c r="Y108">
        <f ca="1">HYPGEOMDIST(Y$50,SampleCalc!$B$15,SampleCalc!$B$9*$Z108,SampleCalc!$B$9)+X108</f>
        <v>0.72828807949475571</v>
      </c>
      <c r="Z108">
        <v>0.193</v>
      </c>
    </row>
    <row r="109" spans="5:26">
      <c r="E109">
        <f ca="1">HYPGEOMDIST(E$50,SampleCalc!$B$15,SampleCalc!$B$9*$Z109,SampleCalc!$B$9)</f>
        <v>1.0236003883565874E-10</v>
      </c>
      <c r="F109">
        <f ca="1">HYPGEOMDIST(F$50,SampleCalc!$B$15,SampleCalc!$B$9*$Z109,SampleCalc!$B$9)+E109</f>
        <v>3.1552730417788005E-9</v>
      </c>
      <c r="G109">
        <f ca="1">HYPGEOMDIST(G$50,SampleCalc!$B$15,SampleCalc!$B$9*$Z109,SampleCalc!$B$9)+F109</f>
        <v>4.7594853447523789E-8</v>
      </c>
      <c r="H109">
        <f ca="1">HYPGEOMDIST(H$50,SampleCalc!$B$15,SampleCalc!$B$9*$Z109,SampleCalc!$B$9)+G109</f>
        <v>4.6846101900503994E-7</v>
      </c>
      <c r="I109">
        <f ca="1">HYPGEOMDIST(I$50,SampleCalc!$B$15,SampleCalc!$B$9*$Z109,SampleCalc!$B$9)+H109</f>
        <v>3.3851849500202289E-6</v>
      </c>
      <c r="J109">
        <f ca="1">HYPGEOMDIST(J$50,SampleCalc!$B$15,SampleCalc!$B$9*$Z109,SampleCalc!$B$9)+I109</f>
        <v>1.9159722555203963E-5</v>
      </c>
      <c r="K109">
        <f ca="1">HYPGEOMDIST(K$50,SampleCalc!$B$15,SampleCalc!$B$9*$Z109,SampleCalc!$B$9)+J109</f>
        <v>8.8495681105377175E-5</v>
      </c>
      <c r="L109">
        <f ca="1">HYPGEOMDIST(L$50,SampleCalc!$B$15,SampleCalc!$B$9*$Z109,SampleCalc!$B$9)+K109</f>
        <v>3.4319920231009552E-4</v>
      </c>
      <c r="M109">
        <f ca="1">HYPGEOMDIST(M$50,SampleCalc!$B$15,SampleCalc!$B$9*$Z109,SampleCalc!$B$9)+L109</f>
        <v>1.1412635185532017E-3</v>
      </c>
      <c r="N109">
        <f ca="1">HYPGEOMDIST(N$50,SampleCalc!$B$15,SampleCalc!$B$9*$Z109,SampleCalc!$B$9)+M109</f>
        <v>3.3074780523725577E-3</v>
      </c>
      <c r="O109">
        <f ca="1">HYPGEOMDIST(O$50,SampleCalc!$B$15,SampleCalc!$B$9*$Z109,SampleCalc!$B$9)+N109</f>
        <v>8.4634773625859878E-3</v>
      </c>
      <c r="P109">
        <f ca="1">HYPGEOMDIST(P$50,SampleCalc!$B$15,SampleCalc!$B$9*$Z109,SampleCalc!$B$9)+O109</f>
        <v>1.9330895686421393E-2</v>
      </c>
      <c r="Q109">
        <f ca="1">HYPGEOMDIST(Q$50,SampleCalc!$B$15,SampleCalc!$B$9*$Z109,SampleCalc!$B$9)+P109</f>
        <v>3.9778056464991926E-2</v>
      </c>
      <c r="R109">
        <f ca="1">HYPGEOMDIST(R$50,SampleCalc!$B$15,SampleCalc!$B$9*$Z109,SampleCalc!$B$9)+Q109</f>
        <v>7.4351544711719397E-2</v>
      </c>
      <c r="S109">
        <f ca="1">HYPGEOMDIST(S$50,SampleCalc!$B$15,SampleCalc!$B$9*$Z109,SampleCalc!$B$9)+R109</f>
        <v>0.12718578617837989</v>
      </c>
      <c r="T109">
        <f ca="1">HYPGEOMDIST(T$50,SampleCalc!$B$15,SampleCalc!$B$9*$Z109,SampleCalc!$B$9)+S109</f>
        <v>0.20051033511993316</v>
      </c>
      <c r="U109">
        <f ca="1">HYPGEOMDIST(U$50,SampleCalc!$B$15,SampleCalc!$B$9*$Z109,SampleCalc!$B$9)+T109</f>
        <v>0.29331171737408651</v>
      </c>
      <c r="V109">
        <f ca="1">HYPGEOMDIST(V$50,SampleCalc!$B$15,SampleCalc!$B$9*$Z109,SampleCalc!$B$9)+U109</f>
        <v>0.40081015111645413</v>
      </c>
      <c r="W109">
        <f ca="1">HYPGEOMDIST(W$50,SampleCalc!$B$15,SampleCalc!$B$9*$Z109,SampleCalc!$B$9)+V109</f>
        <v>0.51514173342492664</v>
      </c>
      <c r="X109">
        <f ca="1">HYPGEOMDIST(X$50,SampleCalc!$B$15,SampleCalc!$B$9*$Z109,SampleCalc!$B$9)+W109</f>
        <v>0.62709945864056271</v>
      </c>
      <c r="Y109">
        <f ca="1">HYPGEOMDIST(Y$50,SampleCalc!$B$15,SampleCalc!$B$9*$Z109,SampleCalc!$B$9)+X109</f>
        <v>0.72828807949475571</v>
      </c>
      <c r="Z109">
        <v>0.192</v>
      </c>
    </row>
    <row r="110" spans="5:26">
      <c r="E110">
        <f ca="1">HYPGEOMDIST(E$50,SampleCalc!$B$15,SampleCalc!$B$9*$Z110,SampleCalc!$B$9)</f>
        <v>1.3416121594964978E-10</v>
      </c>
      <c r="F110">
        <f ca="1">HYPGEOMDIST(F$50,SampleCalc!$B$15,SampleCalc!$B$9*$Z110,SampleCalc!$B$9)+E110</f>
        <v>4.0810976335651587E-9</v>
      </c>
      <c r="G110">
        <f ca="1">HYPGEOMDIST(G$50,SampleCalc!$B$15,SampleCalc!$B$9*$Z110,SampleCalc!$B$9)+F110</f>
        <v>6.074692112119616E-8</v>
      </c>
      <c r="H110">
        <f ca="1">HYPGEOMDIST(H$50,SampleCalc!$B$15,SampleCalc!$B$9*$Z110,SampleCalc!$B$9)+G110</f>
        <v>5.8999118279733938E-7</v>
      </c>
      <c r="I110">
        <f ca="1">HYPGEOMDIST(I$50,SampleCalc!$B$15,SampleCalc!$B$9*$Z110,SampleCalc!$B$9)+H110</f>
        <v>4.2067754502902128E-6</v>
      </c>
      <c r="J110">
        <f ca="1">HYPGEOMDIST(J$50,SampleCalc!$B$15,SampleCalc!$B$9*$Z110,SampleCalc!$B$9)+I110</f>
        <v>2.3493219964589766E-5</v>
      </c>
      <c r="K110">
        <f ca="1">HYPGEOMDIST(K$50,SampleCalc!$B$15,SampleCalc!$B$9*$Z110,SampleCalc!$B$9)+J110</f>
        <v>1.0706781285988796E-4</v>
      </c>
      <c r="L110">
        <f ca="1">HYPGEOMDIST(L$50,SampleCalc!$B$15,SampleCalc!$B$9*$Z110,SampleCalc!$B$9)+K110</f>
        <v>4.0970456199702096E-4</v>
      </c>
      <c r="M110">
        <f ca="1">HYPGEOMDIST(M$50,SampleCalc!$B$15,SampleCalc!$B$9*$Z110,SampleCalc!$B$9)+L110</f>
        <v>1.3443461310987674E-3</v>
      </c>
      <c r="N110">
        <f ca="1">HYPGEOMDIST(N$50,SampleCalc!$B$15,SampleCalc!$B$9*$Z110,SampleCalc!$B$9)+M110</f>
        <v>3.8445613138531252E-3</v>
      </c>
      <c r="O110">
        <f ca="1">HYPGEOMDIST(O$50,SampleCalc!$B$15,SampleCalc!$B$9*$Z110,SampleCalc!$B$9)+N110</f>
        <v>9.7087023788587877E-3</v>
      </c>
      <c r="P110">
        <f ca="1">HYPGEOMDIST(P$50,SampleCalc!$B$15,SampleCalc!$B$9*$Z110,SampleCalc!$B$9)+O110</f>
        <v>2.1886790783742706E-2</v>
      </c>
      <c r="Q110">
        <f ca="1">HYPGEOMDIST(Q$50,SampleCalc!$B$15,SampleCalc!$B$9*$Z110,SampleCalc!$B$9)+P110</f>
        <v>4.4459882998402936E-2</v>
      </c>
      <c r="R110">
        <f ca="1">HYPGEOMDIST(R$50,SampleCalc!$B$15,SampleCalc!$B$9*$Z110,SampleCalc!$B$9)+Q110</f>
        <v>8.2056538258940714E-2</v>
      </c>
      <c r="S110">
        <f ca="1">HYPGEOMDIST(S$50,SampleCalc!$B$15,SampleCalc!$B$9*$Z110,SampleCalc!$B$9)+R110</f>
        <v>0.13864274695049766</v>
      </c>
      <c r="T110">
        <f ca="1">HYPGEOMDIST(T$50,SampleCalc!$B$15,SampleCalc!$B$9*$Z110,SampleCalc!$B$9)+S110</f>
        <v>0.21597723216229209</v>
      </c>
      <c r="U110">
        <f ca="1">HYPGEOMDIST(U$50,SampleCalc!$B$15,SampleCalc!$B$9*$Z110,SampleCalc!$B$9)+T110</f>
        <v>0.31234789834929744</v>
      </c>
      <c r="V110">
        <f ca="1">HYPGEOMDIST(V$50,SampleCalc!$B$15,SampleCalc!$B$9*$Z110,SampleCalc!$B$9)+U110</f>
        <v>0.42224732279929278</v>
      </c>
      <c r="W110">
        <f ca="1">HYPGEOMDIST(W$50,SampleCalc!$B$15,SampleCalc!$B$9*$Z110,SampleCalc!$B$9)+V110</f>
        <v>0.537300033207188</v>
      </c>
      <c r="X110">
        <f ca="1">HYPGEOMDIST(X$50,SampleCalc!$B$15,SampleCalc!$B$9*$Z110,SampleCalc!$B$9)+W110</f>
        <v>0.64818042131851961</v>
      </c>
      <c r="Y110">
        <f ca="1">HYPGEOMDIST(Y$50,SampleCalc!$B$15,SampleCalc!$B$9*$Z110,SampleCalc!$B$9)+X110</f>
        <v>0.74679319202178884</v>
      </c>
      <c r="Z110">
        <v>0.191</v>
      </c>
    </row>
    <row r="111" spans="5:26">
      <c r="E111">
        <f ca="1">HYPGEOMDIST(E$50,SampleCalc!$B$15,SampleCalc!$B$9*$Z111,SampleCalc!$B$9)</f>
        <v>1.3416121594964978E-10</v>
      </c>
      <c r="F111">
        <f ca="1">HYPGEOMDIST(F$50,SampleCalc!$B$15,SampleCalc!$B$9*$Z111,SampleCalc!$B$9)+E111</f>
        <v>4.0810976335651587E-9</v>
      </c>
      <c r="G111">
        <f ca="1">HYPGEOMDIST(G$50,SampleCalc!$B$15,SampleCalc!$B$9*$Z111,SampleCalc!$B$9)+F111</f>
        <v>6.074692112119616E-8</v>
      </c>
      <c r="H111">
        <f ca="1">HYPGEOMDIST(H$50,SampleCalc!$B$15,SampleCalc!$B$9*$Z111,SampleCalc!$B$9)+G111</f>
        <v>5.8999118279733938E-7</v>
      </c>
      <c r="I111">
        <f ca="1">HYPGEOMDIST(I$50,SampleCalc!$B$15,SampleCalc!$B$9*$Z111,SampleCalc!$B$9)+H111</f>
        <v>4.2067754502902128E-6</v>
      </c>
      <c r="J111">
        <f ca="1">HYPGEOMDIST(J$50,SampleCalc!$B$15,SampleCalc!$B$9*$Z111,SampleCalc!$B$9)+I111</f>
        <v>2.3493219964589766E-5</v>
      </c>
      <c r="K111">
        <f ca="1">HYPGEOMDIST(K$50,SampleCalc!$B$15,SampleCalc!$B$9*$Z111,SampleCalc!$B$9)+J111</f>
        <v>1.0706781285988796E-4</v>
      </c>
      <c r="L111">
        <f ca="1">HYPGEOMDIST(L$50,SampleCalc!$B$15,SampleCalc!$B$9*$Z111,SampleCalc!$B$9)+K111</f>
        <v>4.0970456199702096E-4</v>
      </c>
      <c r="M111">
        <f ca="1">HYPGEOMDIST(M$50,SampleCalc!$B$15,SampleCalc!$B$9*$Z111,SampleCalc!$B$9)+L111</f>
        <v>1.3443461310987674E-3</v>
      </c>
      <c r="N111">
        <f ca="1">HYPGEOMDIST(N$50,SampleCalc!$B$15,SampleCalc!$B$9*$Z111,SampleCalc!$B$9)+M111</f>
        <v>3.8445613138531252E-3</v>
      </c>
      <c r="O111">
        <f ca="1">HYPGEOMDIST(O$50,SampleCalc!$B$15,SampleCalc!$B$9*$Z111,SampleCalc!$B$9)+N111</f>
        <v>9.7087023788587877E-3</v>
      </c>
      <c r="P111">
        <f ca="1">HYPGEOMDIST(P$50,SampleCalc!$B$15,SampleCalc!$B$9*$Z111,SampleCalc!$B$9)+O111</f>
        <v>2.1886790783742706E-2</v>
      </c>
      <c r="Q111">
        <f ca="1">HYPGEOMDIST(Q$50,SampleCalc!$B$15,SampleCalc!$B$9*$Z111,SampleCalc!$B$9)+P111</f>
        <v>4.4459882998402936E-2</v>
      </c>
      <c r="R111">
        <f ca="1">HYPGEOMDIST(R$50,SampleCalc!$B$15,SampleCalc!$B$9*$Z111,SampleCalc!$B$9)+Q111</f>
        <v>8.2056538258940714E-2</v>
      </c>
      <c r="S111">
        <f ca="1">HYPGEOMDIST(S$50,SampleCalc!$B$15,SampleCalc!$B$9*$Z111,SampleCalc!$B$9)+R111</f>
        <v>0.13864274695049766</v>
      </c>
      <c r="T111">
        <f ca="1">HYPGEOMDIST(T$50,SampleCalc!$B$15,SampleCalc!$B$9*$Z111,SampleCalc!$B$9)+S111</f>
        <v>0.21597723216229209</v>
      </c>
      <c r="U111">
        <f ca="1">HYPGEOMDIST(U$50,SampleCalc!$B$15,SampleCalc!$B$9*$Z111,SampleCalc!$B$9)+T111</f>
        <v>0.31234789834929744</v>
      </c>
      <c r="V111">
        <f ca="1">HYPGEOMDIST(V$50,SampleCalc!$B$15,SampleCalc!$B$9*$Z111,SampleCalc!$B$9)+U111</f>
        <v>0.42224732279929278</v>
      </c>
      <c r="W111">
        <f ca="1">HYPGEOMDIST(W$50,SampleCalc!$B$15,SampleCalc!$B$9*$Z111,SampleCalc!$B$9)+V111</f>
        <v>0.537300033207188</v>
      </c>
      <c r="X111">
        <f ca="1">HYPGEOMDIST(X$50,SampleCalc!$B$15,SampleCalc!$B$9*$Z111,SampleCalc!$B$9)+W111</f>
        <v>0.64818042131851961</v>
      </c>
      <c r="Y111">
        <f ca="1">HYPGEOMDIST(Y$50,SampleCalc!$B$15,SampleCalc!$B$9*$Z111,SampleCalc!$B$9)+X111</f>
        <v>0.74679319202178884</v>
      </c>
      <c r="Z111">
        <v>0.19</v>
      </c>
    </row>
    <row r="112" spans="5:26">
      <c r="E112">
        <f ca="1">HYPGEOMDIST(E$50,SampleCalc!$B$15,SampleCalc!$B$9*$Z112,SampleCalc!$B$9)</f>
        <v>1.7570791508244478E-10</v>
      </c>
      <c r="F112">
        <f ca="1">HYPGEOMDIST(F$50,SampleCalc!$B$15,SampleCalc!$B$9*$Z112,SampleCalc!$B$9)+E112</f>
        <v>5.2740623385679162E-9</v>
      </c>
      <c r="G112">
        <f ca="1">HYPGEOMDIST(G$50,SampleCalc!$B$15,SampleCalc!$B$9*$Z112,SampleCalc!$B$9)+F112</f>
        <v>7.7459897805705922E-8</v>
      </c>
      <c r="H112">
        <f ca="1">HYPGEOMDIST(H$50,SampleCalc!$B$15,SampleCalc!$B$9*$Z112,SampleCalc!$B$9)+G112</f>
        <v>7.4227683616545985E-7</v>
      </c>
      <c r="I112">
        <f ca="1">HYPGEOMDIST(I$50,SampleCalc!$B$15,SampleCalc!$B$9*$Z112,SampleCalc!$B$9)+H112</f>
        <v>5.2218514773586058E-6</v>
      </c>
      <c r="J112">
        <f ca="1">HYPGEOMDIST(J$50,SampleCalc!$B$15,SampleCalc!$B$9*$Z112,SampleCalc!$B$9)+I112</f>
        <v>2.8771615305345466E-5</v>
      </c>
      <c r="K112">
        <f ca="1">HYPGEOMDIST(K$50,SampleCalc!$B$15,SampleCalc!$B$9*$Z112,SampleCalc!$B$9)+J112</f>
        <v>1.2936736279630829E-4</v>
      </c>
      <c r="L112">
        <f ca="1">HYPGEOMDIST(L$50,SampleCalc!$B$15,SampleCalc!$B$9*$Z112,SampleCalc!$B$9)+K112</f>
        <v>4.8841122044769472E-4</v>
      </c>
      <c r="M112">
        <f ca="1">HYPGEOMDIST(M$50,SampleCalc!$B$15,SampleCalc!$B$9*$Z112,SampleCalc!$B$9)+L112</f>
        <v>1.5812086220965489E-3</v>
      </c>
      <c r="N112">
        <f ca="1">HYPGEOMDIST(N$50,SampleCalc!$B$15,SampleCalc!$B$9*$Z112,SampleCalc!$B$9)+M112</f>
        <v>4.461839320695821E-3</v>
      </c>
      <c r="O112">
        <f ca="1">HYPGEOMDIST(O$50,SampleCalc!$B$15,SampleCalc!$B$9*$Z112,SampleCalc!$B$9)+N112</f>
        <v>1.1118796825740079E-2</v>
      </c>
      <c r="P112">
        <f ca="1">HYPGEOMDIST(P$50,SampleCalc!$B$15,SampleCalc!$B$9*$Z112,SampleCalc!$B$9)+O112</f>
        <v>2.4738128747699786E-2</v>
      </c>
      <c r="Q112">
        <f ca="1">HYPGEOMDIST(Q$50,SampleCalc!$B$15,SampleCalc!$B$9*$Z112,SampleCalc!$B$9)+P112</f>
        <v>4.9604688455108105E-2</v>
      </c>
      <c r="R112">
        <f ca="1">HYPGEOMDIST(R$50,SampleCalc!$B$15,SampleCalc!$B$9*$Z112,SampleCalc!$B$9)+Q112</f>
        <v>9.039555848717018E-2</v>
      </c>
      <c r="S112">
        <f ca="1">HYPGEOMDIST(S$50,SampleCalc!$B$15,SampleCalc!$B$9*$Z112,SampleCalc!$B$9)+R112</f>
        <v>0.15085345514183363</v>
      </c>
      <c r="T112">
        <f ca="1">HYPGEOMDIST(T$50,SampleCalc!$B$15,SampleCalc!$B$9*$Z112,SampleCalc!$B$9)+S112</f>
        <v>0.23220808120431402</v>
      </c>
      <c r="U112">
        <f ca="1">HYPGEOMDIST(U$50,SampleCalc!$B$15,SampleCalc!$B$9*$Z112,SampleCalc!$B$9)+T112</f>
        <v>0.33201411114561241</v>
      </c>
      <c r="V112">
        <f ca="1">HYPGEOMDIST(V$50,SampleCalc!$B$15,SampleCalc!$B$9*$Z112,SampleCalc!$B$9)+U112</f>
        <v>0.44404678371868345</v>
      </c>
      <c r="W112">
        <f ca="1">HYPGEOMDIST(W$50,SampleCalc!$B$15,SampleCalc!$B$9*$Z112,SampleCalc!$B$9)+V112</f>
        <v>0.55947611082945437</v>
      </c>
      <c r="X112">
        <f ca="1">HYPGEOMDIST(X$50,SampleCalc!$B$15,SampleCalc!$B$9*$Z112,SampleCalc!$B$9)+W112</f>
        <v>0.66894100462447093</v>
      </c>
      <c r="Y112">
        <f ca="1">HYPGEOMDIST(Y$50,SampleCalc!$B$15,SampleCalc!$B$9*$Z112,SampleCalc!$B$9)+X112</f>
        <v>0.7647227866951104</v>
      </c>
      <c r="Z112">
        <v>0.189</v>
      </c>
    </row>
    <row r="113" spans="5:26">
      <c r="E113">
        <f ca="1">HYPGEOMDIST(E$50,SampleCalc!$B$15,SampleCalc!$B$9*$Z113,SampleCalc!$B$9)</f>
        <v>1.7570791508244478E-10</v>
      </c>
      <c r="F113">
        <f ca="1">HYPGEOMDIST(F$50,SampleCalc!$B$15,SampleCalc!$B$9*$Z113,SampleCalc!$B$9)+E113</f>
        <v>5.2740623385679162E-9</v>
      </c>
      <c r="G113">
        <f ca="1">HYPGEOMDIST(G$50,SampleCalc!$B$15,SampleCalc!$B$9*$Z113,SampleCalc!$B$9)+F113</f>
        <v>7.7459897805705922E-8</v>
      </c>
      <c r="H113">
        <f ca="1">HYPGEOMDIST(H$50,SampleCalc!$B$15,SampleCalc!$B$9*$Z113,SampleCalc!$B$9)+G113</f>
        <v>7.4227683616545985E-7</v>
      </c>
      <c r="I113">
        <f ca="1">HYPGEOMDIST(I$50,SampleCalc!$B$15,SampleCalc!$B$9*$Z113,SampleCalc!$B$9)+H113</f>
        <v>5.2218514773586058E-6</v>
      </c>
      <c r="J113">
        <f ca="1">HYPGEOMDIST(J$50,SampleCalc!$B$15,SampleCalc!$B$9*$Z113,SampleCalc!$B$9)+I113</f>
        <v>2.8771615305345466E-5</v>
      </c>
      <c r="K113">
        <f ca="1">HYPGEOMDIST(K$50,SampleCalc!$B$15,SampleCalc!$B$9*$Z113,SampleCalc!$B$9)+J113</f>
        <v>1.2936736279630829E-4</v>
      </c>
      <c r="L113">
        <f ca="1">HYPGEOMDIST(L$50,SampleCalc!$B$15,SampleCalc!$B$9*$Z113,SampleCalc!$B$9)+K113</f>
        <v>4.8841122044769472E-4</v>
      </c>
      <c r="M113">
        <f ca="1">HYPGEOMDIST(M$50,SampleCalc!$B$15,SampleCalc!$B$9*$Z113,SampleCalc!$B$9)+L113</f>
        <v>1.5812086220965489E-3</v>
      </c>
      <c r="N113">
        <f ca="1">HYPGEOMDIST(N$50,SampleCalc!$B$15,SampleCalc!$B$9*$Z113,SampleCalc!$B$9)+M113</f>
        <v>4.461839320695821E-3</v>
      </c>
      <c r="O113">
        <f ca="1">HYPGEOMDIST(O$50,SampleCalc!$B$15,SampleCalc!$B$9*$Z113,SampleCalc!$B$9)+N113</f>
        <v>1.1118796825740079E-2</v>
      </c>
      <c r="P113">
        <f ca="1">HYPGEOMDIST(P$50,SampleCalc!$B$15,SampleCalc!$B$9*$Z113,SampleCalc!$B$9)+O113</f>
        <v>2.4738128747699786E-2</v>
      </c>
      <c r="Q113">
        <f ca="1">HYPGEOMDIST(Q$50,SampleCalc!$B$15,SampleCalc!$B$9*$Z113,SampleCalc!$B$9)+P113</f>
        <v>4.9604688455108105E-2</v>
      </c>
      <c r="R113">
        <f ca="1">HYPGEOMDIST(R$50,SampleCalc!$B$15,SampleCalc!$B$9*$Z113,SampleCalc!$B$9)+Q113</f>
        <v>9.039555848717018E-2</v>
      </c>
      <c r="S113">
        <f ca="1">HYPGEOMDIST(S$50,SampleCalc!$B$15,SampleCalc!$B$9*$Z113,SampleCalc!$B$9)+R113</f>
        <v>0.15085345514183363</v>
      </c>
      <c r="T113">
        <f ca="1">HYPGEOMDIST(T$50,SampleCalc!$B$15,SampleCalc!$B$9*$Z113,SampleCalc!$B$9)+S113</f>
        <v>0.23220808120431402</v>
      </c>
      <c r="U113">
        <f ca="1">HYPGEOMDIST(U$50,SampleCalc!$B$15,SampleCalc!$B$9*$Z113,SampleCalc!$B$9)+T113</f>
        <v>0.33201411114561241</v>
      </c>
      <c r="V113">
        <f ca="1">HYPGEOMDIST(V$50,SampleCalc!$B$15,SampleCalc!$B$9*$Z113,SampleCalc!$B$9)+U113</f>
        <v>0.44404678371868345</v>
      </c>
      <c r="W113">
        <f ca="1">HYPGEOMDIST(W$50,SampleCalc!$B$15,SampleCalc!$B$9*$Z113,SampleCalc!$B$9)+V113</f>
        <v>0.55947611082945437</v>
      </c>
      <c r="X113">
        <f ca="1">HYPGEOMDIST(X$50,SampleCalc!$B$15,SampleCalc!$B$9*$Z113,SampleCalc!$B$9)+W113</f>
        <v>0.66894100462447093</v>
      </c>
      <c r="Y113">
        <f ca="1">HYPGEOMDIST(Y$50,SampleCalc!$B$15,SampleCalc!$B$9*$Z113,SampleCalc!$B$9)+X113</f>
        <v>0.7647227866951104</v>
      </c>
      <c r="Z113">
        <v>0.188</v>
      </c>
    </row>
    <row r="114" spans="5:26">
      <c r="E114">
        <f ca="1">HYPGEOMDIST(E$50,SampleCalc!$B$15,SampleCalc!$B$9*$Z114,SampleCalc!$B$9)</f>
        <v>2.2994572809824766E-10</v>
      </c>
      <c r="F114">
        <f ca="1">HYPGEOMDIST(F$50,SampleCalc!$B$15,SampleCalc!$B$9*$Z114,SampleCalc!$B$9)+E114</f>
        <v>6.8099311782942545E-9</v>
      </c>
      <c r="G114">
        <f ca="1">HYPGEOMDIST(G$50,SampleCalc!$B$15,SampleCalc!$B$9*$Z114,SampleCalc!$B$9)+F114</f>
        <v>9.8677459668251187E-8</v>
      </c>
      <c r="H114">
        <f ca="1">HYPGEOMDIST(H$50,SampleCalc!$B$15,SampleCalc!$B$9*$Z114,SampleCalc!$B$9)+G114</f>
        <v>9.3289703366303964E-7</v>
      </c>
      <c r="I114">
        <f ca="1">HYPGEOMDIST(I$50,SampleCalc!$B$15,SampleCalc!$B$9*$Z114,SampleCalc!$B$9)+H114</f>
        <v>6.4744984894855705E-6</v>
      </c>
      <c r="J114">
        <f ca="1">HYPGEOMDIST(J$50,SampleCalc!$B$15,SampleCalc!$B$9*$Z114,SampleCalc!$B$9)+I114</f>
        <v>3.519262046434309E-5</v>
      </c>
      <c r="K114">
        <f ca="1">HYPGEOMDIST(K$50,SampleCalc!$B$15,SampleCalc!$B$9*$Z114,SampleCalc!$B$9)+J114</f>
        <v>1.561046713448159E-4</v>
      </c>
      <c r="L114">
        <f ca="1">HYPGEOMDIST(L$50,SampleCalc!$B$15,SampleCalc!$B$9*$Z114,SampleCalc!$B$9)+K114</f>
        <v>5.8141525463057601E-4</v>
      </c>
      <c r="M114">
        <f ca="1">HYPGEOMDIST(M$50,SampleCalc!$B$15,SampleCalc!$B$9*$Z114,SampleCalc!$B$9)+L114</f>
        <v>1.857013688983711E-3</v>
      </c>
      <c r="N114">
        <f ca="1">HYPGEOMDIST(N$50,SampleCalc!$B$15,SampleCalc!$B$9*$Z114,SampleCalc!$B$9)+M114</f>
        <v>5.1700262893175503E-3</v>
      </c>
      <c r="O114">
        <f ca="1">HYPGEOMDIST(O$50,SampleCalc!$B$15,SampleCalc!$B$9*$Z114,SampleCalc!$B$9)+N114</f>
        <v>1.2712548433628984E-2</v>
      </c>
      <c r="P114">
        <f ca="1">HYPGEOMDIST(P$50,SampleCalc!$B$15,SampleCalc!$B$9*$Z114,SampleCalc!$B$9)+O114</f>
        <v>2.7912583178432766E-2</v>
      </c>
      <c r="Q114">
        <f ca="1">HYPGEOMDIST(Q$50,SampleCalc!$B$15,SampleCalc!$B$9*$Z114,SampleCalc!$B$9)+P114</f>
        <v>5.524597899145714E-2</v>
      </c>
      <c r="R114">
        <f ca="1">HYPGEOMDIST(R$50,SampleCalc!$B$15,SampleCalc!$B$9*$Z114,SampleCalc!$B$9)+Q114</f>
        <v>9.9399926074034972E-2</v>
      </c>
      <c r="S114">
        <f ca="1">HYPGEOMDIST(S$50,SampleCalc!$B$15,SampleCalc!$B$9*$Z114,SampleCalc!$B$9)+R114</f>
        <v>0.16383557632201665</v>
      </c>
      <c r="T114">
        <f ca="1">HYPGEOMDIST(T$50,SampleCalc!$B$15,SampleCalc!$B$9*$Z114,SampleCalc!$B$9)+S114</f>
        <v>0.24919634161985421</v>
      </c>
      <c r="U114">
        <f ca="1">HYPGEOMDIST(U$50,SampleCalc!$B$15,SampleCalc!$B$9*$Z114,SampleCalc!$B$9)+T114</f>
        <v>0.35227533916414661</v>
      </c>
      <c r="V114">
        <f ca="1">HYPGEOMDIST(V$50,SampleCalc!$B$15,SampleCalc!$B$9*$Z114,SampleCalc!$B$9)+U114</f>
        <v>0.46615027188883118</v>
      </c>
      <c r="W114">
        <f ca="1">HYPGEOMDIST(W$50,SampleCalc!$B$15,SampleCalc!$B$9*$Z114,SampleCalc!$B$9)+V114</f>
        <v>0.58160199361780873</v>
      </c>
      <c r="X114">
        <f ca="1">HYPGEOMDIST(X$50,SampleCalc!$B$15,SampleCalc!$B$9*$Z114,SampleCalc!$B$9)+W114</f>
        <v>0.6893201071926921</v>
      </c>
      <c r="Y114">
        <f ca="1">HYPGEOMDIST(Y$50,SampleCalc!$B$15,SampleCalc!$B$9*$Z114,SampleCalc!$B$9)+X114</f>
        <v>0.7820357886352427</v>
      </c>
      <c r="Z114">
        <v>0.187</v>
      </c>
    </row>
    <row r="115" spans="5:26">
      <c r="E115">
        <f ca="1">HYPGEOMDIST(E$50,SampleCalc!$B$15,SampleCalc!$B$9*$Z115,SampleCalc!$B$9)</f>
        <v>2.2994572809824766E-10</v>
      </c>
      <c r="F115">
        <f ca="1">HYPGEOMDIST(F$50,SampleCalc!$B$15,SampleCalc!$B$9*$Z115,SampleCalc!$B$9)+E115</f>
        <v>6.8099311782942545E-9</v>
      </c>
      <c r="G115">
        <f ca="1">HYPGEOMDIST(G$50,SampleCalc!$B$15,SampleCalc!$B$9*$Z115,SampleCalc!$B$9)+F115</f>
        <v>9.8677459668251187E-8</v>
      </c>
      <c r="H115">
        <f ca="1">HYPGEOMDIST(H$50,SampleCalc!$B$15,SampleCalc!$B$9*$Z115,SampleCalc!$B$9)+G115</f>
        <v>9.3289703366303964E-7</v>
      </c>
      <c r="I115">
        <f ca="1">HYPGEOMDIST(I$50,SampleCalc!$B$15,SampleCalc!$B$9*$Z115,SampleCalc!$B$9)+H115</f>
        <v>6.4744984894855705E-6</v>
      </c>
      <c r="J115">
        <f ca="1">HYPGEOMDIST(J$50,SampleCalc!$B$15,SampleCalc!$B$9*$Z115,SampleCalc!$B$9)+I115</f>
        <v>3.519262046434309E-5</v>
      </c>
      <c r="K115">
        <f ca="1">HYPGEOMDIST(K$50,SampleCalc!$B$15,SampleCalc!$B$9*$Z115,SampleCalc!$B$9)+J115</f>
        <v>1.561046713448159E-4</v>
      </c>
      <c r="L115">
        <f ca="1">HYPGEOMDIST(L$50,SampleCalc!$B$15,SampleCalc!$B$9*$Z115,SampleCalc!$B$9)+K115</f>
        <v>5.8141525463057601E-4</v>
      </c>
      <c r="M115">
        <f ca="1">HYPGEOMDIST(M$50,SampleCalc!$B$15,SampleCalc!$B$9*$Z115,SampleCalc!$B$9)+L115</f>
        <v>1.857013688983711E-3</v>
      </c>
      <c r="N115">
        <f ca="1">HYPGEOMDIST(N$50,SampleCalc!$B$15,SampleCalc!$B$9*$Z115,SampleCalc!$B$9)+M115</f>
        <v>5.1700262893175503E-3</v>
      </c>
      <c r="O115">
        <f ca="1">HYPGEOMDIST(O$50,SampleCalc!$B$15,SampleCalc!$B$9*$Z115,SampleCalc!$B$9)+N115</f>
        <v>1.2712548433628984E-2</v>
      </c>
      <c r="P115">
        <f ca="1">HYPGEOMDIST(P$50,SampleCalc!$B$15,SampleCalc!$B$9*$Z115,SampleCalc!$B$9)+O115</f>
        <v>2.7912583178432766E-2</v>
      </c>
      <c r="Q115">
        <f ca="1">HYPGEOMDIST(Q$50,SampleCalc!$B$15,SampleCalc!$B$9*$Z115,SampleCalc!$B$9)+P115</f>
        <v>5.524597899145714E-2</v>
      </c>
      <c r="R115">
        <f ca="1">HYPGEOMDIST(R$50,SampleCalc!$B$15,SampleCalc!$B$9*$Z115,SampleCalc!$B$9)+Q115</f>
        <v>9.9399926074034972E-2</v>
      </c>
      <c r="S115">
        <f ca="1">HYPGEOMDIST(S$50,SampleCalc!$B$15,SampleCalc!$B$9*$Z115,SampleCalc!$B$9)+R115</f>
        <v>0.16383557632201665</v>
      </c>
      <c r="T115">
        <f ca="1">HYPGEOMDIST(T$50,SampleCalc!$B$15,SampleCalc!$B$9*$Z115,SampleCalc!$B$9)+S115</f>
        <v>0.24919634161985421</v>
      </c>
      <c r="U115">
        <f ca="1">HYPGEOMDIST(U$50,SampleCalc!$B$15,SampleCalc!$B$9*$Z115,SampleCalc!$B$9)+T115</f>
        <v>0.35227533916414661</v>
      </c>
      <c r="V115">
        <f ca="1">HYPGEOMDIST(V$50,SampleCalc!$B$15,SampleCalc!$B$9*$Z115,SampleCalc!$B$9)+U115</f>
        <v>0.46615027188883118</v>
      </c>
      <c r="W115">
        <f ca="1">HYPGEOMDIST(W$50,SampleCalc!$B$15,SampleCalc!$B$9*$Z115,SampleCalc!$B$9)+V115</f>
        <v>0.58160199361780873</v>
      </c>
      <c r="X115">
        <f ca="1">HYPGEOMDIST(X$50,SampleCalc!$B$15,SampleCalc!$B$9*$Z115,SampleCalc!$B$9)+W115</f>
        <v>0.6893201071926921</v>
      </c>
      <c r="Y115">
        <f ca="1">HYPGEOMDIST(Y$50,SampleCalc!$B$15,SampleCalc!$B$9*$Z115,SampleCalc!$B$9)+X115</f>
        <v>0.7820357886352427</v>
      </c>
      <c r="Z115">
        <v>0.186</v>
      </c>
    </row>
    <row r="116" spans="5:26">
      <c r="E116">
        <f ca="1">HYPGEOMDIST(E$50,SampleCalc!$B$15,SampleCalc!$B$9*$Z116,SampleCalc!$B$9)</f>
        <v>3.0069825982078518E-10</v>
      </c>
      <c r="F116">
        <f ca="1">HYPGEOMDIST(F$50,SampleCalc!$B$15,SampleCalc!$B$9*$Z116,SampleCalc!$B$9)+E116</f>
        <v>8.7855769522718185E-9</v>
      </c>
      <c r="G116">
        <f ca="1">HYPGEOMDIST(G$50,SampleCalc!$B$15,SampleCalc!$B$9*$Z116,SampleCalc!$B$9)+F116</f>
        <v>1.2558776850679263E-7</v>
      </c>
      <c r="H116">
        <f ca="1">HYPGEOMDIST(H$50,SampleCalc!$B$15,SampleCalc!$B$9*$Z116,SampleCalc!$B$9)+G116</f>
        <v>1.1712454833758377E-6</v>
      </c>
      <c r="I116">
        <f ca="1">HYPGEOMDIST(I$50,SampleCalc!$B$15,SampleCalc!$B$9*$Z116,SampleCalc!$B$9)+H116</f>
        <v>8.0184835418972644E-6</v>
      </c>
      <c r="J116">
        <f ca="1">HYPGEOMDIST(J$50,SampleCalc!$B$15,SampleCalc!$B$9*$Z116,SampleCalc!$B$9)+I116</f>
        <v>4.2993397940502666E-5</v>
      </c>
      <c r="K116">
        <f ca="1">HYPGEOMDIST(K$50,SampleCalc!$B$15,SampleCalc!$B$9*$Z116,SampleCalc!$B$9)+J116</f>
        <v>1.8811729589320649E-4</v>
      </c>
      <c r="L116">
        <f ca="1">HYPGEOMDIST(L$50,SampleCalc!$B$15,SampleCalc!$B$9*$Z116,SampleCalc!$B$9)+K116</f>
        <v>6.9114415220933962E-4</v>
      </c>
      <c r="M116">
        <f ca="1">HYPGEOMDIST(M$50,SampleCalc!$B$15,SampleCalc!$B$9*$Z116,SampleCalc!$B$9)+L116</f>
        <v>2.1776278115966628E-3</v>
      </c>
      <c r="N116">
        <f ca="1">HYPGEOMDIST(N$50,SampleCalc!$B$15,SampleCalc!$B$9*$Z116,SampleCalc!$B$9)+M116</f>
        <v>5.981050175802651E-3</v>
      </c>
      <c r="O116">
        <f ca="1">HYPGEOMDIST(O$50,SampleCalc!$B$15,SampleCalc!$B$9*$Z116,SampleCalc!$B$9)+N116</f>
        <v>1.4510402005595023E-2</v>
      </c>
      <c r="P116">
        <f ca="1">HYPGEOMDIST(P$50,SampleCalc!$B$15,SampleCalc!$B$9*$Z116,SampleCalc!$B$9)+O116</f>
        <v>3.1439472960758511E-2</v>
      </c>
      <c r="Q116">
        <f ca="1">HYPGEOMDIST(Q$50,SampleCalc!$B$15,SampleCalc!$B$9*$Z116,SampleCalc!$B$9)+P116</f>
        <v>6.141803611052718E-2</v>
      </c>
      <c r="R116">
        <f ca="1">HYPGEOMDIST(R$50,SampleCalc!$B$15,SampleCalc!$B$9*$Z116,SampleCalc!$B$9)+Q116</f>
        <v>0.1090999164339462</v>
      </c>
      <c r="S116">
        <f ca="1">HYPGEOMDIST(S$50,SampleCalc!$B$15,SampleCalc!$B$9*$Z116,SampleCalc!$B$9)+R116</f>
        <v>0.17760344169263567</v>
      </c>
      <c r="T116">
        <f ca="1">HYPGEOMDIST(T$50,SampleCalc!$B$15,SampleCalc!$B$9*$Z116,SampleCalc!$B$9)+S116</f>
        <v>0.26693036270274328</v>
      </c>
      <c r="U116">
        <f ca="1">HYPGEOMDIST(U$50,SampleCalc!$B$15,SampleCalc!$B$9*$Z116,SampleCalc!$B$9)+T116</f>
        <v>0.37309118708156208</v>
      </c>
      <c r="V116">
        <f ca="1">HYPGEOMDIST(V$50,SampleCalc!$B$15,SampleCalc!$B$9*$Z116,SampleCalc!$B$9)+U116</f>
        <v>0.48849576641702019</v>
      </c>
      <c r="W116">
        <f ca="1">HYPGEOMDIST(W$50,SampleCalc!$B$15,SampleCalc!$B$9*$Z116,SampleCalc!$B$9)+V116</f>
        <v>0.60360892004708577</v>
      </c>
      <c r="X116">
        <f ca="1">HYPGEOMDIST(X$50,SampleCalc!$B$15,SampleCalc!$B$9*$Z116,SampleCalc!$B$9)+W116</f>
        <v>0.70925896341689632</v>
      </c>
      <c r="Y116">
        <f ca="1">HYPGEOMDIST(Y$50,SampleCalc!$B$15,SampleCalc!$B$9*$Z116,SampleCalc!$B$9)+X116</f>
        <v>0.7986955438057074</v>
      </c>
      <c r="Z116">
        <v>0.185</v>
      </c>
    </row>
    <row r="117" spans="5:26">
      <c r="E117">
        <f ca="1">HYPGEOMDIST(E$50,SampleCalc!$B$15,SampleCalc!$B$9*$Z117,SampleCalc!$B$9)</f>
        <v>3.0069825982078518E-10</v>
      </c>
      <c r="F117">
        <f ca="1">HYPGEOMDIST(F$50,SampleCalc!$B$15,SampleCalc!$B$9*$Z117,SampleCalc!$B$9)+E117</f>
        <v>8.7855769522718185E-9</v>
      </c>
      <c r="G117">
        <f ca="1">HYPGEOMDIST(G$50,SampleCalc!$B$15,SampleCalc!$B$9*$Z117,SampleCalc!$B$9)+F117</f>
        <v>1.2558776850679263E-7</v>
      </c>
      <c r="H117">
        <f ca="1">HYPGEOMDIST(H$50,SampleCalc!$B$15,SampleCalc!$B$9*$Z117,SampleCalc!$B$9)+G117</f>
        <v>1.1712454833758377E-6</v>
      </c>
      <c r="I117">
        <f ca="1">HYPGEOMDIST(I$50,SampleCalc!$B$15,SampleCalc!$B$9*$Z117,SampleCalc!$B$9)+H117</f>
        <v>8.0184835418972644E-6</v>
      </c>
      <c r="J117">
        <f ca="1">HYPGEOMDIST(J$50,SampleCalc!$B$15,SampleCalc!$B$9*$Z117,SampleCalc!$B$9)+I117</f>
        <v>4.2993397940502666E-5</v>
      </c>
      <c r="K117">
        <f ca="1">HYPGEOMDIST(K$50,SampleCalc!$B$15,SampleCalc!$B$9*$Z117,SampleCalc!$B$9)+J117</f>
        <v>1.8811729589320649E-4</v>
      </c>
      <c r="L117">
        <f ca="1">HYPGEOMDIST(L$50,SampleCalc!$B$15,SampleCalc!$B$9*$Z117,SampleCalc!$B$9)+K117</f>
        <v>6.9114415220933962E-4</v>
      </c>
      <c r="M117">
        <f ca="1">HYPGEOMDIST(M$50,SampleCalc!$B$15,SampleCalc!$B$9*$Z117,SampleCalc!$B$9)+L117</f>
        <v>2.1776278115966628E-3</v>
      </c>
      <c r="N117">
        <f ca="1">HYPGEOMDIST(N$50,SampleCalc!$B$15,SampleCalc!$B$9*$Z117,SampleCalc!$B$9)+M117</f>
        <v>5.981050175802651E-3</v>
      </c>
      <c r="O117">
        <f ca="1">HYPGEOMDIST(O$50,SampleCalc!$B$15,SampleCalc!$B$9*$Z117,SampleCalc!$B$9)+N117</f>
        <v>1.4510402005595023E-2</v>
      </c>
      <c r="P117">
        <f ca="1">HYPGEOMDIST(P$50,SampleCalc!$B$15,SampleCalc!$B$9*$Z117,SampleCalc!$B$9)+O117</f>
        <v>3.1439472960758511E-2</v>
      </c>
      <c r="Q117">
        <f ca="1">HYPGEOMDIST(Q$50,SampleCalc!$B$15,SampleCalc!$B$9*$Z117,SampleCalc!$B$9)+P117</f>
        <v>6.141803611052718E-2</v>
      </c>
      <c r="R117">
        <f ca="1">HYPGEOMDIST(R$50,SampleCalc!$B$15,SampleCalc!$B$9*$Z117,SampleCalc!$B$9)+Q117</f>
        <v>0.1090999164339462</v>
      </c>
      <c r="S117">
        <f ca="1">HYPGEOMDIST(S$50,SampleCalc!$B$15,SampleCalc!$B$9*$Z117,SampleCalc!$B$9)+R117</f>
        <v>0.17760344169263567</v>
      </c>
      <c r="T117">
        <f ca="1">HYPGEOMDIST(T$50,SampleCalc!$B$15,SampleCalc!$B$9*$Z117,SampleCalc!$B$9)+S117</f>
        <v>0.26693036270274328</v>
      </c>
      <c r="U117">
        <f ca="1">HYPGEOMDIST(U$50,SampleCalc!$B$15,SampleCalc!$B$9*$Z117,SampleCalc!$B$9)+T117</f>
        <v>0.37309118708156208</v>
      </c>
      <c r="V117">
        <f ca="1">HYPGEOMDIST(V$50,SampleCalc!$B$15,SampleCalc!$B$9*$Z117,SampleCalc!$B$9)+U117</f>
        <v>0.48849576641702019</v>
      </c>
      <c r="W117">
        <f ca="1">HYPGEOMDIST(W$50,SampleCalc!$B$15,SampleCalc!$B$9*$Z117,SampleCalc!$B$9)+V117</f>
        <v>0.60360892004708577</v>
      </c>
      <c r="X117">
        <f ca="1">HYPGEOMDIST(X$50,SampleCalc!$B$15,SampleCalc!$B$9*$Z117,SampleCalc!$B$9)+W117</f>
        <v>0.70925896341689632</v>
      </c>
      <c r="Y117">
        <f ca="1">HYPGEOMDIST(Y$50,SampleCalc!$B$15,SampleCalc!$B$9*$Z117,SampleCalc!$B$9)+X117</f>
        <v>0.7986955438057074</v>
      </c>
      <c r="Z117">
        <v>0.184</v>
      </c>
    </row>
    <row r="118" spans="5:26">
      <c r="E118">
        <f ca="1">HYPGEOMDIST(E$50,SampleCalc!$B$15,SampleCalc!$B$9*$Z118,SampleCalc!$B$9)</f>
        <v>3.9292520213003539E-10</v>
      </c>
      <c r="F118">
        <f ca="1">HYPGEOMDIST(F$50,SampleCalc!$B$15,SampleCalc!$B$9*$Z118,SampleCalc!$B$9)+E118</f>
        <v>1.1324755029543993E-8</v>
      </c>
      <c r="G118">
        <f ca="1">HYPGEOMDIST(G$50,SampleCalc!$B$15,SampleCalc!$B$9*$Z118,SampleCalc!$B$9)+F118</f>
        <v>1.5968530268730511E-7</v>
      </c>
      <c r="H118">
        <f ca="1">HYPGEOMDIST(H$50,SampleCalc!$B$15,SampleCalc!$B$9*$Z118,SampleCalc!$B$9)+G118</f>
        <v>1.4689514859202474E-6</v>
      </c>
      <c r="I118">
        <f ca="1">HYPGEOMDIST(I$50,SampleCalc!$B$15,SampleCalc!$B$9*$Z118,SampleCalc!$B$9)+H118</f>
        <v>9.9192941070388745E-6</v>
      </c>
      <c r="J118">
        <f ca="1">HYPGEOMDIST(J$50,SampleCalc!$B$15,SampleCalc!$B$9*$Z118,SampleCalc!$B$9)+I118</f>
        <v>5.2457999980896403E-5</v>
      </c>
      <c r="K118">
        <f ca="1">HYPGEOMDIST(K$50,SampleCalc!$B$15,SampleCalc!$B$9*$Z118,SampleCalc!$B$9)+J118</f>
        <v>2.2639107843899894E-4</v>
      </c>
      <c r="L118">
        <f ca="1">HYPGEOMDIST(L$50,SampleCalc!$B$15,SampleCalc!$B$9*$Z118,SampleCalc!$B$9)+K118</f>
        <v>8.2040360085171543E-4</v>
      </c>
      <c r="M118">
        <f ca="1">HYPGEOMDIST(M$50,SampleCalc!$B$15,SampleCalc!$B$9*$Z118,SampleCalc!$B$9)+L118</f>
        <v>2.5497017385298581E-3</v>
      </c>
      <c r="N118">
        <f ca="1">HYPGEOMDIST(N$50,SampleCalc!$B$15,SampleCalc!$B$9*$Z118,SampleCalc!$B$9)+M118</f>
        <v>6.9081536355626912E-3</v>
      </c>
      <c r="O118">
        <f ca="1">HYPGEOMDIST(O$50,SampleCalc!$B$15,SampleCalc!$B$9*$Z118,SampleCalc!$B$9)+N118</f>
        <v>1.653453005458197E-2</v>
      </c>
      <c r="P118">
        <f ca="1">HYPGEOMDIST(P$50,SampleCalc!$B$15,SampleCalc!$B$9*$Z118,SampleCalc!$B$9)+O118</f>
        <v>3.5349720328119644E-2</v>
      </c>
      <c r="Q118">
        <f ca="1">HYPGEOMDIST(Q$50,SampleCalc!$B$15,SampleCalc!$B$9*$Z118,SampleCalc!$B$9)+P118</f>
        <v>6.815569311274941E-2</v>
      </c>
      <c r="R118">
        <f ca="1">HYPGEOMDIST(R$50,SampleCalc!$B$15,SampleCalc!$B$9*$Z118,SampleCalc!$B$9)+Q118</f>
        <v>0.11952436592983373</v>
      </c>
      <c r="S118">
        <f ca="1">HYPGEOMDIST(S$50,SampleCalc!$B$15,SampleCalc!$B$9*$Z118,SampleCalc!$B$9)+R118</f>
        <v>0.19216761359645756</v>
      </c>
      <c r="T118">
        <f ca="1">HYPGEOMDIST(T$50,SampleCalc!$B$15,SampleCalc!$B$9*$Z118,SampleCalc!$B$9)+S118</f>
        <v>0.28539311476862483</v>
      </c>
      <c r="U118">
        <f ca="1">HYPGEOMDIST(U$50,SampleCalc!$B$15,SampleCalc!$B$9*$Z118,SampleCalc!$B$9)+T118</f>
        <v>0.39441594630659227</v>
      </c>
      <c r="V118">
        <f ca="1">HYPGEOMDIST(V$50,SampleCalc!$B$15,SampleCalc!$B$9*$Z118,SampleCalc!$B$9)+U118</f>
        <v>0.51101790517072854</v>
      </c>
      <c r="W118">
        <f ca="1">HYPGEOMDIST(W$50,SampleCalc!$B$15,SampleCalc!$B$9*$Z118,SampleCalc!$B$9)+V118</f>
        <v>0.62542795074302471</v>
      </c>
      <c r="X118">
        <f ca="1">HYPGEOMDIST(X$50,SampleCalc!$B$15,SampleCalc!$B$9*$Z118,SampleCalc!$B$9)+W118</f>
        <v>0.72870169828402909</v>
      </c>
      <c r="Y118">
        <f ca="1">HYPGEOMDIST(Y$50,SampleCalc!$B$15,SampleCalc!$B$9*$Z118,SampleCalc!$B$9)+X118</f>
        <v>0.81467011515600041</v>
      </c>
      <c r="Z118">
        <v>0.183</v>
      </c>
    </row>
    <row r="119" spans="5:26">
      <c r="E119">
        <f ca="1">HYPGEOMDIST(E$50,SampleCalc!$B$15,SampleCalc!$B$9*$Z119,SampleCalc!$B$9)</f>
        <v>3.9292520213003539E-10</v>
      </c>
      <c r="F119">
        <f ca="1">HYPGEOMDIST(F$50,SampleCalc!$B$15,SampleCalc!$B$9*$Z119,SampleCalc!$B$9)+E119</f>
        <v>1.1324755029543993E-8</v>
      </c>
      <c r="G119">
        <f ca="1">HYPGEOMDIST(G$50,SampleCalc!$B$15,SampleCalc!$B$9*$Z119,SampleCalc!$B$9)+F119</f>
        <v>1.5968530268730511E-7</v>
      </c>
      <c r="H119">
        <f ca="1">HYPGEOMDIST(H$50,SampleCalc!$B$15,SampleCalc!$B$9*$Z119,SampleCalc!$B$9)+G119</f>
        <v>1.4689514859202474E-6</v>
      </c>
      <c r="I119">
        <f ca="1">HYPGEOMDIST(I$50,SampleCalc!$B$15,SampleCalc!$B$9*$Z119,SampleCalc!$B$9)+H119</f>
        <v>9.9192941070388745E-6</v>
      </c>
      <c r="J119">
        <f ca="1">HYPGEOMDIST(J$50,SampleCalc!$B$15,SampleCalc!$B$9*$Z119,SampleCalc!$B$9)+I119</f>
        <v>5.2457999980896403E-5</v>
      </c>
      <c r="K119">
        <f ca="1">HYPGEOMDIST(K$50,SampleCalc!$B$15,SampleCalc!$B$9*$Z119,SampleCalc!$B$9)+J119</f>
        <v>2.2639107843899894E-4</v>
      </c>
      <c r="L119">
        <f ca="1">HYPGEOMDIST(L$50,SampleCalc!$B$15,SampleCalc!$B$9*$Z119,SampleCalc!$B$9)+K119</f>
        <v>8.2040360085171543E-4</v>
      </c>
      <c r="M119">
        <f ca="1">HYPGEOMDIST(M$50,SampleCalc!$B$15,SampleCalc!$B$9*$Z119,SampleCalc!$B$9)+L119</f>
        <v>2.5497017385298581E-3</v>
      </c>
      <c r="N119">
        <f ca="1">HYPGEOMDIST(N$50,SampleCalc!$B$15,SampleCalc!$B$9*$Z119,SampleCalc!$B$9)+M119</f>
        <v>6.9081536355626912E-3</v>
      </c>
      <c r="O119">
        <f ca="1">HYPGEOMDIST(O$50,SampleCalc!$B$15,SampleCalc!$B$9*$Z119,SampleCalc!$B$9)+N119</f>
        <v>1.653453005458197E-2</v>
      </c>
      <c r="P119">
        <f ca="1">HYPGEOMDIST(P$50,SampleCalc!$B$15,SampleCalc!$B$9*$Z119,SampleCalc!$B$9)+O119</f>
        <v>3.5349720328119644E-2</v>
      </c>
      <c r="Q119">
        <f ca="1">HYPGEOMDIST(Q$50,SampleCalc!$B$15,SampleCalc!$B$9*$Z119,SampleCalc!$B$9)+P119</f>
        <v>6.815569311274941E-2</v>
      </c>
      <c r="R119">
        <f ca="1">HYPGEOMDIST(R$50,SampleCalc!$B$15,SampleCalc!$B$9*$Z119,SampleCalc!$B$9)+Q119</f>
        <v>0.11952436592983373</v>
      </c>
      <c r="S119">
        <f ca="1">HYPGEOMDIST(S$50,SampleCalc!$B$15,SampleCalc!$B$9*$Z119,SampleCalc!$B$9)+R119</f>
        <v>0.19216761359645756</v>
      </c>
      <c r="T119">
        <f ca="1">HYPGEOMDIST(T$50,SampleCalc!$B$15,SampleCalc!$B$9*$Z119,SampleCalc!$B$9)+S119</f>
        <v>0.28539311476862483</v>
      </c>
      <c r="U119">
        <f ca="1">HYPGEOMDIST(U$50,SampleCalc!$B$15,SampleCalc!$B$9*$Z119,SampleCalc!$B$9)+T119</f>
        <v>0.39441594630659227</v>
      </c>
      <c r="V119">
        <f ca="1">HYPGEOMDIST(V$50,SampleCalc!$B$15,SampleCalc!$B$9*$Z119,SampleCalc!$B$9)+U119</f>
        <v>0.51101790517072854</v>
      </c>
      <c r="W119">
        <f ca="1">HYPGEOMDIST(W$50,SampleCalc!$B$15,SampleCalc!$B$9*$Z119,SampleCalc!$B$9)+V119</f>
        <v>0.62542795074302471</v>
      </c>
      <c r="X119">
        <f ca="1">HYPGEOMDIST(X$50,SampleCalc!$B$15,SampleCalc!$B$9*$Z119,SampleCalc!$B$9)+W119</f>
        <v>0.72870169828402909</v>
      </c>
      <c r="Y119">
        <f ca="1">HYPGEOMDIST(Y$50,SampleCalc!$B$15,SampleCalc!$B$9*$Z119,SampleCalc!$B$9)+X119</f>
        <v>0.81467011515600041</v>
      </c>
      <c r="Z119">
        <v>0.182</v>
      </c>
    </row>
    <row r="120" spans="5:26">
      <c r="E120">
        <f ca="1">HYPGEOMDIST(E$50,SampleCalc!$B$15,SampleCalc!$B$9*$Z120,SampleCalc!$B$9)</f>
        <v>5.1305520023348486E-10</v>
      </c>
      <c r="F120">
        <f ca="1">HYPGEOMDIST(F$50,SampleCalc!$B$15,SampleCalc!$B$9*$Z120,SampleCalc!$B$9)+E120</f>
        <v>1.4585426406637663E-8</v>
      </c>
      <c r="G120">
        <f ca="1">HYPGEOMDIST(G$50,SampleCalc!$B$15,SampleCalc!$B$9*$Z120,SampleCalc!$B$9)+F120</f>
        <v>2.0284792411256693E-7</v>
      </c>
      <c r="H120">
        <f ca="1">HYPGEOMDIST(H$50,SampleCalc!$B$15,SampleCalc!$B$9*$Z120,SampleCalc!$B$9)+G120</f>
        <v>1.8403951176177714E-6</v>
      </c>
      <c r="I120">
        <f ca="1">HYPGEOMDIST(I$50,SampleCalc!$B$15,SampleCalc!$B$9*$Z120,SampleCalc!$B$9)+H120</f>
        <v>1.2256585638569509E-5</v>
      </c>
      <c r="J120">
        <f ca="1">HYPGEOMDIST(J$50,SampleCalc!$B$15,SampleCalc!$B$9*$Z120,SampleCalc!$B$9)+I120</f>
        <v>6.3926115044067897E-5</v>
      </c>
      <c r="K120">
        <f ca="1">HYPGEOMDIST(K$50,SampleCalc!$B$15,SampleCalc!$B$9*$Z120,SampleCalc!$B$9)+J120</f>
        <v>2.7208434939382325E-4</v>
      </c>
      <c r="L120">
        <f ca="1">HYPGEOMDIST(L$50,SampleCalc!$B$15,SampleCalc!$B$9*$Z120,SampleCalc!$B$9)+K120</f>
        <v>9.7242981075748634E-4</v>
      </c>
      <c r="M120">
        <f ca="1">HYPGEOMDIST(M$50,SampleCalc!$B$15,SampleCalc!$B$9*$Z120,SampleCalc!$B$9)+L120</f>
        <v>2.980757420653984E-3</v>
      </c>
      <c r="N120">
        <f ca="1">HYPGEOMDIST(N$50,SampleCalc!$B$15,SampleCalc!$B$9*$Z120,SampleCalc!$B$9)+M120</f>
        <v>7.9659971980922863E-3</v>
      </c>
      <c r="O120">
        <f ca="1">HYPGEOMDIST(O$50,SampleCalc!$B$15,SampleCalc!$B$9*$Z120,SampleCalc!$B$9)+N120</f>
        <v>1.8808893714020589E-2</v>
      </c>
      <c r="P120">
        <f ca="1">HYPGEOMDIST(P$50,SampleCalc!$B$15,SampleCalc!$B$9*$Z120,SampleCalc!$B$9)+O120</f>
        <v>3.9675782673345539E-2</v>
      </c>
      <c r="Q120">
        <f ca="1">HYPGEOMDIST(Q$50,SampleCalc!$B$15,SampleCalc!$B$9*$Z120,SampleCalc!$B$9)+P120</f>
        <v>7.5494074943761452E-2</v>
      </c>
      <c r="R120">
        <f ca="1">HYPGEOMDIST(R$50,SampleCalc!$B$15,SampleCalc!$B$9*$Z120,SampleCalc!$B$9)+Q120</f>
        <v>0.1307002501862374</v>
      </c>
      <c r="S120">
        <f ca="1">HYPGEOMDIST(S$50,SampleCalc!$B$15,SampleCalc!$B$9*$Z120,SampleCalc!$B$9)+R120</f>
        <v>0.20753445444901264</v>
      </c>
      <c r="T120">
        <f ca="1">HYPGEOMDIST(T$50,SampleCalc!$B$15,SampleCalc!$B$9*$Z120,SampleCalc!$B$9)+S120</f>
        <v>0.30456196426980581</v>
      </c>
      <c r="U120">
        <f ca="1">HYPGEOMDIST(U$50,SampleCalc!$B$15,SampleCalc!$B$9*$Z120,SampleCalc!$B$9)+T120</f>
        <v>0.41619872983066158</v>
      </c>
      <c r="V120">
        <f ca="1">HYPGEOMDIST(V$50,SampleCalc!$B$15,SampleCalc!$B$9*$Z120,SampleCalc!$B$9)+U120</f>
        <v>0.53364846363557827</v>
      </c>
      <c r="W120">
        <f ca="1">HYPGEOMDIST(W$50,SampleCalc!$B$15,SampleCalc!$B$9*$Z120,SampleCalc!$B$9)+V120</f>
        <v>0.64699060132850916</v>
      </c>
      <c r="X120">
        <f ca="1">HYPGEOMDIST(X$50,SampleCalc!$B$15,SampleCalc!$B$9*$Z120,SampleCalc!$B$9)+W120</f>
        <v>0.74759585583830868</v>
      </c>
      <c r="Y120">
        <f ca="1">HYPGEOMDIST(Y$50,SampleCalc!$B$15,SampleCalc!$B$9*$Z120,SampleCalc!$B$9)+X120</f>
        <v>0.8299325214678106</v>
      </c>
      <c r="Z120">
        <v>0.18099999999999999</v>
      </c>
    </row>
    <row r="121" spans="5:26">
      <c r="E121">
        <f ca="1">HYPGEOMDIST(E$50,SampleCalc!$B$15,SampleCalc!$B$9*$Z121,SampleCalc!$B$9)</f>
        <v>5.1305520023348486E-10</v>
      </c>
      <c r="F121">
        <f ca="1">HYPGEOMDIST(F$50,SampleCalc!$B$15,SampleCalc!$B$9*$Z121,SampleCalc!$B$9)+E121</f>
        <v>1.4585426406637663E-8</v>
      </c>
      <c r="G121">
        <f ca="1">HYPGEOMDIST(G$50,SampleCalc!$B$15,SampleCalc!$B$9*$Z121,SampleCalc!$B$9)+F121</f>
        <v>2.0284792411256693E-7</v>
      </c>
      <c r="H121">
        <f ca="1">HYPGEOMDIST(H$50,SampleCalc!$B$15,SampleCalc!$B$9*$Z121,SampleCalc!$B$9)+G121</f>
        <v>1.8403951176177714E-6</v>
      </c>
      <c r="I121">
        <f ca="1">HYPGEOMDIST(I$50,SampleCalc!$B$15,SampleCalc!$B$9*$Z121,SampleCalc!$B$9)+H121</f>
        <v>1.2256585638569509E-5</v>
      </c>
      <c r="J121">
        <f ca="1">HYPGEOMDIST(J$50,SampleCalc!$B$15,SampleCalc!$B$9*$Z121,SampleCalc!$B$9)+I121</f>
        <v>6.3926115044067897E-5</v>
      </c>
      <c r="K121">
        <f ca="1">HYPGEOMDIST(K$50,SampleCalc!$B$15,SampleCalc!$B$9*$Z121,SampleCalc!$B$9)+J121</f>
        <v>2.7208434939382325E-4</v>
      </c>
      <c r="L121">
        <f ca="1">HYPGEOMDIST(L$50,SampleCalc!$B$15,SampleCalc!$B$9*$Z121,SampleCalc!$B$9)+K121</f>
        <v>9.7242981075748634E-4</v>
      </c>
      <c r="M121">
        <f ca="1">HYPGEOMDIST(M$50,SampleCalc!$B$15,SampleCalc!$B$9*$Z121,SampleCalc!$B$9)+L121</f>
        <v>2.980757420653984E-3</v>
      </c>
      <c r="N121">
        <f ca="1">HYPGEOMDIST(N$50,SampleCalc!$B$15,SampleCalc!$B$9*$Z121,SampleCalc!$B$9)+M121</f>
        <v>7.9659971980922863E-3</v>
      </c>
      <c r="O121">
        <f ca="1">HYPGEOMDIST(O$50,SampleCalc!$B$15,SampleCalc!$B$9*$Z121,SampleCalc!$B$9)+N121</f>
        <v>1.8808893714020589E-2</v>
      </c>
      <c r="P121">
        <f ca="1">HYPGEOMDIST(P$50,SampleCalc!$B$15,SampleCalc!$B$9*$Z121,SampleCalc!$B$9)+O121</f>
        <v>3.9675782673345539E-2</v>
      </c>
      <c r="Q121">
        <f ca="1">HYPGEOMDIST(Q$50,SampleCalc!$B$15,SampleCalc!$B$9*$Z121,SampleCalc!$B$9)+P121</f>
        <v>7.5494074943761452E-2</v>
      </c>
      <c r="R121">
        <f ca="1">HYPGEOMDIST(R$50,SampleCalc!$B$15,SampleCalc!$B$9*$Z121,SampleCalc!$B$9)+Q121</f>
        <v>0.1307002501862374</v>
      </c>
      <c r="S121">
        <f ca="1">HYPGEOMDIST(S$50,SampleCalc!$B$15,SampleCalc!$B$9*$Z121,SampleCalc!$B$9)+R121</f>
        <v>0.20753445444901264</v>
      </c>
      <c r="T121">
        <f ca="1">HYPGEOMDIST(T$50,SampleCalc!$B$15,SampleCalc!$B$9*$Z121,SampleCalc!$B$9)+S121</f>
        <v>0.30456196426980581</v>
      </c>
      <c r="U121">
        <f ca="1">HYPGEOMDIST(U$50,SampleCalc!$B$15,SampleCalc!$B$9*$Z121,SampleCalc!$B$9)+T121</f>
        <v>0.41619872983066158</v>
      </c>
      <c r="V121">
        <f ca="1">HYPGEOMDIST(V$50,SampleCalc!$B$15,SampleCalc!$B$9*$Z121,SampleCalc!$B$9)+U121</f>
        <v>0.53364846363557827</v>
      </c>
      <c r="W121">
        <f ca="1">HYPGEOMDIST(W$50,SampleCalc!$B$15,SampleCalc!$B$9*$Z121,SampleCalc!$B$9)+V121</f>
        <v>0.64699060132850916</v>
      </c>
      <c r="X121">
        <f ca="1">HYPGEOMDIST(X$50,SampleCalc!$B$15,SampleCalc!$B$9*$Z121,SampleCalc!$B$9)+W121</f>
        <v>0.74759585583830868</v>
      </c>
      <c r="Y121">
        <f ca="1">HYPGEOMDIST(Y$50,SampleCalc!$B$15,SampleCalc!$B$9*$Z121,SampleCalc!$B$9)+X121</f>
        <v>0.8299325214678106</v>
      </c>
      <c r="Z121">
        <v>0.18</v>
      </c>
    </row>
    <row r="122" spans="5:26">
      <c r="E122">
        <f ca="1">HYPGEOMDIST(E$50,SampleCalc!$B$15,SampleCalc!$B$9*$Z122,SampleCalc!$B$9)</f>
        <v>6.6941488030464317E-10</v>
      </c>
      <c r="F122">
        <f ca="1">HYPGEOMDIST(F$50,SampleCalc!$B$15,SampleCalc!$B$9*$Z122,SampleCalc!$B$9)+E122</f>
        <v>1.8769037466769423E-8</v>
      </c>
      <c r="G122">
        <f ca="1">HYPGEOMDIST(G$50,SampleCalc!$B$15,SampleCalc!$B$9*$Z122,SampleCalc!$B$9)+F122</f>
        <v>2.5743283056274073E-7</v>
      </c>
      <c r="H122">
        <f ca="1">HYPGEOMDIST(H$50,SampleCalc!$B$15,SampleCalc!$B$9*$Z122,SampleCalc!$B$9)+G122</f>
        <v>2.3033369185489599E-6</v>
      </c>
      <c r="I122">
        <f ca="1">HYPGEOMDIST(I$50,SampleCalc!$B$15,SampleCalc!$B$9*$Z122,SampleCalc!$B$9)+H122</f>
        <v>1.5127115049986063E-5</v>
      </c>
      <c r="J122">
        <f ca="1">HYPGEOMDIST(J$50,SampleCalc!$B$15,SampleCalc!$B$9*$Z122,SampleCalc!$B$9)+I122</f>
        <v>7.7803330667384913E-5</v>
      </c>
      <c r="K122">
        <f ca="1">HYPGEOMDIST(K$50,SampleCalc!$B$15,SampleCalc!$B$9*$Z122,SampleCalc!$B$9)+J122</f>
        <v>3.2655566305544152E-4</v>
      </c>
      <c r="L122">
        <f ca="1">HYPGEOMDIST(L$50,SampleCalc!$B$15,SampleCalc!$B$9*$Z122,SampleCalc!$B$9)+K122</f>
        <v>1.150947820526064E-3</v>
      </c>
      <c r="M122">
        <f ca="1">HYPGEOMDIST(M$50,SampleCalc!$B$15,SampleCalc!$B$9*$Z122,SampleCalc!$B$9)+L122</f>
        <v>3.4792813983978168E-3</v>
      </c>
      <c r="N122">
        <f ca="1">HYPGEOMDIST(N$50,SampleCalc!$B$15,SampleCalc!$B$9*$Z122,SampleCalc!$B$9)+M122</f>
        <v>9.1707634776398757E-3</v>
      </c>
      <c r="O122">
        <f ca="1">HYPGEOMDIST(O$50,SampleCalc!$B$15,SampleCalc!$B$9*$Z122,SampleCalc!$B$9)+N122</f>
        <v>2.1359291253493631E-2</v>
      </c>
      <c r="P122">
        <f ca="1">HYPGEOMDIST(P$50,SampleCalc!$B$15,SampleCalc!$B$9*$Z122,SampleCalc!$B$9)+O122</f>
        <v>4.4451554976067661E-2</v>
      </c>
      <c r="Q122">
        <f ca="1">HYPGEOMDIST(Q$50,SampleCalc!$B$15,SampleCalc!$B$9*$Z122,SampleCalc!$B$9)+P122</f>
        <v>8.3468300256563571E-2</v>
      </c>
      <c r="R122">
        <f ca="1">HYPGEOMDIST(R$50,SampleCalc!$B$15,SampleCalc!$B$9*$Z122,SampleCalc!$B$9)+Q122</f>
        <v>0.14265223751600248</v>
      </c>
      <c r="S122">
        <f ca="1">HYPGEOMDIST(S$50,SampleCalc!$B$15,SampleCalc!$B$9*$Z122,SampleCalc!$B$9)+R122</f>
        <v>0.22370570608581139</v>
      </c>
      <c r="T122">
        <f ca="1">HYPGEOMDIST(T$50,SampleCalc!$B$15,SampleCalc!$B$9*$Z122,SampleCalc!$B$9)+S122</f>
        <v>0.32440850036951341</v>
      </c>
      <c r="U122">
        <f ca="1">HYPGEOMDIST(U$50,SampleCalc!$B$15,SampleCalc!$B$9*$Z122,SampleCalc!$B$9)+T122</f>
        <v>0.43838367954936797</v>
      </c>
      <c r="V122">
        <f ca="1">HYPGEOMDIST(V$50,SampleCalc!$B$15,SampleCalc!$B$9*$Z122,SampleCalc!$B$9)+U122</f>
        <v>0.5563168911741645</v>
      </c>
      <c r="W122">
        <f ca="1">HYPGEOMDIST(W$50,SampleCalc!$B$15,SampleCalc!$B$9*$Z122,SampleCalc!$B$9)+V122</f>
        <v>0.66822948839168927</v>
      </c>
      <c r="X122">
        <f ca="1">HYPGEOMDIST(X$50,SampleCalc!$B$15,SampleCalc!$B$9*$Z122,SampleCalc!$B$9)+W122</f>
        <v>0.76589289264486471</v>
      </c>
      <c r="Y122">
        <f ca="1">HYPGEOMDIST(Y$50,SampleCalc!$B$15,SampleCalc!$B$9*$Z122,SampleCalc!$B$9)+X122</f>
        <v>0.84446091487241914</v>
      </c>
      <c r="Z122">
        <v>0.17899999999999999</v>
      </c>
    </row>
    <row r="123" spans="5:26">
      <c r="E123">
        <f ca="1">HYPGEOMDIST(E$50,SampleCalc!$B$15,SampleCalc!$B$9*$Z123,SampleCalc!$B$9)</f>
        <v>6.6941488030464317E-10</v>
      </c>
      <c r="F123">
        <f ca="1">HYPGEOMDIST(F$50,SampleCalc!$B$15,SampleCalc!$B$9*$Z123,SampleCalc!$B$9)+E123</f>
        <v>1.8769037466769423E-8</v>
      </c>
      <c r="G123">
        <f ca="1">HYPGEOMDIST(G$50,SampleCalc!$B$15,SampleCalc!$B$9*$Z123,SampleCalc!$B$9)+F123</f>
        <v>2.5743283056274073E-7</v>
      </c>
      <c r="H123">
        <f ca="1">HYPGEOMDIST(H$50,SampleCalc!$B$15,SampleCalc!$B$9*$Z123,SampleCalc!$B$9)+G123</f>
        <v>2.3033369185489599E-6</v>
      </c>
      <c r="I123">
        <f ca="1">HYPGEOMDIST(I$50,SampleCalc!$B$15,SampleCalc!$B$9*$Z123,SampleCalc!$B$9)+H123</f>
        <v>1.5127115049986063E-5</v>
      </c>
      <c r="J123">
        <f ca="1">HYPGEOMDIST(J$50,SampleCalc!$B$15,SampleCalc!$B$9*$Z123,SampleCalc!$B$9)+I123</f>
        <v>7.7803330667384913E-5</v>
      </c>
      <c r="K123">
        <f ca="1">HYPGEOMDIST(K$50,SampleCalc!$B$15,SampleCalc!$B$9*$Z123,SampleCalc!$B$9)+J123</f>
        <v>3.2655566305544152E-4</v>
      </c>
      <c r="L123">
        <f ca="1">HYPGEOMDIST(L$50,SampleCalc!$B$15,SampleCalc!$B$9*$Z123,SampleCalc!$B$9)+K123</f>
        <v>1.150947820526064E-3</v>
      </c>
      <c r="M123">
        <f ca="1">HYPGEOMDIST(M$50,SampleCalc!$B$15,SampleCalc!$B$9*$Z123,SampleCalc!$B$9)+L123</f>
        <v>3.4792813983978168E-3</v>
      </c>
      <c r="N123">
        <f ca="1">HYPGEOMDIST(N$50,SampleCalc!$B$15,SampleCalc!$B$9*$Z123,SampleCalc!$B$9)+M123</f>
        <v>9.1707634776398757E-3</v>
      </c>
      <c r="O123">
        <f ca="1">HYPGEOMDIST(O$50,SampleCalc!$B$15,SampleCalc!$B$9*$Z123,SampleCalc!$B$9)+N123</f>
        <v>2.1359291253493631E-2</v>
      </c>
      <c r="P123">
        <f ca="1">HYPGEOMDIST(P$50,SampleCalc!$B$15,SampleCalc!$B$9*$Z123,SampleCalc!$B$9)+O123</f>
        <v>4.4451554976067661E-2</v>
      </c>
      <c r="Q123">
        <f ca="1">HYPGEOMDIST(Q$50,SampleCalc!$B$15,SampleCalc!$B$9*$Z123,SampleCalc!$B$9)+P123</f>
        <v>8.3468300256563571E-2</v>
      </c>
      <c r="R123">
        <f ca="1">HYPGEOMDIST(R$50,SampleCalc!$B$15,SampleCalc!$B$9*$Z123,SampleCalc!$B$9)+Q123</f>
        <v>0.14265223751600248</v>
      </c>
      <c r="S123">
        <f ca="1">HYPGEOMDIST(S$50,SampleCalc!$B$15,SampleCalc!$B$9*$Z123,SampleCalc!$B$9)+R123</f>
        <v>0.22370570608581139</v>
      </c>
      <c r="T123">
        <f ca="1">HYPGEOMDIST(T$50,SampleCalc!$B$15,SampleCalc!$B$9*$Z123,SampleCalc!$B$9)+S123</f>
        <v>0.32440850036951341</v>
      </c>
      <c r="U123">
        <f ca="1">HYPGEOMDIST(U$50,SampleCalc!$B$15,SampleCalc!$B$9*$Z123,SampleCalc!$B$9)+T123</f>
        <v>0.43838367954936797</v>
      </c>
      <c r="V123">
        <f ca="1">HYPGEOMDIST(V$50,SampleCalc!$B$15,SampleCalc!$B$9*$Z123,SampleCalc!$B$9)+U123</f>
        <v>0.5563168911741645</v>
      </c>
      <c r="W123">
        <f ca="1">HYPGEOMDIST(W$50,SampleCalc!$B$15,SampleCalc!$B$9*$Z123,SampleCalc!$B$9)+V123</f>
        <v>0.66822948839168927</v>
      </c>
      <c r="X123">
        <f ca="1">HYPGEOMDIST(X$50,SampleCalc!$B$15,SampleCalc!$B$9*$Z123,SampleCalc!$B$9)+W123</f>
        <v>0.76589289264486471</v>
      </c>
      <c r="Y123">
        <f ca="1">HYPGEOMDIST(Y$50,SampleCalc!$B$15,SampleCalc!$B$9*$Z123,SampleCalc!$B$9)+X123</f>
        <v>0.84446091487241914</v>
      </c>
      <c r="Z123">
        <v>0.17799999999999999</v>
      </c>
    </row>
    <row r="124" spans="5:26">
      <c r="E124">
        <f ca="1">HYPGEOMDIST(E$50,SampleCalc!$B$15,SampleCalc!$B$9*$Z124,SampleCalc!$B$9)</f>
        <v>8.7278142621997777E-10</v>
      </c>
      <c r="F124">
        <f ca="1">HYPGEOMDIST(F$50,SampleCalc!$B$15,SampleCalc!$B$9*$Z124,SampleCalc!$B$9)+E124</f>
        <v>2.4132268772296891E-8</v>
      </c>
      <c r="G124">
        <f ca="1">HYPGEOMDIST(G$50,SampleCalc!$B$15,SampleCalc!$B$9*$Z124,SampleCalc!$B$9)+F124</f>
        <v>3.2639588970834366E-7</v>
      </c>
      <c r="H124">
        <f ca="1">HYPGEOMDIST(H$50,SampleCalc!$B$15,SampleCalc!$B$9*$Z124,SampleCalc!$B$9)+G124</f>
        <v>2.8796864974899482E-6</v>
      </c>
      <c r="I124">
        <f ca="1">HYPGEOMDIST(I$50,SampleCalc!$B$15,SampleCalc!$B$9*$Z124,SampleCalc!$B$9)+H124</f>
        <v>1.8648250758828695E-5</v>
      </c>
      <c r="J124">
        <f ca="1">HYPGEOMDIST(J$50,SampleCalc!$B$15,SampleCalc!$B$9*$Z124,SampleCalc!$B$9)+I124</f>
        <v>9.4573150828377515E-5</v>
      </c>
      <c r="K124">
        <f ca="1">HYPGEOMDIST(K$50,SampleCalc!$B$15,SampleCalc!$B$9*$Z124,SampleCalc!$B$9)+J124</f>
        <v>3.9139549566549053E-4</v>
      </c>
      <c r="L124">
        <f ca="1">HYPGEOMDIST(L$50,SampleCalc!$B$15,SampleCalc!$B$9*$Z124,SampleCalc!$B$9)+K124</f>
        <v>1.360236232020155E-3</v>
      </c>
      <c r="M124">
        <f ca="1">HYPGEOMDIST(M$50,SampleCalc!$B$15,SampleCalc!$B$9*$Z124,SampleCalc!$B$9)+L124</f>
        <v>4.0548245300065641E-3</v>
      </c>
      <c r="N124">
        <f ca="1">HYPGEOMDIST(N$50,SampleCalc!$B$15,SampleCalc!$B$9*$Z124,SampleCalc!$B$9)+M124</f>
        <v>1.0540260980544787E-2</v>
      </c>
      <c r="O124">
        <f ca="1">HYPGEOMDIST(O$50,SampleCalc!$B$15,SampleCalc!$B$9*$Z124,SampleCalc!$B$9)+N124</f>
        <v>2.4213391264148853E-2</v>
      </c>
      <c r="P124">
        <f ca="1">HYPGEOMDIST(P$50,SampleCalc!$B$15,SampleCalc!$B$9*$Z124,SampleCalc!$B$9)+O124</f>
        <v>4.9712239732988467E-2</v>
      </c>
      <c r="Q124">
        <f ca="1">HYPGEOMDIST(Q$50,SampleCalc!$B$15,SampleCalc!$B$9*$Z124,SampleCalc!$B$9)+P124</f>
        <v>9.2113145024796228E-2</v>
      </c>
      <c r="R124">
        <f ca="1">HYPGEOMDIST(R$50,SampleCalc!$B$15,SampleCalc!$B$9*$Z124,SampleCalc!$B$9)+Q124</f>
        <v>0.15540222133597234</v>
      </c>
      <c r="S124">
        <f ca="1">HYPGEOMDIST(S$50,SampleCalc!$B$15,SampleCalc!$B$9*$Z124,SampleCalc!$B$9)+R124</f>
        <v>0.24067808714486222</v>
      </c>
      <c r="T124">
        <f ca="1">HYPGEOMDIST(T$50,SampleCalc!$B$15,SampleCalc!$B$9*$Z124,SampleCalc!$B$9)+S124</f>
        <v>0.34489842022207146</v>
      </c>
      <c r="U124">
        <f ca="1">HYPGEOMDIST(U$50,SampleCalc!$B$15,SampleCalc!$B$9*$Z124,SampleCalc!$B$9)+T124</f>
        <v>0.46091024806196962</v>
      </c>
      <c r="V124">
        <f ca="1">HYPGEOMDIST(V$50,SampleCalc!$B$15,SampleCalc!$B$9*$Z124,SampleCalc!$B$9)+U124</f>
        <v>0.57895089960018087</v>
      </c>
      <c r="W124">
        <f ca="1">HYPGEOMDIST(W$50,SampleCalc!$B$15,SampleCalc!$B$9*$Z124,SampleCalc!$B$9)+V124</f>
        <v>0.68907897918731109</v>
      </c>
      <c r="X124">
        <f ca="1">HYPGEOMDIST(X$50,SampleCalc!$B$15,SampleCalc!$B$9*$Z124,SampleCalc!$B$9)+W124</f>
        <v>0.78354862797689939</v>
      </c>
      <c r="Y124">
        <f ca="1">HYPGEOMDIST(Y$50,SampleCalc!$B$15,SampleCalc!$B$9*$Z124,SampleCalc!$B$9)+X124</f>
        <v>0.85823869405116771</v>
      </c>
      <c r="Z124">
        <v>0.17699999999999999</v>
      </c>
    </row>
    <row r="125" spans="5:26">
      <c r="E125">
        <f ca="1">HYPGEOMDIST(E$50,SampleCalc!$B$15,SampleCalc!$B$9*$Z125,SampleCalc!$B$9)</f>
        <v>8.7278142621997777E-10</v>
      </c>
      <c r="F125">
        <f ca="1">HYPGEOMDIST(F$50,SampleCalc!$B$15,SampleCalc!$B$9*$Z125,SampleCalc!$B$9)+E125</f>
        <v>2.4132268772296891E-8</v>
      </c>
      <c r="G125">
        <f ca="1">HYPGEOMDIST(G$50,SampleCalc!$B$15,SampleCalc!$B$9*$Z125,SampleCalc!$B$9)+F125</f>
        <v>3.2639588970834366E-7</v>
      </c>
      <c r="H125">
        <f ca="1">HYPGEOMDIST(H$50,SampleCalc!$B$15,SampleCalc!$B$9*$Z125,SampleCalc!$B$9)+G125</f>
        <v>2.8796864974899482E-6</v>
      </c>
      <c r="I125">
        <f ca="1">HYPGEOMDIST(I$50,SampleCalc!$B$15,SampleCalc!$B$9*$Z125,SampleCalc!$B$9)+H125</f>
        <v>1.8648250758828695E-5</v>
      </c>
      <c r="J125">
        <f ca="1">HYPGEOMDIST(J$50,SampleCalc!$B$15,SampleCalc!$B$9*$Z125,SampleCalc!$B$9)+I125</f>
        <v>9.4573150828377515E-5</v>
      </c>
      <c r="K125">
        <f ca="1">HYPGEOMDIST(K$50,SampleCalc!$B$15,SampleCalc!$B$9*$Z125,SampleCalc!$B$9)+J125</f>
        <v>3.9139549566549053E-4</v>
      </c>
      <c r="L125">
        <f ca="1">HYPGEOMDIST(L$50,SampleCalc!$B$15,SampleCalc!$B$9*$Z125,SampleCalc!$B$9)+K125</f>
        <v>1.360236232020155E-3</v>
      </c>
      <c r="M125">
        <f ca="1">HYPGEOMDIST(M$50,SampleCalc!$B$15,SampleCalc!$B$9*$Z125,SampleCalc!$B$9)+L125</f>
        <v>4.0548245300065641E-3</v>
      </c>
      <c r="N125">
        <f ca="1">HYPGEOMDIST(N$50,SampleCalc!$B$15,SampleCalc!$B$9*$Z125,SampleCalc!$B$9)+M125</f>
        <v>1.0540260980544787E-2</v>
      </c>
      <c r="O125">
        <f ca="1">HYPGEOMDIST(O$50,SampleCalc!$B$15,SampleCalc!$B$9*$Z125,SampleCalc!$B$9)+N125</f>
        <v>2.4213391264148853E-2</v>
      </c>
      <c r="P125">
        <f ca="1">HYPGEOMDIST(P$50,SampleCalc!$B$15,SampleCalc!$B$9*$Z125,SampleCalc!$B$9)+O125</f>
        <v>4.9712239732988467E-2</v>
      </c>
      <c r="Q125">
        <f ca="1">HYPGEOMDIST(Q$50,SampleCalc!$B$15,SampleCalc!$B$9*$Z125,SampleCalc!$B$9)+P125</f>
        <v>9.2113145024796228E-2</v>
      </c>
      <c r="R125">
        <f ca="1">HYPGEOMDIST(R$50,SampleCalc!$B$15,SampleCalc!$B$9*$Z125,SampleCalc!$B$9)+Q125</f>
        <v>0.15540222133597234</v>
      </c>
      <c r="S125">
        <f ca="1">HYPGEOMDIST(S$50,SampleCalc!$B$15,SampleCalc!$B$9*$Z125,SampleCalc!$B$9)+R125</f>
        <v>0.24067808714486222</v>
      </c>
      <c r="T125">
        <f ca="1">HYPGEOMDIST(T$50,SampleCalc!$B$15,SampleCalc!$B$9*$Z125,SampleCalc!$B$9)+S125</f>
        <v>0.34489842022207146</v>
      </c>
      <c r="U125">
        <f ca="1">HYPGEOMDIST(U$50,SampleCalc!$B$15,SampleCalc!$B$9*$Z125,SampleCalc!$B$9)+T125</f>
        <v>0.46091024806196962</v>
      </c>
      <c r="V125">
        <f ca="1">HYPGEOMDIST(V$50,SampleCalc!$B$15,SampleCalc!$B$9*$Z125,SampleCalc!$B$9)+U125</f>
        <v>0.57895089960018087</v>
      </c>
      <c r="W125">
        <f ca="1">HYPGEOMDIST(W$50,SampleCalc!$B$15,SampleCalc!$B$9*$Z125,SampleCalc!$B$9)+V125</f>
        <v>0.68907897918731109</v>
      </c>
      <c r="X125">
        <f ca="1">HYPGEOMDIST(X$50,SampleCalc!$B$15,SampleCalc!$B$9*$Z125,SampleCalc!$B$9)+W125</f>
        <v>0.78354862797689939</v>
      </c>
      <c r="Y125">
        <f ca="1">HYPGEOMDIST(Y$50,SampleCalc!$B$15,SampleCalc!$B$9*$Z125,SampleCalc!$B$9)+X125</f>
        <v>0.85823869405116771</v>
      </c>
      <c r="Z125">
        <v>0.17599999999999999</v>
      </c>
    </row>
    <row r="126" spans="5:26">
      <c r="E126">
        <f ca="1">HYPGEOMDIST(E$50,SampleCalc!$B$15,SampleCalc!$B$9*$Z126,SampleCalc!$B$9)</f>
        <v>1.1370937824253985E-9</v>
      </c>
      <c r="F126">
        <f ca="1">HYPGEOMDIST(F$50,SampleCalc!$B$15,SampleCalc!$B$9*$Z126,SampleCalc!$B$9)+E126</f>
        <v>3.1001896520843413E-8</v>
      </c>
      <c r="G126">
        <f ca="1">HYPGEOMDIST(G$50,SampleCalc!$B$15,SampleCalc!$B$9*$Z126,SampleCalc!$B$9)+F126</f>
        <v>4.1343988770089752E-7</v>
      </c>
      <c r="H126">
        <f ca="1">HYPGEOMDIST(H$50,SampleCalc!$B$15,SampleCalc!$B$9*$Z126,SampleCalc!$B$9)+G126</f>
        <v>3.5964394184598911E-6</v>
      </c>
      <c r="I126">
        <f ca="1">HYPGEOMDIST(I$50,SampleCalc!$B$15,SampleCalc!$B$9*$Z126,SampleCalc!$B$9)+H126</f>
        <v>2.2962165535507615E-5</v>
      </c>
      <c r="J126">
        <f ca="1">HYPGEOMDIST(J$50,SampleCalc!$B$15,SampleCalc!$B$9*$Z126,SampleCalc!$B$9)+I126</f>
        <v>1.148110379763625E-4</v>
      </c>
      <c r="K126">
        <f ca="1">HYPGEOMDIST(K$50,SampleCalc!$B$15,SampleCalc!$B$9*$Z126,SampleCalc!$B$9)+J126</f>
        <v>4.6846237242097552E-4</v>
      </c>
      <c r="L126">
        <f ca="1">HYPGEOMDIST(L$50,SampleCalc!$B$15,SampleCalc!$B$9*$Z126,SampleCalc!$B$9)+K126</f>
        <v>1.6051988045643738E-3</v>
      </c>
      <c r="M126">
        <f ca="1">HYPGEOMDIST(M$50,SampleCalc!$B$15,SampleCalc!$B$9*$Z126,SampleCalc!$B$9)+L126</f>
        <v>4.7181078033570615E-3</v>
      </c>
      <c r="N126">
        <f ca="1">HYPGEOMDIST(N$50,SampleCalc!$B$15,SampleCalc!$B$9*$Z126,SampleCalc!$B$9)+M126</f>
        <v>1.2094025785499795E-2</v>
      </c>
      <c r="O126">
        <f ca="1">HYPGEOMDIST(O$50,SampleCalc!$B$15,SampleCalc!$B$9*$Z126,SampleCalc!$B$9)+N126</f>
        <v>2.7400747322753806E-2</v>
      </c>
      <c r="P126">
        <f ca="1">HYPGEOMDIST(P$50,SampleCalc!$B$15,SampleCalc!$B$9*$Z126,SampleCalc!$B$9)+O126</f>
        <v>5.549418136368954E-2</v>
      </c>
      <c r="Q126">
        <f ca="1">HYPGEOMDIST(Q$50,SampleCalc!$B$15,SampleCalc!$B$9*$Z126,SampleCalc!$B$9)+P126</f>
        <v>0.10146266766167446</v>
      </c>
      <c r="R126">
        <f ca="1">HYPGEOMDIST(R$50,SampleCalc!$B$15,SampleCalc!$B$9*$Z126,SampleCalc!$B$9)+Q126</f>
        <v>0.16896883635102294</v>
      </c>
      <c r="S126">
        <f ca="1">HYPGEOMDIST(S$50,SampleCalc!$B$15,SampleCalc!$B$9*$Z126,SampleCalc!$B$9)+R126</f>
        <v>0.25844291664665919</v>
      </c>
      <c r="T126">
        <f ca="1">HYPGEOMDIST(T$50,SampleCalc!$B$15,SampleCalc!$B$9*$Z126,SampleCalc!$B$9)+S126</f>
        <v>0.36599147982932573</v>
      </c>
      <c r="U126">
        <f ca="1">HYPGEOMDIST(U$50,SampleCalc!$B$15,SampleCalc!$B$9*$Z126,SampleCalc!$B$9)+T126</f>
        <v>0.48371355574548791</v>
      </c>
      <c r="V126">
        <f ca="1">HYPGEOMDIST(V$50,SampleCalc!$B$15,SampleCalc!$B$9*$Z126,SampleCalc!$B$9)+U126</f>
        <v>0.60147709769754854</v>
      </c>
      <c r="W126">
        <f ca="1">HYPGEOMDIST(W$50,SampleCalc!$B$15,SampleCalc!$B$9*$Z126,SampleCalc!$B$9)+V126</f>
        <v>0.70947583517597212</v>
      </c>
      <c r="X126">
        <f ca="1">HYPGEOMDIST(X$50,SampleCalc!$B$15,SampleCalc!$B$9*$Z126,SampleCalc!$B$9)+W126</f>
        <v>0.80052364299377854</v>
      </c>
      <c r="Y126">
        <f ca="1">HYPGEOMDIST(Y$50,SampleCalc!$B$15,SampleCalc!$B$9*$Z126,SampleCalc!$B$9)+X126</f>
        <v>0.87125455126292317</v>
      </c>
      <c r="Z126">
        <v>0.17499999999999999</v>
      </c>
    </row>
    <row r="127" spans="5:26">
      <c r="E127">
        <f ca="1">HYPGEOMDIST(E$50,SampleCalc!$B$15,SampleCalc!$B$9*$Z127,SampleCalc!$B$9)</f>
        <v>1.1370937824253985E-9</v>
      </c>
      <c r="F127">
        <f ca="1">HYPGEOMDIST(F$50,SampleCalc!$B$15,SampleCalc!$B$9*$Z127,SampleCalc!$B$9)+E127</f>
        <v>3.1001896520843413E-8</v>
      </c>
      <c r="G127">
        <f ca="1">HYPGEOMDIST(G$50,SampleCalc!$B$15,SampleCalc!$B$9*$Z127,SampleCalc!$B$9)+F127</f>
        <v>4.1343988770089752E-7</v>
      </c>
      <c r="H127">
        <f ca="1">HYPGEOMDIST(H$50,SampleCalc!$B$15,SampleCalc!$B$9*$Z127,SampleCalc!$B$9)+G127</f>
        <v>3.5964394184598911E-6</v>
      </c>
      <c r="I127">
        <f ca="1">HYPGEOMDIST(I$50,SampleCalc!$B$15,SampleCalc!$B$9*$Z127,SampleCalc!$B$9)+H127</f>
        <v>2.2962165535507615E-5</v>
      </c>
      <c r="J127">
        <f ca="1">HYPGEOMDIST(J$50,SampleCalc!$B$15,SampleCalc!$B$9*$Z127,SampleCalc!$B$9)+I127</f>
        <v>1.148110379763625E-4</v>
      </c>
      <c r="K127">
        <f ca="1">HYPGEOMDIST(K$50,SampleCalc!$B$15,SampleCalc!$B$9*$Z127,SampleCalc!$B$9)+J127</f>
        <v>4.6846237242097552E-4</v>
      </c>
      <c r="L127">
        <f ca="1">HYPGEOMDIST(L$50,SampleCalc!$B$15,SampleCalc!$B$9*$Z127,SampleCalc!$B$9)+K127</f>
        <v>1.6051988045643738E-3</v>
      </c>
      <c r="M127">
        <f ca="1">HYPGEOMDIST(M$50,SampleCalc!$B$15,SampleCalc!$B$9*$Z127,SampleCalc!$B$9)+L127</f>
        <v>4.7181078033570615E-3</v>
      </c>
      <c r="N127">
        <f ca="1">HYPGEOMDIST(N$50,SampleCalc!$B$15,SampleCalc!$B$9*$Z127,SampleCalc!$B$9)+M127</f>
        <v>1.2094025785499795E-2</v>
      </c>
      <c r="O127">
        <f ca="1">HYPGEOMDIST(O$50,SampleCalc!$B$15,SampleCalc!$B$9*$Z127,SampleCalc!$B$9)+N127</f>
        <v>2.7400747322753806E-2</v>
      </c>
      <c r="P127">
        <f ca="1">HYPGEOMDIST(P$50,SampleCalc!$B$15,SampleCalc!$B$9*$Z127,SampleCalc!$B$9)+O127</f>
        <v>5.549418136368954E-2</v>
      </c>
      <c r="Q127">
        <f ca="1">HYPGEOMDIST(Q$50,SampleCalc!$B$15,SampleCalc!$B$9*$Z127,SampleCalc!$B$9)+P127</f>
        <v>0.10146266766167446</v>
      </c>
      <c r="R127">
        <f ca="1">HYPGEOMDIST(R$50,SampleCalc!$B$15,SampleCalc!$B$9*$Z127,SampleCalc!$B$9)+Q127</f>
        <v>0.16896883635102294</v>
      </c>
      <c r="S127">
        <f ca="1">HYPGEOMDIST(S$50,SampleCalc!$B$15,SampleCalc!$B$9*$Z127,SampleCalc!$B$9)+R127</f>
        <v>0.25844291664665919</v>
      </c>
      <c r="T127">
        <f ca="1">HYPGEOMDIST(T$50,SampleCalc!$B$15,SampleCalc!$B$9*$Z127,SampleCalc!$B$9)+S127</f>
        <v>0.36599147982932573</v>
      </c>
      <c r="U127">
        <f ca="1">HYPGEOMDIST(U$50,SampleCalc!$B$15,SampleCalc!$B$9*$Z127,SampleCalc!$B$9)+T127</f>
        <v>0.48371355574548791</v>
      </c>
      <c r="V127">
        <f ca="1">HYPGEOMDIST(V$50,SampleCalc!$B$15,SampleCalc!$B$9*$Z127,SampleCalc!$B$9)+U127</f>
        <v>0.60147709769754854</v>
      </c>
      <c r="W127">
        <f ca="1">HYPGEOMDIST(W$50,SampleCalc!$B$15,SampleCalc!$B$9*$Z127,SampleCalc!$B$9)+V127</f>
        <v>0.70947583517597212</v>
      </c>
      <c r="X127">
        <f ca="1">HYPGEOMDIST(X$50,SampleCalc!$B$15,SampleCalc!$B$9*$Z127,SampleCalc!$B$9)+W127</f>
        <v>0.80052364299377854</v>
      </c>
      <c r="Y127">
        <f ca="1">HYPGEOMDIST(Y$50,SampleCalc!$B$15,SampleCalc!$B$9*$Z127,SampleCalc!$B$9)+X127</f>
        <v>0.87125455126292317</v>
      </c>
      <c r="Z127">
        <v>0.17399999999999999</v>
      </c>
    </row>
    <row r="128" spans="5:26">
      <c r="E128">
        <f ca="1">HYPGEOMDIST(E$50,SampleCalc!$B$15,SampleCalc!$B$9*$Z128,SampleCalc!$B$9)</f>
        <v>1.4803673771198587E-9</v>
      </c>
      <c r="F128">
        <f ca="1">HYPGEOMDIST(F$50,SampleCalc!$B$15,SampleCalc!$B$9*$Z128,SampleCalc!$B$9)+E128</f>
        <v>3.9793574479005498E-8</v>
      </c>
      <c r="G128">
        <f ca="1">HYPGEOMDIST(G$50,SampleCalc!$B$15,SampleCalc!$B$9*$Z128,SampleCalc!$B$9)+F128</f>
        <v>5.2319849220982844E-7</v>
      </c>
      <c r="H128">
        <f ca="1">HYPGEOMDIST(H$50,SampleCalc!$B$15,SampleCalc!$B$9*$Z128,SampleCalc!$B$9)+G128</f>
        <v>4.4868176307379493E-6</v>
      </c>
      <c r="I128">
        <f ca="1">HYPGEOMDIST(I$50,SampleCalc!$B$15,SampleCalc!$B$9*$Z128,SampleCalc!$B$9)+H128</f>
        <v>2.8240836365441798E-5</v>
      </c>
      <c r="J128">
        <f ca="1">HYPGEOMDIST(J$50,SampleCalc!$B$15,SampleCalc!$B$9*$Z128,SampleCalc!$B$9)+I128</f>
        <v>1.3920078517943934E-4</v>
      </c>
      <c r="K128">
        <f ca="1">HYPGEOMDIST(K$50,SampleCalc!$B$15,SampleCalc!$B$9*$Z128,SampleCalc!$B$9)+J128</f>
        <v>5.5992392443251311E-4</v>
      </c>
      <c r="L128">
        <f ca="1">HYPGEOMDIST(L$50,SampleCalc!$B$15,SampleCalc!$B$9*$Z128,SampleCalc!$B$9)+K128</f>
        <v>1.8914433102004819E-3</v>
      </c>
      <c r="M128">
        <f ca="1">HYPGEOMDIST(M$50,SampleCalc!$B$15,SampleCalc!$B$9*$Z128,SampleCalc!$B$9)+L128</f>
        <v>5.4811338015097596E-3</v>
      </c>
      <c r="N128">
        <f ca="1">HYPGEOMDIST(N$50,SampleCalc!$B$15,SampleCalc!$B$9*$Z128,SampleCalc!$B$9)+M128</f>
        <v>1.3853419065643937E-2</v>
      </c>
      <c r="O128">
        <f ca="1">HYPGEOMDIST(O$50,SampleCalc!$B$15,SampleCalc!$B$9*$Z128,SampleCalc!$B$9)+N128</f>
        <v>3.0952790707239941E-2</v>
      </c>
      <c r="P128">
        <f ca="1">HYPGEOMDIST(P$50,SampleCalc!$B$15,SampleCalc!$B$9*$Z128,SampleCalc!$B$9)+O128</f>
        <v>6.1834662232377074E-2</v>
      </c>
      <c r="Q128">
        <f ca="1">HYPGEOMDIST(Q$50,SampleCalc!$B$15,SampleCalc!$B$9*$Z128,SampleCalc!$B$9)+P128</f>
        <v>0.11154979631640466</v>
      </c>
      <c r="R128">
        <f ca="1">HYPGEOMDIST(R$50,SampleCalc!$B$15,SampleCalc!$B$9*$Z128,SampleCalc!$B$9)+Q128</f>
        <v>0.18336696421468851</v>
      </c>
      <c r="S128">
        <f ca="1">HYPGEOMDIST(S$50,SampleCalc!$B$15,SampleCalc!$B$9*$Z128,SampleCalc!$B$9)+R128</f>
        <v>0.27698577236780864</v>
      </c>
      <c r="T128">
        <f ca="1">HYPGEOMDIST(T$50,SampleCalc!$B$15,SampleCalc!$B$9*$Z128,SampleCalc!$B$9)+S128</f>
        <v>0.38764151677942471</v>
      </c>
      <c r="U128">
        <f ca="1">HYPGEOMDIST(U$50,SampleCalc!$B$15,SampleCalc!$B$9*$Z128,SampleCalc!$B$9)+T128</f>
        <v>0.50672482256370677</v>
      </c>
      <c r="V128">
        <f ca="1">HYPGEOMDIST(V$50,SampleCalc!$B$15,SampleCalc!$B$9*$Z128,SampleCalc!$B$9)+U128</f>
        <v>0.62382166407239481</v>
      </c>
      <c r="W128">
        <f ca="1">HYPGEOMDIST(W$50,SampleCalc!$B$15,SampleCalc!$B$9*$Z128,SampleCalc!$B$9)+V128</f>
        <v>0.72935983918215985</v>
      </c>
      <c r="X128">
        <f ca="1">HYPGEOMDIST(X$50,SampleCalc!$B$15,SampleCalc!$B$9*$Z128,SampleCalc!$B$9)+W128</f>
        <v>0.81678362190622578</v>
      </c>
      <c r="Y128">
        <f ca="1">HYPGEOMDIST(Y$50,SampleCalc!$B$15,SampleCalc!$B$9*$Z128,SampleCalc!$B$9)+X128</f>
        <v>0.88350245253839388</v>
      </c>
      <c r="Z128">
        <v>0.17299999999999999</v>
      </c>
    </row>
    <row r="129" spans="5:26">
      <c r="E129">
        <f ca="1">HYPGEOMDIST(E$50,SampleCalc!$B$15,SampleCalc!$B$9*$Z129,SampleCalc!$B$9)</f>
        <v>1.4803673771198587E-9</v>
      </c>
      <c r="F129">
        <f ca="1">HYPGEOMDIST(F$50,SampleCalc!$B$15,SampleCalc!$B$9*$Z129,SampleCalc!$B$9)+E129</f>
        <v>3.9793574479005498E-8</v>
      </c>
      <c r="G129">
        <f ca="1">HYPGEOMDIST(G$50,SampleCalc!$B$15,SampleCalc!$B$9*$Z129,SampleCalc!$B$9)+F129</f>
        <v>5.2319849220982844E-7</v>
      </c>
      <c r="H129">
        <f ca="1">HYPGEOMDIST(H$50,SampleCalc!$B$15,SampleCalc!$B$9*$Z129,SampleCalc!$B$9)+G129</f>
        <v>4.4868176307379493E-6</v>
      </c>
      <c r="I129">
        <f ca="1">HYPGEOMDIST(I$50,SampleCalc!$B$15,SampleCalc!$B$9*$Z129,SampleCalc!$B$9)+H129</f>
        <v>2.8240836365441798E-5</v>
      </c>
      <c r="J129">
        <f ca="1">HYPGEOMDIST(J$50,SampleCalc!$B$15,SampleCalc!$B$9*$Z129,SampleCalc!$B$9)+I129</f>
        <v>1.3920078517943934E-4</v>
      </c>
      <c r="K129">
        <f ca="1">HYPGEOMDIST(K$50,SampleCalc!$B$15,SampleCalc!$B$9*$Z129,SampleCalc!$B$9)+J129</f>
        <v>5.5992392443251311E-4</v>
      </c>
      <c r="L129">
        <f ca="1">HYPGEOMDIST(L$50,SampleCalc!$B$15,SampleCalc!$B$9*$Z129,SampleCalc!$B$9)+K129</f>
        <v>1.8914433102004819E-3</v>
      </c>
      <c r="M129">
        <f ca="1">HYPGEOMDIST(M$50,SampleCalc!$B$15,SampleCalc!$B$9*$Z129,SampleCalc!$B$9)+L129</f>
        <v>5.4811338015097596E-3</v>
      </c>
      <c r="N129">
        <f ca="1">HYPGEOMDIST(N$50,SampleCalc!$B$15,SampleCalc!$B$9*$Z129,SampleCalc!$B$9)+M129</f>
        <v>1.3853419065643937E-2</v>
      </c>
      <c r="O129">
        <f ca="1">HYPGEOMDIST(O$50,SampleCalc!$B$15,SampleCalc!$B$9*$Z129,SampleCalc!$B$9)+N129</f>
        <v>3.0952790707239941E-2</v>
      </c>
      <c r="P129">
        <f ca="1">HYPGEOMDIST(P$50,SampleCalc!$B$15,SampleCalc!$B$9*$Z129,SampleCalc!$B$9)+O129</f>
        <v>6.1834662232377074E-2</v>
      </c>
      <c r="Q129">
        <f ca="1">HYPGEOMDIST(Q$50,SampleCalc!$B$15,SampleCalc!$B$9*$Z129,SampleCalc!$B$9)+P129</f>
        <v>0.11154979631640466</v>
      </c>
      <c r="R129">
        <f ca="1">HYPGEOMDIST(R$50,SampleCalc!$B$15,SampleCalc!$B$9*$Z129,SampleCalc!$B$9)+Q129</f>
        <v>0.18336696421468851</v>
      </c>
      <c r="S129">
        <f ca="1">HYPGEOMDIST(S$50,SampleCalc!$B$15,SampleCalc!$B$9*$Z129,SampleCalc!$B$9)+R129</f>
        <v>0.27698577236780864</v>
      </c>
      <c r="T129">
        <f ca="1">HYPGEOMDIST(T$50,SampleCalc!$B$15,SampleCalc!$B$9*$Z129,SampleCalc!$B$9)+S129</f>
        <v>0.38764151677942471</v>
      </c>
      <c r="U129">
        <f ca="1">HYPGEOMDIST(U$50,SampleCalc!$B$15,SampleCalc!$B$9*$Z129,SampleCalc!$B$9)+T129</f>
        <v>0.50672482256370677</v>
      </c>
      <c r="V129">
        <f ca="1">HYPGEOMDIST(V$50,SampleCalc!$B$15,SampleCalc!$B$9*$Z129,SampleCalc!$B$9)+U129</f>
        <v>0.62382166407239481</v>
      </c>
      <c r="W129">
        <f ca="1">HYPGEOMDIST(W$50,SampleCalc!$B$15,SampleCalc!$B$9*$Z129,SampleCalc!$B$9)+V129</f>
        <v>0.72935983918215985</v>
      </c>
      <c r="X129">
        <f ca="1">HYPGEOMDIST(X$50,SampleCalc!$B$15,SampleCalc!$B$9*$Z129,SampleCalc!$B$9)+W129</f>
        <v>0.81678362190622578</v>
      </c>
      <c r="Y129">
        <f ca="1">HYPGEOMDIST(Y$50,SampleCalc!$B$15,SampleCalc!$B$9*$Z129,SampleCalc!$B$9)+X129</f>
        <v>0.88350245253839388</v>
      </c>
      <c r="Z129">
        <v>0.17199999999999999</v>
      </c>
    </row>
    <row r="130" spans="5:26">
      <c r="E130">
        <f ca="1">HYPGEOMDIST(E$50,SampleCalc!$B$15,SampleCalc!$B$9*$Z130,SampleCalc!$B$9)</f>
        <v>1.9258697852813157E-9</v>
      </c>
      <c r="F130">
        <f ca="1">HYPGEOMDIST(F$50,SampleCalc!$B$15,SampleCalc!$B$9*$Z130,SampleCalc!$B$9)+E130</f>
        <v>5.1035549309954879E-8</v>
      </c>
      <c r="G130">
        <f ca="1">HYPGEOMDIST(G$50,SampleCalc!$B$15,SampleCalc!$B$9*$Z130,SampleCalc!$B$9)+F130</f>
        <v>6.614642761119724E-7</v>
      </c>
      <c r="H130">
        <f ca="1">HYPGEOMDIST(H$50,SampleCalc!$B$15,SampleCalc!$B$9*$Z130,SampleCalc!$B$9)+G130</f>
        <v>5.591655711421848E-6</v>
      </c>
      <c r="I130">
        <f ca="1">HYPGEOMDIST(I$50,SampleCalc!$B$15,SampleCalc!$B$9*$Z130,SampleCalc!$B$9)+H130</f>
        <v>3.4691996180209121E-5</v>
      </c>
      <c r="J130">
        <f ca="1">HYPGEOMDIST(J$50,SampleCalc!$B$15,SampleCalc!$B$9*$Z130,SampleCalc!$B$9)+I130</f>
        <v>1.6855356233663049E-4</v>
      </c>
      <c r="K130">
        <f ca="1">HYPGEOMDIST(K$50,SampleCalc!$B$15,SampleCalc!$B$9*$Z130,SampleCalc!$B$9)+J130</f>
        <v>6.6830340932060321E-4</v>
      </c>
      <c r="L130">
        <f ca="1">HYPGEOMDIST(L$50,SampleCalc!$B$15,SampleCalc!$B$9*$Z130,SampleCalc!$B$9)+K130</f>
        <v>2.2253680070664621E-3</v>
      </c>
      <c r="M130">
        <f ca="1">HYPGEOMDIST(M$50,SampleCalc!$B$15,SampleCalc!$B$9*$Z130,SampleCalc!$B$9)+L130</f>
        <v>6.3573031896168256E-3</v>
      </c>
      <c r="N130">
        <f ca="1">HYPGEOMDIST(N$50,SampleCalc!$B$15,SampleCalc!$B$9*$Z130,SampleCalc!$B$9)+M130</f>
        <v>1.5841718093736502E-2</v>
      </c>
      <c r="O130">
        <f ca="1">HYPGEOMDIST(O$50,SampleCalc!$B$15,SampleCalc!$B$9*$Z130,SampleCalc!$B$9)+N130</f>
        <v>3.4902797530222573E-2</v>
      </c>
      <c r="P130">
        <f ca="1">HYPGEOMDIST(P$50,SampleCalc!$B$15,SampleCalc!$B$9*$Z130,SampleCalc!$B$9)+O130</f>
        <v>6.8771657685962301E-2</v>
      </c>
      <c r="Q130">
        <f ca="1">HYPGEOMDIST(Q$50,SampleCalc!$B$15,SampleCalc!$B$9*$Z130,SampleCalc!$B$9)+P130</f>
        <v>0.12240587983591267</v>
      </c>
      <c r="R130">
        <f ca="1">HYPGEOMDIST(R$50,SampleCalc!$B$15,SampleCalc!$B$9*$Z130,SampleCalc!$B$9)+Q130</f>
        <v>0.19860723530938254</v>
      </c>
      <c r="S130">
        <f ca="1">HYPGEOMDIST(S$50,SampleCalc!$B$15,SampleCalc!$B$9*$Z130,SampleCalc!$B$9)+R130</f>
        <v>0.29628619290471858</v>
      </c>
      <c r="T130">
        <f ca="1">HYPGEOMDIST(T$50,SampleCalc!$B$15,SampleCalc!$B$9*$Z130,SampleCalc!$B$9)+S130</f>
        <v>0.40979655041370977</v>
      </c>
      <c r="U130">
        <f ca="1">HYPGEOMDIST(U$50,SampleCalc!$B$15,SampleCalc!$B$9*$Z130,SampleCalc!$B$9)+T130</f>
        <v>0.52987187262937741</v>
      </c>
      <c r="V130">
        <f ca="1">HYPGEOMDIST(V$50,SampleCalc!$B$15,SampleCalc!$B$9*$Z130,SampleCalc!$B$9)+U130</f>
        <v>0.64591104956048495</v>
      </c>
      <c r="W130">
        <f ca="1">HYPGEOMDIST(W$50,SampleCalc!$B$15,SampleCalc!$B$9*$Z130,SampleCalc!$B$9)+V130</f>
        <v>0.74867439583049988</v>
      </c>
      <c r="X130">
        <f ca="1">HYPGEOMDIST(X$50,SampleCalc!$B$15,SampleCalc!$B$9*$Z130,SampleCalc!$B$9)+W130</f>
        <v>0.83229962902998567</v>
      </c>
      <c r="Y130">
        <f ca="1">HYPGEOMDIST(Y$50,SampleCalc!$B$15,SampleCalc!$B$9*$Z130,SampleCalc!$B$9)+X130</f>
        <v>0.89498155161402493</v>
      </c>
      <c r="Z130">
        <v>0.17100000000000001</v>
      </c>
    </row>
    <row r="131" spans="5:26">
      <c r="E131">
        <f ca="1">HYPGEOMDIST(E$50,SampleCalc!$B$15,SampleCalc!$B$9*$Z131,SampleCalc!$B$9)</f>
        <v>1.9258697852813157E-9</v>
      </c>
      <c r="F131">
        <f ca="1">HYPGEOMDIST(F$50,SampleCalc!$B$15,SampleCalc!$B$9*$Z131,SampleCalc!$B$9)+E131</f>
        <v>5.1035549309954879E-8</v>
      </c>
      <c r="G131">
        <f ca="1">HYPGEOMDIST(G$50,SampleCalc!$B$15,SampleCalc!$B$9*$Z131,SampleCalc!$B$9)+F131</f>
        <v>6.614642761119724E-7</v>
      </c>
      <c r="H131">
        <f ca="1">HYPGEOMDIST(H$50,SampleCalc!$B$15,SampleCalc!$B$9*$Z131,SampleCalc!$B$9)+G131</f>
        <v>5.591655711421848E-6</v>
      </c>
      <c r="I131">
        <f ca="1">HYPGEOMDIST(I$50,SampleCalc!$B$15,SampleCalc!$B$9*$Z131,SampleCalc!$B$9)+H131</f>
        <v>3.4691996180209121E-5</v>
      </c>
      <c r="J131">
        <f ca="1">HYPGEOMDIST(J$50,SampleCalc!$B$15,SampleCalc!$B$9*$Z131,SampleCalc!$B$9)+I131</f>
        <v>1.6855356233663049E-4</v>
      </c>
      <c r="K131">
        <f ca="1">HYPGEOMDIST(K$50,SampleCalc!$B$15,SampleCalc!$B$9*$Z131,SampleCalc!$B$9)+J131</f>
        <v>6.6830340932060321E-4</v>
      </c>
      <c r="L131">
        <f ca="1">HYPGEOMDIST(L$50,SampleCalc!$B$15,SampleCalc!$B$9*$Z131,SampleCalc!$B$9)+K131</f>
        <v>2.2253680070664621E-3</v>
      </c>
      <c r="M131">
        <f ca="1">HYPGEOMDIST(M$50,SampleCalc!$B$15,SampleCalc!$B$9*$Z131,SampleCalc!$B$9)+L131</f>
        <v>6.3573031896168256E-3</v>
      </c>
      <c r="N131">
        <f ca="1">HYPGEOMDIST(N$50,SampleCalc!$B$15,SampleCalc!$B$9*$Z131,SampleCalc!$B$9)+M131</f>
        <v>1.5841718093736502E-2</v>
      </c>
      <c r="O131">
        <f ca="1">HYPGEOMDIST(O$50,SampleCalc!$B$15,SampleCalc!$B$9*$Z131,SampleCalc!$B$9)+N131</f>
        <v>3.4902797530222573E-2</v>
      </c>
      <c r="P131">
        <f ca="1">HYPGEOMDIST(P$50,SampleCalc!$B$15,SampleCalc!$B$9*$Z131,SampleCalc!$B$9)+O131</f>
        <v>6.8771657685962301E-2</v>
      </c>
      <c r="Q131">
        <f ca="1">HYPGEOMDIST(Q$50,SampleCalc!$B$15,SampleCalc!$B$9*$Z131,SampleCalc!$B$9)+P131</f>
        <v>0.12240587983591267</v>
      </c>
      <c r="R131">
        <f ca="1">HYPGEOMDIST(R$50,SampleCalc!$B$15,SampleCalc!$B$9*$Z131,SampleCalc!$B$9)+Q131</f>
        <v>0.19860723530938254</v>
      </c>
      <c r="S131">
        <f ca="1">HYPGEOMDIST(S$50,SampleCalc!$B$15,SampleCalc!$B$9*$Z131,SampleCalc!$B$9)+R131</f>
        <v>0.29628619290471858</v>
      </c>
      <c r="T131">
        <f ca="1">HYPGEOMDIST(T$50,SampleCalc!$B$15,SampleCalc!$B$9*$Z131,SampleCalc!$B$9)+S131</f>
        <v>0.40979655041370977</v>
      </c>
      <c r="U131">
        <f ca="1">HYPGEOMDIST(U$50,SampleCalc!$B$15,SampleCalc!$B$9*$Z131,SampleCalc!$B$9)+T131</f>
        <v>0.52987187262937741</v>
      </c>
      <c r="V131">
        <f ca="1">HYPGEOMDIST(V$50,SampleCalc!$B$15,SampleCalc!$B$9*$Z131,SampleCalc!$B$9)+U131</f>
        <v>0.64591104956048495</v>
      </c>
      <c r="W131">
        <f ca="1">HYPGEOMDIST(W$50,SampleCalc!$B$15,SampleCalc!$B$9*$Z131,SampleCalc!$B$9)+V131</f>
        <v>0.74867439583049988</v>
      </c>
      <c r="X131">
        <f ca="1">HYPGEOMDIST(X$50,SampleCalc!$B$15,SampleCalc!$B$9*$Z131,SampleCalc!$B$9)+W131</f>
        <v>0.83229962902998567</v>
      </c>
      <c r="Y131">
        <f ca="1">HYPGEOMDIST(Y$50,SampleCalc!$B$15,SampleCalc!$B$9*$Z131,SampleCalc!$B$9)+X131</f>
        <v>0.89498155161402493</v>
      </c>
      <c r="Z131">
        <v>0.17</v>
      </c>
    </row>
    <row r="132" spans="5:26">
      <c r="E132">
        <f ca="1">HYPGEOMDIST(E$50,SampleCalc!$B$15,SampleCalc!$B$9*$Z132,SampleCalc!$B$9)</f>
        <v>2.503630720865711E-9</v>
      </c>
      <c r="F132">
        <f ca="1">HYPGEOMDIST(F$50,SampleCalc!$B$15,SampleCalc!$B$9*$Z132,SampleCalc!$B$9)+E132</f>
        <v>6.5398578175884744E-8</v>
      </c>
      <c r="G132">
        <f ca="1">HYPGEOMDIST(G$50,SampleCalc!$B$15,SampleCalc!$B$9*$Z132,SampleCalc!$B$9)+F132</f>
        <v>8.3547103265232097E-7</v>
      </c>
      <c r="H132">
        <f ca="1">HYPGEOMDIST(H$50,SampleCalc!$B$15,SampleCalc!$B$9*$Z132,SampleCalc!$B$9)+G132</f>
        <v>6.9610834981883134E-6</v>
      </c>
      <c r="I132">
        <f ca="1">HYPGEOMDIST(I$50,SampleCalc!$B$15,SampleCalc!$B$9*$Z132,SampleCalc!$B$9)+H132</f>
        <v>4.2566205954116255E-5</v>
      </c>
      <c r="J132">
        <f ca="1">HYPGEOMDIST(J$50,SampleCalc!$B$15,SampleCalc!$B$9*$Z132,SampleCalc!$B$9)+I132</f>
        <v>2.0383002212373438E-4</v>
      </c>
      <c r="K132">
        <f ca="1">HYPGEOMDIST(K$50,SampleCalc!$B$15,SampleCalc!$B$9*$Z132,SampleCalc!$B$9)+J132</f>
        <v>7.9653225854673304E-4</v>
      </c>
      <c r="L132">
        <f ca="1">HYPGEOMDIST(L$50,SampleCalc!$B$15,SampleCalc!$B$9*$Z132,SampleCalc!$B$9)+K132</f>
        <v>2.614256024247673E-3</v>
      </c>
      <c r="M132">
        <f ca="1">HYPGEOMDIST(M$50,SampleCalc!$B$15,SampleCalc!$B$9*$Z132,SampleCalc!$B$9)+L132</f>
        <v>7.3615353559353825E-3</v>
      </c>
      <c r="N132">
        <f ca="1">HYPGEOMDIST(N$50,SampleCalc!$B$15,SampleCalc!$B$9*$Z132,SampleCalc!$B$9)+M132</f>
        <v>1.8084198027440733E-2</v>
      </c>
      <c r="O132">
        <f ca="1">HYPGEOMDIST(O$50,SampleCalc!$B$15,SampleCalc!$B$9*$Z132,SampleCalc!$B$9)+N132</f>
        <v>3.9285826491553585E-2</v>
      </c>
      <c r="P132">
        <f ca="1">HYPGEOMDIST(P$50,SampleCalc!$B$15,SampleCalc!$B$9*$Z132,SampleCalc!$B$9)+O132</f>
        <v>7.6343547871837641E-2</v>
      </c>
      <c r="Q132">
        <f ca="1">HYPGEOMDIST(Q$50,SampleCalc!$B$15,SampleCalc!$B$9*$Z132,SampleCalc!$B$9)+P132</f>
        <v>0.13406020479067868</v>
      </c>
      <c r="R132">
        <f ca="1">HYPGEOMDIST(R$50,SampleCalc!$B$15,SampleCalc!$B$9*$Z132,SampleCalc!$B$9)+Q132</f>
        <v>0.214695534207438</v>
      </c>
      <c r="S132">
        <f ca="1">HYPGEOMDIST(S$50,SampleCalc!$B$15,SampleCalc!$B$9*$Z132,SampleCalc!$B$9)+R132</f>
        <v>0.31631743246512883</v>
      </c>
      <c r="T132">
        <f ca="1">HYPGEOMDIST(T$50,SampleCalc!$B$15,SampleCalc!$B$9*$Z132,SampleCalc!$B$9)+S132</f>
        <v>0.43239896400724709</v>
      </c>
      <c r="U132">
        <f ca="1">HYPGEOMDIST(U$50,SampleCalc!$B$15,SampleCalc!$B$9*$Z132,SampleCalc!$B$9)+T132</f>
        <v>0.55307970801559891</v>
      </c>
      <c r="V132">
        <f ca="1">HYPGEOMDIST(V$50,SampleCalc!$B$15,SampleCalc!$B$9*$Z132,SampleCalc!$B$9)+U132</f>
        <v>0.6676726993588411</v>
      </c>
      <c r="W132">
        <f ca="1">HYPGEOMDIST(W$50,SampleCalc!$B$15,SampleCalc!$B$9*$Z132,SampleCalc!$B$9)+V132</f>
        <v>0.76736709501626732</v>
      </c>
      <c r="X132">
        <f ca="1">HYPGEOMDIST(X$50,SampleCalc!$B$15,SampleCalc!$B$9*$Z132,SampleCalc!$B$9)+W132</f>
        <v>0.84704831669681846</v>
      </c>
      <c r="Y132">
        <f ca="1">HYPGEOMDIST(Y$50,SampleCalc!$B$15,SampleCalc!$B$9*$Z132,SampleCalc!$B$9)+X132</f>
        <v>0.90569603941904764</v>
      </c>
      <c r="Z132">
        <v>0.16900000000000001</v>
      </c>
    </row>
    <row r="133" spans="5:26">
      <c r="E133">
        <f ca="1">HYPGEOMDIST(E$50,SampleCalc!$B$15,SampleCalc!$B$9*$Z133,SampleCalc!$B$9)</f>
        <v>2.503630720865711E-9</v>
      </c>
      <c r="F133">
        <f ca="1">HYPGEOMDIST(F$50,SampleCalc!$B$15,SampleCalc!$B$9*$Z133,SampleCalc!$B$9)+E133</f>
        <v>6.5398578175884744E-8</v>
      </c>
      <c r="G133">
        <f ca="1">HYPGEOMDIST(G$50,SampleCalc!$B$15,SampleCalc!$B$9*$Z133,SampleCalc!$B$9)+F133</f>
        <v>8.3547103265232097E-7</v>
      </c>
      <c r="H133">
        <f ca="1">HYPGEOMDIST(H$50,SampleCalc!$B$15,SampleCalc!$B$9*$Z133,SampleCalc!$B$9)+G133</f>
        <v>6.9610834981883134E-6</v>
      </c>
      <c r="I133">
        <f ca="1">HYPGEOMDIST(I$50,SampleCalc!$B$15,SampleCalc!$B$9*$Z133,SampleCalc!$B$9)+H133</f>
        <v>4.2566205954116255E-5</v>
      </c>
      <c r="J133">
        <f ca="1">HYPGEOMDIST(J$50,SampleCalc!$B$15,SampleCalc!$B$9*$Z133,SampleCalc!$B$9)+I133</f>
        <v>2.0383002212373438E-4</v>
      </c>
      <c r="K133">
        <f ca="1">HYPGEOMDIST(K$50,SampleCalc!$B$15,SampleCalc!$B$9*$Z133,SampleCalc!$B$9)+J133</f>
        <v>7.9653225854673304E-4</v>
      </c>
      <c r="L133">
        <f ca="1">HYPGEOMDIST(L$50,SampleCalc!$B$15,SampleCalc!$B$9*$Z133,SampleCalc!$B$9)+K133</f>
        <v>2.614256024247673E-3</v>
      </c>
      <c r="M133">
        <f ca="1">HYPGEOMDIST(M$50,SampleCalc!$B$15,SampleCalc!$B$9*$Z133,SampleCalc!$B$9)+L133</f>
        <v>7.3615353559353825E-3</v>
      </c>
      <c r="N133">
        <f ca="1">HYPGEOMDIST(N$50,SampleCalc!$B$15,SampleCalc!$B$9*$Z133,SampleCalc!$B$9)+M133</f>
        <v>1.8084198027440733E-2</v>
      </c>
      <c r="O133">
        <f ca="1">HYPGEOMDIST(O$50,SampleCalc!$B$15,SampleCalc!$B$9*$Z133,SampleCalc!$B$9)+N133</f>
        <v>3.9285826491553585E-2</v>
      </c>
      <c r="P133">
        <f ca="1">HYPGEOMDIST(P$50,SampleCalc!$B$15,SampleCalc!$B$9*$Z133,SampleCalc!$B$9)+O133</f>
        <v>7.6343547871837641E-2</v>
      </c>
      <c r="Q133">
        <f ca="1">HYPGEOMDIST(Q$50,SampleCalc!$B$15,SampleCalc!$B$9*$Z133,SampleCalc!$B$9)+P133</f>
        <v>0.13406020479067868</v>
      </c>
      <c r="R133">
        <f ca="1">HYPGEOMDIST(R$50,SampleCalc!$B$15,SampleCalc!$B$9*$Z133,SampleCalc!$B$9)+Q133</f>
        <v>0.214695534207438</v>
      </c>
      <c r="S133">
        <f ca="1">HYPGEOMDIST(S$50,SampleCalc!$B$15,SampleCalc!$B$9*$Z133,SampleCalc!$B$9)+R133</f>
        <v>0.31631743246512883</v>
      </c>
      <c r="T133">
        <f ca="1">HYPGEOMDIST(T$50,SampleCalc!$B$15,SampleCalc!$B$9*$Z133,SampleCalc!$B$9)+S133</f>
        <v>0.43239896400724709</v>
      </c>
      <c r="U133">
        <f ca="1">HYPGEOMDIST(U$50,SampleCalc!$B$15,SampleCalc!$B$9*$Z133,SampleCalc!$B$9)+T133</f>
        <v>0.55307970801559891</v>
      </c>
      <c r="V133">
        <f ca="1">HYPGEOMDIST(V$50,SampleCalc!$B$15,SampleCalc!$B$9*$Z133,SampleCalc!$B$9)+U133</f>
        <v>0.6676726993588411</v>
      </c>
      <c r="W133">
        <f ca="1">HYPGEOMDIST(W$50,SampleCalc!$B$15,SampleCalc!$B$9*$Z133,SampleCalc!$B$9)+V133</f>
        <v>0.76736709501626732</v>
      </c>
      <c r="X133">
        <f ca="1">HYPGEOMDIST(X$50,SampleCalc!$B$15,SampleCalc!$B$9*$Z133,SampleCalc!$B$9)+W133</f>
        <v>0.84704831669681846</v>
      </c>
      <c r="Y133">
        <f ca="1">HYPGEOMDIST(Y$50,SampleCalc!$B$15,SampleCalc!$B$9*$Z133,SampleCalc!$B$9)+X133</f>
        <v>0.90569603941904764</v>
      </c>
      <c r="Z133">
        <v>0.16800000000000001</v>
      </c>
    </row>
    <row r="134" spans="5:26">
      <c r="E134">
        <f ca="1">HYPGEOMDIST(E$50,SampleCalc!$B$15,SampleCalc!$B$9*$Z134,SampleCalc!$B$9)</f>
        <v>3.2523800953302246E-9</v>
      </c>
      <c r="F134">
        <f ca="1">HYPGEOMDIST(F$50,SampleCalc!$B$15,SampleCalc!$B$9*$Z134,SampleCalc!$B$9)+E134</f>
        <v>8.3733636615799865E-8</v>
      </c>
      <c r="G134">
        <f ca="1">HYPGEOMDIST(G$50,SampleCalc!$B$15,SampleCalc!$B$9*$Z134,SampleCalc!$B$9)+F134</f>
        <v>1.0542429064214641E-6</v>
      </c>
      <c r="H134">
        <f ca="1">HYPGEOMDIST(H$50,SampleCalc!$B$15,SampleCalc!$B$9*$Z134,SampleCalc!$B$9)+G134</f>
        <v>8.6565655198991655E-6</v>
      </c>
      <c r="I134">
        <f ca="1">HYPGEOMDIST(I$50,SampleCalc!$B$15,SampleCalc!$B$9*$Z134,SampleCalc!$B$9)+H134</f>
        <v>5.2165242630879194E-5</v>
      </c>
      <c r="J134">
        <f ca="1">HYPGEOMDIST(J$50,SampleCalc!$B$15,SampleCalc!$B$9*$Z134,SampleCalc!$B$9)+I134</f>
        <v>2.4616589615394864E-4</v>
      </c>
      <c r="K134">
        <f ca="1">HYPGEOMDIST(K$50,SampleCalc!$B$15,SampleCalc!$B$9*$Z134,SampleCalc!$B$9)+J134</f>
        <v>9.4800923902181133E-4</v>
      </c>
      <c r="L134">
        <f ca="1">HYPGEOMDIST(L$50,SampleCalc!$B$15,SampleCalc!$B$9*$Z134,SampleCalc!$B$9)+K134</f>
        <v>3.0663778653607894E-3</v>
      </c>
      <c r="M134">
        <f ca="1">HYPGEOMDIST(M$50,SampleCalc!$B$15,SampleCalc!$B$9*$Z134,SampleCalc!$B$9)+L134</f>
        <v>8.5103920707395204E-3</v>
      </c>
      <c r="N134">
        <f ca="1">HYPGEOMDIST(N$50,SampleCalc!$B$15,SampleCalc!$B$9*$Z134,SampleCalc!$B$9)+M134</f>
        <v>2.0608201416025589E-2</v>
      </c>
      <c r="O134">
        <f ca="1">HYPGEOMDIST(O$50,SampleCalc!$B$15,SampleCalc!$B$9*$Z134,SampleCalc!$B$9)+N134</f>
        <v>4.4138623338971728E-2</v>
      </c>
      <c r="P134">
        <f ca="1">HYPGEOMDIST(P$50,SampleCalc!$B$15,SampleCalc!$B$9*$Z134,SampleCalc!$B$9)+O134</f>
        <v>8.458878457452923E-2</v>
      </c>
      <c r="Q134">
        <f ca="1">HYPGEOMDIST(Q$50,SampleCalc!$B$15,SampleCalc!$B$9*$Z134,SampleCalc!$B$9)+P134</f>
        <v>0.14653948196232008</v>
      </c>
      <c r="R134">
        <f ca="1">HYPGEOMDIST(R$50,SampleCalc!$B$15,SampleCalc!$B$9*$Z134,SampleCalc!$B$9)+Q134</f>
        <v>0.2316325172503865</v>
      </c>
      <c r="S134">
        <f ca="1">HYPGEOMDIST(S$50,SampleCalc!$B$15,SampleCalc!$B$9*$Z134,SampleCalc!$B$9)+R134</f>
        <v>0.33704627738336407</v>
      </c>
      <c r="T134">
        <f ca="1">HYPGEOMDIST(T$50,SampleCalc!$B$15,SampleCalc!$B$9*$Z134,SampleCalc!$B$9)+S134</f>
        <v>0.45538577238979017</v>
      </c>
      <c r="U134">
        <f ca="1">HYPGEOMDIST(U$50,SampleCalc!$B$15,SampleCalc!$B$9*$Z134,SampleCalc!$B$9)+T134</f>
        <v>0.57627114673982649</v>
      </c>
      <c r="V134">
        <f ca="1">HYPGEOMDIST(V$50,SampleCalc!$B$15,SampleCalc!$B$9*$Z134,SampleCalc!$B$9)+U134</f>
        <v>0.68903578414257527</v>
      </c>
      <c r="W134">
        <f ca="1">HYPGEOMDIST(W$50,SampleCalc!$B$15,SampleCalc!$B$9*$Z134,SampleCalc!$B$9)+V134</f>
        <v>0.78539022849162998</v>
      </c>
      <c r="X134">
        <f ca="1">HYPGEOMDIST(X$50,SampleCalc!$B$15,SampleCalc!$B$9*$Z134,SampleCalc!$B$9)+W134</f>
        <v>0.86101206020211096</v>
      </c>
      <c r="Y134">
        <f ca="1">HYPGEOMDIST(Y$50,SampleCalc!$B$15,SampleCalc!$B$9*$Z134,SampleCalc!$B$9)+X134</f>
        <v>0.91565493214774885</v>
      </c>
      <c r="Z134">
        <v>0.16700000000000001</v>
      </c>
    </row>
    <row r="135" spans="5:26">
      <c r="E135">
        <f ca="1">HYPGEOMDIST(E$50,SampleCalc!$B$15,SampleCalc!$B$9*$Z135,SampleCalc!$B$9)</f>
        <v>3.2523800953302246E-9</v>
      </c>
      <c r="F135">
        <f ca="1">HYPGEOMDIST(F$50,SampleCalc!$B$15,SampleCalc!$B$9*$Z135,SampleCalc!$B$9)+E135</f>
        <v>8.3733636615799865E-8</v>
      </c>
      <c r="G135">
        <f ca="1">HYPGEOMDIST(G$50,SampleCalc!$B$15,SampleCalc!$B$9*$Z135,SampleCalc!$B$9)+F135</f>
        <v>1.0542429064214641E-6</v>
      </c>
      <c r="H135">
        <f ca="1">HYPGEOMDIST(H$50,SampleCalc!$B$15,SampleCalc!$B$9*$Z135,SampleCalc!$B$9)+G135</f>
        <v>8.6565655198991655E-6</v>
      </c>
      <c r="I135">
        <f ca="1">HYPGEOMDIST(I$50,SampleCalc!$B$15,SampleCalc!$B$9*$Z135,SampleCalc!$B$9)+H135</f>
        <v>5.2165242630879194E-5</v>
      </c>
      <c r="J135">
        <f ca="1">HYPGEOMDIST(J$50,SampleCalc!$B$15,SampleCalc!$B$9*$Z135,SampleCalc!$B$9)+I135</f>
        <v>2.4616589615394864E-4</v>
      </c>
      <c r="K135">
        <f ca="1">HYPGEOMDIST(K$50,SampleCalc!$B$15,SampleCalc!$B$9*$Z135,SampleCalc!$B$9)+J135</f>
        <v>9.4800923902181133E-4</v>
      </c>
      <c r="L135">
        <f ca="1">HYPGEOMDIST(L$50,SampleCalc!$B$15,SampleCalc!$B$9*$Z135,SampleCalc!$B$9)+K135</f>
        <v>3.0663778653607894E-3</v>
      </c>
      <c r="M135">
        <f ca="1">HYPGEOMDIST(M$50,SampleCalc!$B$15,SampleCalc!$B$9*$Z135,SampleCalc!$B$9)+L135</f>
        <v>8.5103920707395204E-3</v>
      </c>
      <c r="N135">
        <f ca="1">HYPGEOMDIST(N$50,SampleCalc!$B$15,SampleCalc!$B$9*$Z135,SampleCalc!$B$9)+M135</f>
        <v>2.0608201416025589E-2</v>
      </c>
      <c r="O135">
        <f ca="1">HYPGEOMDIST(O$50,SampleCalc!$B$15,SampleCalc!$B$9*$Z135,SampleCalc!$B$9)+N135</f>
        <v>4.4138623338971728E-2</v>
      </c>
      <c r="P135">
        <f ca="1">HYPGEOMDIST(P$50,SampleCalc!$B$15,SampleCalc!$B$9*$Z135,SampleCalc!$B$9)+O135</f>
        <v>8.458878457452923E-2</v>
      </c>
      <c r="Q135">
        <f ca="1">HYPGEOMDIST(Q$50,SampleCalc!$B$15,SampleCalc!$B$9*$Z135,SampleCalc!$B$9)+P135</f>
        <v>0.14653948196232008</v>
      </c>
      <c r="R135">
        <f ca="1">HYPGEOMDIST(R$50,SampleCalc!$B$15,SampleCalc!$B$9*$Z135,SampleCalc!$B$9)+Q135</f>
        <v>0.2316325172503865</v>
      </c>
      <c r="S135">
        <f ca="1">HYPGEOMDIST(S$50,SampleCalc!$B$15,SampleCalc!$B$9*$Z135,SampleCalc!$B$9)+R135</f>
        <v>0.33704627738336407</v>
      </c>
      <c r="T135">
        <f ca="1">HYPGEOMDIST(T$50,SampleCalc!$B$15,SampleCalc!$B$9*$Z135,SampleCalc!$B$9)+S135</f>
        <v>0.45538577238979017</v>
      </c>
      <c r="U135">
        <f ca="1">HYPGEOMDIST(U$50,SampleCalc!$B$15,SampleCalc!$B$9*$Z135,SampleCalc!$B$9)+T135</f>
        <v>0.57627114673982649</v>
      </c>
      <c r="V135">
        <f ca="1">HYPGEOMDIST(V$50,SampleCalc!$B$15,SampleCalc!$B$9*$Z135,SampleCalc!$B$9)+U135</f>
        <v>0.68903578414257527</v>
      </c>
      <c r="W135">
        <f ca="1">HYPGEOMDIST(W$50,SampleCalc!$B$15,SampleCalc!$B$9*$Z135,SampleCalc!$B$9)+V135</f>
        <v>0.78539022849162998</v>
      </c>
      <c r="X135">
        <f ca="1">HYPGEOMDIST(X$50,SampleCalc!$B$15,SampleCalc!$B$9*$Z135,SampleCalc!$B$9)+W135</f>
        <v>0.86101206020211096</v>
      </c>
      <c r="Y135">
        <f ca="1">HYPGEOMDIST(Y$50,SampleCalc!$B$15,SampleCalc!$B$9*$Z135,SampleCalc!$B$9)+X135</f>
        <v>0.91565493214774885</v>
      </c>
      <c r="Z135">
        <v>0.16600000000000001</v>
      </c>
    </row>
    <row r="136" spans="5:26">
      <c r="E136">
        <f ca="1">HYPGEOMDIST(E$50,SampleCalc!$B$15,SampleCalc!$B$9*$Z136,SampleCalc!$B$9)</f>
        <v>4.2220337883479308E-9</v>
      </c>
      <c r="F136">
        <f ca="1">HYPGEOMDIST(F$50,SampleCalc!$B$15,SampleCalc!$B$9*$Z136,SampleCalc!$B$9)+E136</f>
        <v>1.0711940215328584E-7</v>
      </c>
      <c r="G136">
        <f ca="1">HYPGEOMDIST(G$50,SampleCalc!$B$15,SampleCalc!$B$9*$Z136,SampleCalc!$B$9)+F136</f>
        <v>1.3290256514869231E-6</v>
      </c>
      <c r="H136">
        <f ca="1">HYPGEOMDIST(H$50,SampleCalc!$B$15,SampleCalc!$B$9*$Z136,SampleCalc!$B$9)+G136</f>
        <v>1.0753369236090965E-5</v>
      </c>
      <c r="I136">
        <f ca="1">HYPGEOMDIST(I$50,SampleCalc!$B$15,SampleCalc!$B$9*$Z136,SampleCalc!$B$9)+H136</f>
        <v>6.385202898769065E-5</v>
      </c>
      <c r="J136">
        <f ca="1">HYPGEOMDIST(J$50,SampleCalc!$B$15,SampleCalc!$B$9*$Z136,SampleCalc!$B$9)+I136</f>
        <v>2.9690155949379409E-4</v>
      </c>
      <c r="K136">
        <f ca="1">HYPGEOMDIST(K$50,SampleCalc!$B$15,SampleCalc!$B$9*$Z136,SampleCalc!$B$9)+J136</f>
        <v>1.1266668340142558E-3</v>
      </c>
      <c r="L136">
        <f ca="1">HYPGEOMDIST(L$50,SampleCalc!$B$15,SampleCalc!$B$9*$Z136,SampleCalc!$B$9)+K136</f>
        <v>3.5911021261201817E-3</v>
      </c>
      <c r="M136">
        <f ca="1">HYPGEOMDIST(M$50,SampleCalc!$B$15,SampleCalc!$B$9*$Z136,SampleCalc!$B$9)+L136</f>
        <v>9.8222027226380071E-3</v>
      </c>
      <c r="N136">
        <f ca="1">HYPGEOMDIST(N$50,SampleCalc!$B$15,SampleCalc!$B$9*$Z136,SampleCalc!$B$9)+M136</f>
        <v>2.3443192009151632E-2</v>
      </c>
      <c r="O136">
        <f ca="1">HYPGEOMDIST(O$50,SampleCalc!$B$15,SampleCalc!$B$9*$Z136,SampleCalc!$B$9)+N136</f>
        <v>4.9499488081033591E-2</v>
      </c>
      <c r="P136">
        <f ca="1">HYPGEOMDIST(P$50,SampleCalc!$B$15,SampleCalc!$B$9*$Z136,SampleCalc!$B$9)+O136</f>
        <v>9.3545511907703896E-2</v>
      </c>
      <c r="Q136">
        <f ca="1">HYPGEOMDIST(Q$50,SampleCalc!$B$15,SampleCalc!$B$9*$Z136,SampleCalc!$B$9)+P136</f>
        <v>0.15986730676647512</v>
      </c>
      <c r="R136">
        <f ca="1">HYPGEOMDIST(R$50,SampleCalc!$B$15,SampleCalc!$B$9*$Z136,SampleCalc!$B$9)+Q136</f>
        <v>0.24941315148968385</v>
      </c>
      <c r="S136">
        <f ca="1">HYPGEOMDIST(S$50,SampleCalc!$B$15,SampleCalc!$B$9*$Z136,SampleCalc!$B$9)+R136</f>
        <v>0.35843293310741697</v>
      </c>
      <c r="T136">
        <f ca="1">HYPGEOMDIST(T$50,SampleCalc!$B$15,SampleCalc!$B$9*$Z136,SampleCalc!$B$9)+S136</f>
        <v>0.47868897708377323</v>
      </c>
      <c r="U136">
        <f ca="1">HYPGEOMDIST(U$50,SampleCalc!$B$15,SampleCalc!$B$9*$Z136,SampleCalc!$B$9)+T136</f>
        <v>0.59936751825605228</v>
      </c>
      <c r="V136">
        <f ca="1">HYPGEOMDIST(V$50,SampleCalc!$B$15,SampleCalc!$B$9*$Z136,SampleCalc!$B$9)+U136</f>
        <v>0.70993192870020161</v>
      </c>
      <c r="W136">
        <f ca="1">HYPGEOMDIST(W$50,SampleCalc!$B$15,SampleCalc!$B$9*$Z136,SampleCalc!$B$9)+V136</f>
        <v>0.80270125020848704</v>
      </c>
      <c r="X136">
        <f ca="1">HYPGEOMDIST(X$50,SampleCalc!$B$15,SampleCalc!$B$9*$Z136,SampleCalc!$B$9)+W136</f>
        <v>0.8741790172974454</v>
      </c>
      <c r="Y136">
        <f ca="1">HYPGEOMDIST(Y$50,SampleCalc!$B$15,SampleCalc!$B$9*$Z136,SampleCalc!$B$9)+X136</f>
        <v>0.92487180211448294</v>
      </c>
      <c r="Z136">
        <v>0.16500000000000001</v>
      </c>
    </row>
    <row r="137" spans="5:26">
      <c r="E137">
        <f ca="1">HYPGEOMDIST(E$50,SampleCalc!$B$15,SampleCalc!$B$9*$Z137,SampleCalc!$B$9)</f>
        <v>4.2220337883479308E-9</v>
      </c>
      <c r="F137">
        <f ca="1">HYPGEOMDIST(F$50,SampleCalc!$B$15,SampleCalc!$B$9*$Z137,SampleCalc!$B$9)+E137</f>
        <v>1.0711940215328584E-7</v>
      </c>
      <c r="G137">
        <f ca="1">HYPGEOMDIST(G$50,SampleCalc!$B$15,SampleCalc!$B$9*$Z137,SampleCalc!$B$9)+F137</f>
        <v>1.3290256514869231E-6</v>
      </c>
      <c r="H137">
        <f ca="1">HYPGEOMDIST(H$50,SampleCalc!$B$15,SampleCalc!$B$9*$Z137,SampleCalc!$B$9)+G137</f>
        <v>1.0753369236090965E-5</v>
      </c>
      <c r="I137">
        <f ca="1">HYPGEOMDIST(I$50,SampleCalc!$B$15,SampleCalc!$B$9*$Z137,SampleCalc!$B$9)+H137</f>
        <v>6.385202898769065E-5</v>
      </c>
      <c r="J137">
        <f ca="1">HYPGEOMDIST(J$50,SampleCalc!$B$15,SampleCalc!$B$9*$Z137,SampleCalc!$B$9)+I137</f>
        <v>2.9690155949379409E-4</v>
      </c>
      <c r="K137">
        <f ca="1">HYPGEOMDIST(K$50,SampleCalc!$B$15,SampleCalc!$B$9*$Z137,SampleCalc!$B$9)+J137</f>
        <v>1.1266668340142558E-3</v>
      </c>
      <c r="L137">
        <f ca="1">HYPGEOMDIST(L$50,SampleCalc!$B$15,SampleCalc!$B$9*$Z137,SampleCalc!$B$9)+K137</f>
        <v>3.5911021261201817E-3</v>
      </c>
      <c r="M137">
        <f ca="1">HYPGEOMDIST(M$50,SampleCalc!$B$15,SampleCalc!$B$9*$Z137,SampleCalc!$B$9)+L137</f>
        <v>9.8222027226380071E-3</v>
      </c>
      <c r="N137">
        <f ca="1">HYPGEOMDIST(N$50,SampleCalc!$B$15,SampleCalc!$B$9*$Z137,SampleCalc!$B$9)+M137</f>
        <v>2.3443192009151632E-2</v>
      </c>
      <c r="O137">
        <f ca="1">HYPGEOMDIST(O$50,SampleCalc!$B$15,SampleCalc!$B$9*$Z137,SampleCalc!$B$9)+N137</f>
        <v>4.9499488081033591E-2</v>
      </c>
      <c r="P137">
        <f ca="1">HYPGEOMDIST(P$50,SampleCalc!$B$15,SampleCalc!$B$9*$Z137,SampleCalc!$B$9)+O137</f>
        <v>9.3545511907703896E-2</v>
      </c>
      <c r="Q137">
        <f ca="1">HYPGEOMDIST(Q$50,SampleCalc!$B$15,SampleCalc!$B$9*$Z137,SampleCalc!$B$9)+P137</f>
        <v>0.15986730676647512</v>
      </c>
      <c r="R137">
        <f ca="1">HYPGEOMDIST(R$50,SampleCalc!$B$15,SampleCalc!$B$9*$Z137,SampleCalc!$B$9)+Q137</f>
        <v>0.24941315148968385</v>
      </c>
      <c r="S137">
        <f ca="1">HYPGEOMDIST(S$50,SampleCalc!$B$15,SampleCalc!$B$9*$Z137,SampleCalc!$B$9)+R137</f>
        <v>0.35843293310741697</v>
      </c>
      <c r="T137">
        <f ca="1">HYPGEOMDIST(T$50,SampleCalc!$B$15,SampleCalc!$B$9*$Z137,SampleCalc!$B$9)+S137</f>
        <v>0.47868897708377323</v>
      </c>
      <c r="U137">
        <f ca="1">HYPGEOMDIST(U$50,SampleCalc!$B$15,SampleCalc!$B$9*$Z137,SampleCalc!$B$9)+T137</f>
        <v>0.59936751825605228</v>
      </c>
      <c r="V137">
        <f ca="1">HYPGEOMDIST(V$50,SampleCalc!$B$15,SampleCalc!$B$9*$Z137,SampleCalc!$B$9)+U137</f>
        <v>0.70993192870020161</v>
      </c>
      <c r="W137">
        <f ca="1">HYPGEOMDIST(W$50,SampleCalc!$B$15,SampleCalc!$B$9*$Z137,SampleCalc!$B$9)+V137</f>
        <v>0.80270125020848704</v>
      </c>
      <c r="X137">
        <f ca="1">HYPGEOMDIST(X$50,SampleCalc!$B$15,SampleCalc!$B$9*$Z137,SampleCalc!$B$9)+W137</f>
        <v>0.8741790172974454</v>
      </c>
      <c r="Y137">
        <f ca="1">HYPGEOMDIST(Y$50,SampleCalc!$B$15,SampleCalc!$B$9*$Z137,SampleCalc!$B$9)+X137</f>
        <v>0.92487180211448294</v>
      </c>
      <c r="Z137">
        <v>0.16400000000000001</v>
      </c>
    </row>
    <row r="138" spans="5:26">
      <c r="E138">
        <f ca="1">HYPGEOMDIST(E$50,SampleCalc!$B$15,SampleCalc!$B$9*$Z138,SampleCalc!$B$9)</f>
        <v>5.4768797440179089E-9</v>
      </c>
      <c r="F138">
        <f ca="1">HYPGEOMDIST(F$50,SampleCalc!$B$15,SampleCalc!$B$9*$Z138,SampleCalc!$B$9)+E138</f>
        <v>1.3692199360044772E-7</v>
      </c>
      <c r="G138">
        <f ca="1">HYPGEOMDIST(G$50,SampleCalc!$B$15,SampleCalc!$B$9*$Z138,SampleCalc!$B$9)+F138</f>
        <v>1.6738187094602402E-6</v>
      </c>
      <c r="H138">
        <f ca="1">HYPGEOMDIST(H$50,SampleCalc!$B$15,SampleCalc!$B$9*$Z138,SampleCalc!$B$9)+G138</f>
        <v>1.3343547760559251E-5</v>
      </c>
      <c r="I138">
        <f ca="1">HYPGEOMDIST(I$50,SampleCalc!$B$15,SampleCalc!$B$9*$Z138,SampleCalc!$B$9)+H138</f>
        <v>7.8062366213672572E-5</v>
      </c>
      <c r="J138">
        <f ca="1">HYPGEOMDIST(J$50,SampleCalc!$B$15,SampleCalc!$B$9*$Z138,SampleCalc!$B$9)+I138</f>
        <v>3.5761609177577936E-4</v>
      </c>
      <c r="K138">
        <f ca="1">HYPGEOMDIST(K$50,SampleCalc!$B$15,SampleCalc!$B$9*$Z138,SampleCalc!$B$9)+J138</f>
        <v>1.337045456511102E-3</v>
      </c>
      <c r="L138">
        <f ca="1">HYPGEOMDIST(L$50,SampleCalc!$B$15,SampleCalc!$B$9*$Z138,SampleCalc!$B$9)+K138</f>
        <v>4.1990143794389924E-3</v>
      </c>
      <c r="M138">
        <f ca="1">HYPGEOMDIST(M$50,SampleCalc!$B$15,SampleCalc!$B$9*$Z138,SampleCalc!$B$9)+L138</f>
        <v>1.13171893516456E-2</v>
      </c>
      <c r="N138">
        <f ca="1">HYPGEOMDIST(N$50,SampleCalc!$B$15,SampleCalc!$B$9*$Z138,SampleCalc!$B$9)+M138</f>
        <v>2.6620789091088462E-2</v>
      </c>
      <c r="O138">
        <f ca="1">HYPGEOMDIST(O$50,SampleCalc!$B$15,SampleCalc!$B$9*$Z138,SampleCalc!$B$9)+N138</f>
        <v>5.5408101033391832E-2</v>
      </c>
      <c r="P138">
        <f ca="1">HYPGEOMDIST(P$50,SampleCalc!$B$15,SampleCalc!$B$9*$Z138,SampleCalc!$B$9)+O138</f>
        <v>0.10325114042362163</v>
      </c>
      <c r="Q138">
        <f ca="1">HYPGEOMDIST(Q$50,SampleCalc!$B$15,SampleCalc!$B$9*$Z138,SampleCalc!$B$9)+P138</f>
        <v>0.17406359922259346</v>
      </c>
      <c r="R138">
        <f ca="1">HYPGEOMDIST(R$50,SampleCalc!$B$15,SampleCalc!$B$9*$Z138,SampleCalc!$B$9)+Q138</f>
        <v>0.26802628493661379</v>
      </c>
      <c r="S138">
        <f ca="1">HYPGEOMDIST(S$50,SampleCalc!$B$15,SampleCalc!$B$9*$Z138,SampleCalc!$B$9)+R138</f>
        <v>0.38043098993236019</v>
      </c>
      <c r="T138">
        <f ca="1">HYPGEOMDIST(T$50,SampleCalc!$B$15,SampleCalc!$B$9*$Z138,SampleCalc!$B$9)+S138</f>
        <v>0.50223600950763247</v>
      </c>
      <c r="U138">
        <f ca="1">HYPGEOMDIST(U$50,SampleCalc!$B$15,SampleCalc!$B$9*$Z138,SampleCalc!$B$9)+T138</f>
        <v>0.62228940822618062</v>
      </c>
      <c r="V138">
        <f ca="1">HYPGEOMDIST(V$50,SampleCalc!$B$15,SampleCalc!$B$9*$Z138,SampleCalc!$B$9)+U138</f>
        <v>0.73029592610445926</v>
      </c>
      <c r="W138">
        <f ca="1">HYPGEOMDIST(W$50,SampleCalc!$B$15,SampleCalc!$B$9*$Z138,SampleCalc!$B$9)+V138</f>
        <v>0.81926317185105046</v>
      </c>
      <c r="X138">
        <f ca="1">HYPGEOMDIST(X$50,SampleCalc!$B$15,SampleCalc!$B$9*$Z138,SampleCalc!$B$9)+W138</f>
        <v>0.8865431111552593</v>
      </c>
      <c r="Y138">
        <f ca="1">HYPGEOMDIST(Y$50,SampleCalc!$B$15,SampleCalc!$B$9*$Z138,SampleCalc!$B$9)+X138</f>
        <v>0.93336445667104551</v>
      </c>
      <c r="Z138">
        <v>0.16300000000000001</v>
      </c>
    </row>
    <row r="139" spans="5:26">
      <c r="E139">
        <f ca="1">HYPGEOMDIST(E$50,SampleCalc!$B$15,SampleCalc!$B$9*$Z139,SampleCalc!$B$9)</f>
        <v>5.4768797440179089E-9</v>
      </c>
      <c r="F139">
        <f ca="1">HYPGEOMDIST(F$50,SampleCalc!$B$15,SampleCalc!$B$9*$Z139,SampleCalc!$B$9)+E139</f>
        <v>1.3692199360044772E-7</v>
      </c>
      <c r="G139">
        <f ca="1">HYPGEOMDIST(G$50,SampleCalc!$B$15,SampleCalc!$B$9*$Z139,SampleCalc!$B$9)+F139</f>
        <v>1.6738187094602402E-6</v>
      </c>
      <c r="H139">
        <f ca="1">HYPGEOMDIST(H$50,SampleCalc!$B$15,SampleCalc!$B$9*$Z139,SampleCalc!$B$9)+G139</f>
        <v>1.3343547760559251E-5</v>
      </c>
      <c r="I139">
        <f ca="1">HYPGEOMDIST(I$50,SampleCalc!$B$15,SampleCalc!$B$9*$Z139,SampleCalc!$B$9)+H139</f>
        <v>7.8062366213672572E-5</v>
      </c>
      <c r="J139">
        <f ca="1">HYPGEOMDIST(J$50,SampleCalc!$B$15,SampleCalc!$B$9*$Z139,SampleCalc!$B$9)+I139</f>
        <v>3.5761609177577936E-4</v>
      </c>
      <c r="K139">
        <f ca="1">HYPGEOMDIST(K$50,SampleCalc!$B$15,SampleCalc!$B$9*$Z139,SampleCalc!$B$9)+J139</f>
        <v>1.337045456511102E-3</v>
      </c>
      <c r="L139">
        <f ca="1">HYPGEOMDIST(L$50,SampleCalc!$B$15,SampleCalc!$B$9*$Z139,SampleCalc!$B$9)+K139</f>
        <v>4.1990143794389924E-3</v>
      </c>
      <c r="M139">
        <f ca="1">HYPGEOMDIST(M$50,SampleCalc!$B$15,SampleCalc!$B$9*$Z139,SampleCalc!$B$9)+L139</f>
        <v>1.13171893516456E-2</v>
      </c>
      <c r="N139">
        <f ca="1">HYPGEOMDIST(N$50,SampleCalc!$B$15,SampleCalc!$B$9*$Z139,SampleCalc!$B$9)+M139</f>
        <v>2.6620789091088462E-2</v>
      </c>
      <c r="O139">
        <f ca="1">HYPGEOMDIST(O$50,SampleCalc!$B$15,SampleCalc!$B$9*$Z139,SampleCalc!$B$9)+N139</f>
        <v>5.5408101033391832E-2</v>
      </c>
      <c r="P139">
        <f ca="1">HYPGEOMDIST(P$50,SampleCalc!$B$15,SampleCalc!$B$9*$Z139,SampleCalc!$B$9)+O139</f>
        <v>0.10325114042362163</v>
      </c>
      <c r="Q139">
        <f ca="1">HYPGEOMDIST(Q$50,SampleCalc!$B$15,SampleCalc!$B$9*$Z139,SampleCalc!$B$9)+P139</f>
        <v>0.17406359922259346</v>
      </c>
      <c r="R139">
        <f ca="1">HYPGEOMDIST(R$50,SampleCalc!$B$15,SampleCalc!$B$9*$Z139,SampleCalc!$B$9)+Q139</f>
        <v>0.26802628493661379</v>
      </c>
      <c r="S139">
        <f ca="1">HYPGEOMDIST(S$50,SampleCalc!$B$15,SampleCalc!$B$9*$Z139,SampleCalc!$B$9)+R139</f>
        <v>0.38043098993236019</v>
      </c>
      <c r="T139">
        <f ca="1">HYPGEOMDIST(T$50,SampleCalc!$B$15,SampleCalc!$B$9*$Z139,SampleCalc!$B$9)+S139</f>
        <v>0.50223600950763247</v>
      </c>
      <c r="U139">
        <f ca="1">HYPGEOMDIST(U$50,SampleCalc!$B$15,SampleCalc!$B$9*$Z139,SampleCalc!$B$9)+T139</f>
        <v>0.62228940822618062</v>
      </c>
      <c r="V139">
        <f ca="1">HYPGEOMDIST(V$50,SampleCalc!$B$15,SampleCalc!$B$9*$Z139,SampleCalc!$B$9)+U139</f>
        <v>0.73029592610445926</v>
      </c>
      <c r="W139">
        <f ca="1">HYPGEOMDIST(W$50,SampleCalc!$B$15,SampleCalc!$B$9*$Z139,SampleCalc!$B$9)+V139</f>
        <v>0.81926317185105046</v>
      </c>
      <c r="X139">
        <f ca="1">HYPGEOMDIST(X$50,SampleCalc!$B$15,SampleCalc!$B$9*$Z139,SampleCalc!$B$9)+W139</f>
        <v>0.8865431111552593</v>
      </c>
      <c r="Y139">
        <f ca="1">HYPGEOMDIST(Y$50,SampleCalc!$B$15,SampleCalc!$B$9*$Z139,SampleCalc!$B$9)+X139</f>
        <v>0.93336445667104551</v>
      </c>
      <c r="Z139">
        <v>0.16200000000000001</v>
      </c>
    </row>
    <row r="140" spans="5:26">
      <c r="E140">
        <f ca="1">HYPGEOMDIST(E$50,SampleCalc!$B$15,SampleCalc!$B$9*$Z140,SampleCalc!$B$9)</f>
        <v>7.099658927430623E-9</v>
      </c>
      <c r="F140">
        <f ca="1">HYPGEOMDIST(F$50,SampleCalc!$B$15,SampleCalc!$B$9*$Z140,SampleCalc!$B$9)+E140</f>
        <v>1.74870060658714E-7</v>
      </c>
      <c r="G140">
        <f ca="1">HYPGEOMDIST(G$50,SampleCalc!$B$15,SampleCalc!$B$9*$Z140,SampleCalc!$B$9)+F140</f>
        <v>2.1060308965379825E-6</v>
      </c>
      <c r="H140">
        <f ca="1">HYPGEOMDIST(H$50,SampleCalc!$B$15,SampleCalc!$B$9*$Z140,SampleCalc!$B$9)+G140</f>
        <v>1.6539538795280898E-5</v>
      </c>
      <c r="I140">
        <f ca="1">HYPGEOMDIST(I$50,SampleCalc!$B$15,SampleCalc!$B$9*$Z140,SampleCalc!$B$9)+H140</f>
        <v>9.5318769026148342E-5</v>
      </c>
      <c r="J140">
        <f ca="1">HYPGEOMDIST(J$50,SampleCalc!$B$15,SampleCalc!$B$9*$Z140,SampleCalc!$B$9)+I140</f>
        <v>4.3016641508950644E-4</v>
      </c>
      <c r="K140">
        <f ca="1">HYPGEOMDIST(K$50,SampleCalc!$B$15,SampleCalc!$B$9*$Z140,SampleCalc!$B$9)+J140</f>
        <v>1.5843761041715366E-3</v>
      </c>
      <c r="L140">
        <f ca="1">HYPGEOMDIST(L$50,SampleCalc!$B$15,SampleCalc!$B$9*$Z140,SampleCalc!$B$9)+K140</f>
        <v>4.9020440063235965E-3</v>
      </c>
      <c r="M140">
        <f ca="1">HYPGEOMDIST(M$50,SampleCalc!$B$15,SampleCalc!$B$9*$Z140,SampleCalc!$B$9)+L140</f>
        <v>1.3017589322694815E-2</v>
      </c>
      <c r="N140">
        <f ca="1">HYPGEOMDIST(N$50,SampleCalc!$B$15,SampleCalc!$B$9*$Z140,SampleCalc!$B$9)+M140</f>
        <v>3.0174778219767922E-2</v>
      </c>
      <c r="O140">
        <f ca="1">HYPGEOMDIST(O$50,SampleCalc!$B$15,SampleCalc!$B$9*$Z140,SampleCalc!$B$9)+N140</f>
        <v>6.1905303913546511E-2</v>
      </c>
      <c r="P140">
        <f ca="1">HYPGEOMDIST(P$50,SampleCalc!$B$15,SampleCalc!$B$9*$Z140,SampleCalc!$B$9)+O140</f>
        <v>0.11374187506050629</v>
      </c>
      <c r="Q140">
        <f ca="1">HYPGEOMDIST(Q$50,SampleCalc!$B$15,SampleCalc!$B$9*$Z140,SampleCalc!$B$9)+P140</f>
        <v>0.18914403026311521</v>
      </c>
      <c r="R140">
        <f ca="1">HYPGEOMDIST(R$50,SampleCalc!$B$15,SampleCalc!$B$9*$Z140,SampleCalc!$B$9)+Q140</f>
        <v>0.28745425863958241</v>
      </c>
      <c r="S140">
        <f ca="1">HYPGEOMDIST(S$50,SampleCalc!$B$15,SampleCalc!$B$9*$Z140,SampleCalc!$B$9)+R140</f>
        <v>0.40298747503889221</v>
      </c>
      <c r="T140">
        <f ca="1">HYPGEOMDIST(T$50,SampleCalc!$B$15,SampleCalc!$B$9*$Z140,SampleCalc!$B$9)+S140</f>
        <v>0.52595026110635801</v>
      </c>
      <c r="U140">
        <f ca="1">HYPGEOMDIST(U$50,SampleCalc!$B$15,SampleCalc!$B$9*$Z140,SampleCalc!$B$9)+T140</f>
        <v>0.64495744284260947</v>
      </c>
      <c r="V140">
        <f ca="1">HYPGEOMDIST(V$50,SampleCalc!$B$15,SampleCalc!$B$9*$Z140,SampleCalc!$B$9)+U140</f>
        <v>0.75006642515925737</v>
      </c>
      <c r="W140">
        <f ca="1">HYPGEOMDIST(W$50,SampleCalc!$B$15,SampleCalc!$B$9*$Z140,SampleCalc!$B$9)+V140</f>
        <v>0.83504488600882787</v>
      </c>
      <c r="X140">
        <f ca="1">HYPGEOMDIST(X$50,SampleCalc!$B$15,SampleCalc!$B$9*$Z140,SampleCalc!$B$9)+W140</f>
        <v>0.89810393720853987</v>
      </c>
      <c r="Y140">
        <f ca="1">HYPGEOMDIST(Y$50,SampleCalc!$B$15,SampleCalc!$B$9*$Z140,SampleCalc!$B$9)+X140</f>
        <v>0.94115457143601766</v>
      </c>
      <c r="Z140">
        <v>0.161</v>
      </c>
    </row>
    <row r="141" spans="5:26">
      <c r="E141">
        <f ca="1">HYPGEOMDIST(E$50,SampleCalc!$B$15,SampleCalc!$B$9*$Z141,SampleCalc!$B$9)</f>
        <v>7.099658927430623E-9</v>
      </c>
      <c r="F141">
        <f ca="1">HYPGEOMDIST(F$50,SampleCalc!$B$15,SampleCalc!$B$9*$Z141,SampleCalc!$B$9)+E141</f>
        <v>1.74870060658714E-7</v>
      </c>
      <c r="G141">
        <f ca="1">HYPGEOMDIST(G$50,SampleCalc!$B$15,SampleCalc!$B$9*$Z141,SampleCalc!$B$9)+F141</f>
        <v>2.1060308965379825E-6</v>
      </c>
      <c r="H141">
        <f ca="1">HYPGEOMDIST(H$50,SampleCalc!$B$15,SampleCalc!$B$9*$Z141,SampleCalc!$B$9)+G141</f>
        <v>1.6539538795280898E-5</v>
      </c>
      <c r="I141">
        <f ca="1">HYPGEOMDIST(I$50,SampleCalc!$B$15,SampleCalc!$B$9*$Z141,SampleCalc!$B$9)+H141</f>
        <v>9.5318769026148342E-5</v>
      </c>
      <c r="J141">
        <f ca="1">HYPGEOMDIST(J$50,SampleCalc!$B$15,SampleCalc!$B$9*$Z141,SampleCalc!$B$9)+I141</f>
        <v>4.3016641508950644E-4</v>
      </c>
      <c r="K141">
        <f ca="1">HYPGEOMDIST(K$50,SampleCalc!$B$15,SampleCalc!$B$9*$Z141,SampleCalc!$B$9)+J141</f>
        <v>1.5843761041715366E-3</v>
      </c>
      <c r="L141">
        <f ca="1">HYPGEOMDIST(L$50,SampleCalc!$B$15,SampleCalc!$B$9*$Z141,SampleCalc!$B$9)+K141</f>
        <v>4.9020440063235965E-3</v>
      </c>
      <c r="M141">
        <f ca="1">HYPGEOMDIST(M$50,SampleCalc!$B$15,SampleCalc!$B$9*$Z141,SampleCalc!$B$9)+L141</f>
        <v>1.3017589322694815E-2</v>
      </c>
      <c r="N141">
        <f ca="1">HYPGEOMDIST(N$50,SampleCalc!$B$15,SampleCalc!$B$9*$Z141,SampleCalc!$B$9)+M141</f>
        <v>3.0174778219767922E-2</v>
      </c>
      <c r="O141">
        <f ca="1">HYPGEOMDIST(O$50,SampleCalc!$B$15,SampleCalc!$B$9*$Z141,SampleCalc!$B$9)+N141</f>
        <v>6.1905303913546511E-2</v>
      </c>
      <c r="P141">
        <f ca="1">HYPGEOMDIST(P$50,SampleCalc!$B$15,SampleCalc!$B$9*$Z141,SampleCalc!$B$9)+O141</f>
        <v>0.11374187506050629</v>
      </c>
      <c r="Q141">
        <f ca="1">HYPGEOMDIST(Q$50,SampleCalc!$B$15,SampleCalc!$B$9*$Z141,SampleCalc!$B$9)+P141</f>
        <v>0.18914403026311521</v>
      </c>
      <c r="R141">
        <f ca="1">HYPGEOMDIST(R$50,SampleCalc!$B$15,SampleCalc!$B$9*$Z141,SampleCalc!$B$9)+Q141</f>
        <v>0.28745425863958241</v>
      </c>
      <c r="S141">
        <f ca="1">HYPGEOMDIST(S$50,SampleCalc!$B$15,SampleCalc!$B$9*$Z141,SampleCalc!$B$9)+R141</f>
        <v>0.40298747503889221</v>
      </c>
      <c r="T141">
        <f ca="1">HYPGEOMDIST(T$50,SampleCalc!$B$15,SampleCalc!$B$9*$Z141,SampleCalc!$B$9)+S141</f>
        <v>0.52595026110635801</v>
      </c>
      <c r="U141">
        <f ca="1">HYPGEOMDIST(U$50,SampleCalc!$B$15,SampleCalc!$B$9*$Z141,SampleCalc!$B$9)+T141</f>
        <v>0.64495744284260947</v>
      </c>
      <c r="V141">
        <f ca="1">HYPGEOMDIST(V$50,SampleCalc!$B$15,SampleCalc!$B$9*$Z141,SampleCalc!$B$9)+U141</f>
        <v>0.75006642515925737</v>
      </c>
      <c r="W141">
        <f ca="1">HYPGEOMDIST(W$50,SampleCalc!$B$15,SampleCalc!$B$9*$Z141,SampleCalc!$B$9)+V141</f>
        <v>0.83504488600882787</v>
      </c>
      <c r="X141">
        <f ca="1">HYPGEOMDIST(X$50,SampleCalc!$B$15,SampleCalc!$B$9*$Z141,SampleCalc!$B$9)+W141</f>
        <v>0.89810393720853987</v>
      </c>
      <c r="Y141">
        <f ca="1">HYPGEOMDIST(Y$50,SampleCalc!$B$15,SampleCalc!$B$9*$Z141,SampleCalc!$B$9)+X141</f>
        <v>0.94115457143601766</v>
      </c>
      <c r="Z141">
        <v>0.16</v>
      </c>
    </row>
    <row r="142" spans="5:26">
      <c r="E142">
        <f ca="1">HYPGEOMDIST(E$50,SampleCalc!$B$15,SampleCalc!$B$9*$Z142,SampleCalc!$B$9)</f>
        <v>9.1967889490716545E-9</v>
      </c>
      <c r="F142">
        <f ca="1">HYPGEOMDIST(F$50,SampleCalc!$B$15,SampleCalc!$B$9*$Z142,SampleCalc!$B$9)+E142</f>
        <v>2.2314908155569584E-7</v>
      </c>
      <c r="G142">
        <f ca="1">HYPGEOMDIST(G$50,SampleCalc!$B$15,SampleCalc!$B$9*$Z142,SampleCalc!$B$9)+F142</f>
        <v>2.6472874427408421E-6</v>
      </c>
      <c r="H142">
        <f ca="1">HYPGEOMDIST(H$50,SampleCalc!$B$15,SampleCalc!$B$9*$Z142,SampleCalc!$B$9)+G142</f>
        <v>2.0478500306824279E-5</v>
      </c>
      <c r="I142">
        <f ca="1">HYPGEOMDIST(I$50,SampleCalc!$B$15,SampleCalc!$B$9*$Z142,SampleCalc!$B$9)+H142</f>
        <v>1.162467469051081E-4</v>
      </c>
      <c r="J142">
        <f ca="1">HYPGEOMDIST(J$50,SampleCalc!$B$15,SampleCalc!$B$9*$Z142,SampleCalc!$B$9)+I142</f>
        <v>5.1673214177065858E-4</v>
      </c>
      <c r="K142">
        <f ca="1">HYPGEOMDIST(K$50,SampleCalc!$B$15,SampleCalc!$B$9*$Z142,SampleCalc!$B$9)+J142</f>
        <v>1.8746720456098418E-3</v>
      </c>
      <c r="L142">
        <f ca="1">HYPGEOMDIST(L$50,SampleCalc!$B$15,SampleCalc!$B$9*$Z142,SampleCalc!$B$9)+K142</f>
        <v>5.7135985379607214E-3</v>
      </c>
      <c r="M142">
        <f ca="1">HYPGEOMDIST(M$50,SampleCalc!$B$15,SampleCalc!$B$9*$Z142,SampleCalc!$B$9)+L142</f>
        <v>1.494777307361555E-2</v>
      </c>
      <c r="N142">
        <f ca="1">HYPGEOMDIST(N$50,SampleCalc!$B$15,SampleCalc!$B$9*$Z142,SampleCalc!$B$9)+M142</f>
        <v>3.4141093931490243E-2</v>
      </c>
      <c r="O142">
        <f ca="1">HYPGEOMDIST(O$50,SampleCalc!$B$15,SampleCalc!$B$9*$Z142,SampleCalc!$B$9)+N142</f>
        <v>6.9032832446253439E-2</v>
      </c>
      <c r="P142">
        <f ca="1">HYPGEOMDIST(P$50,SampleCalc!$B$15,SampleCalc!$B$9*$Z142,SampleCalc!$B$9)+O142</f>
        <v>0.12505219834089759</v>
      </c>
      <c r="Q142">
        <f ca="1">HYPGEOMDIST(Q$50,SampleCalc!$B$15,SampleCalc!$B$9*$Z142,SampleCalc!$B$9)+P142</f>
        <v>0.20511944237429119</v>
      </c>
      <c r="R142">
        <f ca="1">HYPGEOMDIST(R$50,SampleCalc!$B$15,SampleCalc!$B$9*$Z142,SampleCalc!$B$9)+Q142</f>
        <v>0.30767257150946165</v>
      </c>
      <c r="S142">
        <f ca="1">HYPGEOMDIST(S$50,SampleCalc!$B$15,SampleCalc!$B$9*$Z142,SampleCalc!$B$9)+R142</f>
        <v>0.42604299742654195</v>
      </c>
      <c r="T142">
        <f ca="1">HYPGEOMDIST(T$50,SampleCalc!$B$15,SampleCalc!$B$9*$Z142,SampleCalc!$B$9)+S142</f>
        <v>0.5497516974536083</v>
      </c>
      <c r="U142">
        <f ca="1">HYPGEOMDIST(U$50,SampleCalc!$B$15,SampleCalc!$B$9*$Z142,SampleCalc!$B$9)+T142</f>
        <v>0.66729310158489719</v>
      </c>
      <c r="V142">
        <f ca="1">HYPGEOMDIST(V$50,SampleCalc!$B$15,SampleCalc!$B$9*$Z142,SampleCalc!$B$9)+U142</f>
        <v>0.76918657885041064</v>
      </c>
      <c r="W142">
        <f ca="1">HYPGEOMDIST(W$50,SampleCalc!$B$15,SampleCalc!$B$9*$Z142,SampleCalc!$B$9)+V142</f>
        <v>0.85002141066875947</v>
      </c>
      <c r="X142">
        <f ca="1">HYPGEOMDIST(X$50,SampleCalc!$B$15,SampleCalc!$B$9*$Z142,SampleCalc!$B$9)+W142</f>
        <v>0.90886659576540929</v>
      </c>
      <c r="Y142">
        <f ca="1">HYPGEOMDIST(Y$50,SampleCalc!$B$15,SampleCalc!$B$9*$Z142,SampleCalc!$B$9)+X142</f>
        <v>0.94826728491707923</v>
      </c>
      <c r="Z142">
        <v>0.159</v>
      </c>
    </row>
    <row r="143" spans="5:26">
      <c r="E143">
        <f ca="1">HYPGEOMDIST(E$50,SampleCalc!$B$15,SampleCalc!$B$9*$Z143,SampleCalc!$B$9)</f>
        <v>9.1967889490716545E-9</v>
      </c>
      <c r="F143">
        <f ca="1">HYPGEOMDIST(F$50,SampleCalc!$B$15,SampleCalc!$B$9*$Z143,SampleCalc!$B$9)+E143</f>
        <v>2.2314908155569584E-7</v>
      </c>
      <c r="G143">
        <f ca="1">HYPGEOMDIST(G$50,SampleCalc!$B$15,SampleCalc!$B$9*$Z143,SampleCalc!$B$9)+F143</f>
        <v>2.6472874427408421E-6</v>
      </c>
      <c r="H143">
        <f ca="1">HYPGEOMDIST(H$50,SampleCalc!$B$15,SampleCalc!$B$9*$Z143,SampleCalc!$B$9)+G143</f>
        <v>2.0478500306824279E-5</v>
      </c>
      <c r="I143">
        <f ca="1">HYPGEOMDIST(I$50,SampleCalc!$B$15,SampleCalc!$B$9*$Z143,SampleCalc!$B$9)+H143</f>
        <v>1.162467469051081E-4</v>
      </c>
      <c r="J143">
        <f ca="1">HYPGEOMDIST(J$50,SampleCalc!$B$15,SampleCalc!$B$9*$Z143,SampleCalc!$B$9)+I143</f>
        <v>5.1673214177065858E-4</v>
      </c>
      <c r="K143">
        <f ca="1">HYPGEOMDIST(K$50,SampleCalc!$B$15,SampleCalc!$B$9*$Z143,SampleCalc!$B$9)+J143</f>
        <v>1.8746720456098418E-3</v>
      </c>
      <c r="L143">
        <f ca="1">HYPGEOMDIST(L$50,SampleCalc!$B$15,SampleCalc!$B$9*$Z143,SampleCalc!$B$9)+K143</f>
        <v>5.7135985379607214E-3</v>
      </c>
      <c r="M143">
        <f ca="1">HYPGEOMDIST(M$50,SampleCalc!$B$15,SampleCalc!$B$9*$Z143,SampleCalc!$B$9)+L143</f>
        <v>1.494777307361555E-2</v>
      </c>
      <c r="N143">
        <f ca="1">HYPGEOMDIST(N$50,SampleCalc!$B$15,SampleCalc!$B$9*$Z143,SampleCalc!$B$9)+M143</f>
        <v>3.4141093931490243E-2</v>
      </c>
      <c r="O143">
        <f ca="1">HYPGEOMDIST(O$50,SampleCalc!$B$15,SampleCalc!$B$9*$Z143,SampleCalc!$B$9)+N143</f>
        <v>6.9032832446253439E-2</v>
      </c>
      <c r="P143">
        <f ca="1">HYPGEOMDIST(P$50,SampleCalc!$B$15,SampleCalc!$B$9*$Z143,SampleCalc!$B$9)+O143</f>
        <v>0.12505219834089759</v>
      </c>
      <c r="Q143">
        <f ca="1">HYPGEOMDIST(Q$50,SampleCalc!$B$15,SampleCalc!$B$9*$Z143,SampleCalc!$B$9)+P143</f>
        <v>0.20511944237429119</v>
      </c>
      <c r="R143">
        <f ca="1">HYPGEOMDIST(R$50,SampleCalc!$B$15,SampleCalc!$B$9*$Z143,SampleCalc!$B$9)+Q143</f>
        <v>0.30767257150946165</v>
      </c>
      <c r="S143">
        <f ca="1">HYPGEOMDIST(S$50,SampleCalc!$B$15,SampleCalc!$B$9*$Z143,SampleCalc!$B$9)+R143</f>
        <v>0.42604299742654195</v>
      </c>
      <c r="T143">
        <f ca="1">HYPGEOMDIST(T$50,SampleCalc!$B$15,SampleCalc!$B$9*$Z143,SampleCalc!$B$9)+S143</f>
        <v>0.5497516974536083</v>
      </c>
      <c r="U143">
        <f ca="1">HYPGEOMDIST(U$50,SampleCalc!$B$15,SampleCalc!$B$9*$Z143,SampleCalc!$B$9)+T143</f>
        <v>0.66729310158489719</v>
      </c>
      <c r="V143">
        <f ca="1">HYPGEOMDIST(V$50,SampleCalc!$B$15,SampleCalc!$B$9*$Z143,SampleCalc!$B$9)+U143</f>
        <v>0.76918657885041064</v>
      </c>
      <c r="W143">
        <f ca="1">HYPGEOMDIST(W$50,SampleCalc!$B$15,SampleCalc!$B$9*$Z143,SampleCalc!$B$9)+V143</f>
        <v>0.85002141066875947</v>
      </c>
      <c r="X143">
        <f ca="1">HYPGEOMDIST(X$50,SampleCalc!$B$15,SampleCalc!$B$9*$Z143,SampleCalc!$B$9)+W143</f>
        <v>0.90886659576540929</v>
      </c>
      <c r="Y143">
        <f ca="1">HYPGEOMDIST(Y$50,SampleCalc!$B$15,SampleCalc!$B$9*$Z143,SampleCalc!$B$9)+X143</f>
        <v>0.94826728491707923</v>
      </c>
      <c r="Z143">
        <v>0.158</v>
      </c>
    </row>
    <row r="144" spans="5:26">
      <c r="E144">
        <f ca="1">HYPGEOMDIST(E$50,SampleCalc!$B$15,SampleCalc!$B$9*$Z144,SampleCalc!$B$9)</f>
        <v>1.1905045817509946E-8</v>
      </c>
      <c r="F144">
        <f ca="1">HYPGEOMDIST(F$50,SampleCalc!$B$15,SampleCalc!$B$9*$Z144,SampleCalc!$B$9)+E144</f>
        <v>2.8451967297810472E-7</v>
      </c>
      <c r="G144">
        <f ca="1">HYPGEOMDIST(G$50,SampleCalc!$B$15,SampleCalc!$B$9*$Z144,SampleCalc!$B$9)+F144</f>
        <v>3.3244221084655319E-6</v>
      </c>
      <c r="H144">
        <f ca="1">HYPGEOMDIST(H$50,SampleCalc!$B$15,SampleCalc!$B$9*$Z144,SampleCalc!$B$9)+G144</f>
        <v>2.5327525451041154E-5</v>
      </c>
      <c r="I144">
        <f ca="1">HYPGEOMDIST(I$50,SampleCalc!$B$15,SampleCalc!$B$9*$Z144,SampleCalc!$B$9)+H144</f>
        <v>1.4159392379533279E-4</v>
      </c>
      <c r="J144">
        <f ca="1">HYPGEOMDIST(J$50,SampleCalc!$B$15,SampleCalc!$B$9*$Z144,SampleCalc!$B$9)+I144</f>
        <v>6.1986681801160935E-4</v>
      </c>
      <c r="K144">
        <f ca="1">HYPGEOMDIST(K$50,SampleCalc!$B$15,SampleCalc!$B$9*$Z144,SampleCalc!$B$9)+J144</f>
        <v>2.214830089235871E-3</v>
      </c>
      <c r="L144">
        <f ca="1">HYPGEOMDIST(L$50,SampleCalc!$B$15,SampleCalc!$B$9*$Z144,SampleCalc!$B$9)+K144</f>
        <v>6.648704820052356E-3</v>
      </c>
      <c r="M144">
        <f ca="1">HYPGEOMDIST(M$50,SampleCalc!$B$15,SampleCalc!$B$9*$Z144,SampleCalc!$B$9)+L144</f>
        <v>1.7134353930841784E-2</v>
      </c>
      <c r="N144">
        <f ca="1">HYPGEOMDIST(N$50,SampleCalc!$B$15,SampleCalc!$B$9*$Z144,SampleCalc!$B$9)+M144</f>
        <v>3.8557769692852656E-2</v>
      </c>
      <c r="O144">
        <f ca="1">HYPGEOMDIST(O$50,SampleCalc!$B$15,SampleCalc!$B$9*$Z144,SampleCalc!$B$9)+N144</f>
        <v>7.6832997317659565E-2</v>
      </c>
      <c r="P144">
        <f ca="1">HYPGEOMDIST(P$50,SampleCalc!$B$15,SampleCalc!$B$9*$Z144,SampleCalc!$B$9)+O144</f>
        <v>0.13721431135862833</v>
      </c>
      <c r="Q144">
        <f ca="1">HYPGEOMDIST(Q$50,SampleCalc!$B$15,SampleCalc!$B$9*$Z144,SampleCalc!$B$9)+P144</f>
        <v>0.22199527375096484</v>
      </c>
      <c r="R144">
        <f ca="1">HYPGEOMDIST(R$50,SampleCalc!$B$15,SampleCalc!$B$9*$Z144,SampleCalc!$B$9)+Q144</f>
        <v>0.32864960901375434</v>
      </c>
      <c r="S144">
        <f ca="1">HYPGEOMDIST(S$50,SampleCalc!$B$15,SampleCalc!$B$9*$Z144,SampleCalc!$B$9)+R144</f>
        <v>0.4495319911025672</v>
      </c>
      <c r="T144">
        <f ca="1">HYPGEOMDIST(T$50,SampleCalc!$B$15,SampleCalc!$B$9*$Z144,SampleCalc!$B$9)+S144</f>
        <v>0.57355755145488196</v>
      </c>
      <c r="U144">
        <f ca="1">HYPGEOMDIST(U$50,SampleCalc!$B$15,SampleCalc!$B$9*$Z144,SampleCalc!$B$9)+T144</f>
        <v>0.68921954605975433</v>
      </c>
      <c r="V144">
        <f ca="1">HYPGEOMDIST(V$50,SampleCalc!$B$15,SampleCalc!$B$9*$Z144,SampleCalc!$B$9)+U144</f>
        <v>0.78760464179636347</v>
      </c>
      <c r="W144">
        <f ca="1">HYPGEOMDIST(W$50,SampleCalc!$B$15,SampleCalc!$B$9*$Z144,SampleCalc!$B$9)+V144</f>
        <v>0.86417405012238402</v>
      </c>
      <c r="X144">
        <f ca="1">HYPGEOMDIST(X$50,SampleCalc!$B$15,SampleCalc!$B$9*$Z144,SampleCalc!$B$9)+W144</f>
        <v>0.91884145377849025</v>
      </c>
      <c r="Y144">
        <f ca="1">HYPGEOMDIST(Y$50,SampleCalc!$B$15,SampleCalc!$B$9*$Z144,SampleCalc!$B$9)+X144</f>
        <v>0.95473076227700049</v>
      </c>
      <c r="Z144">
        <v>0.157</v>
      </c>
    </row>
    <row r="145" spans="5:26">
      <c r="E145">
        <f ca="1">HYPGEOMDIST(E$50,SampleCalc!$B$15,SampleCalc!$B$9*$Z145,SampleCalc!$B$9)</f>
        <v>1.1905045817509946E-8</v>
      </c>
      <c r="F145">
        <f ca="1">HYPGEOMDIST(F$50,SampleCalc!$B$15,SampleCalc!$B$9*$Z145,SampleCalc!$B$9)+E145</f>
        <v>2.8451967297810472E-7</v>
      </c>
      <c r="G145">
        <f ca="1">HYPGEOMDIST(G$50,SampleCalc!$B$15,SampleCalc!$B$9*$Z145,SampleCalc!$B$9)+F145</f>
        <v>3.3244221084655319E-6</v>
      </c>
      <c r="H145">
        <f ca="1">HYPGEOMDIST(H$50,SampleCalc!$B$15,SampleCalc!$B$9*$Z145,SampleCalc!$B$9)+G145</f>
        <v>2.5327525451041154E-5</v>
      </c>
      <c r="I145">
        <f ca="1">HYPGEOMDIST(I$50,SampleCalc!$B$15,SampleCalc!$B$9*$Z145,SampleCalc!$B$9)+H145</f>
        <v>1.4159392379533279E-4</v>
      </c>
      <c r="J145">
        <f ca="1">HYPGEOMDIST(J$50,SampleCalc!$B$15,SampleCalc!$B$9*$Z145,SampleCalc!$B$9)+I145</f>
        <v>6.1986681801160935E-4</v>
      </c>
      <c r="K145">
        <f ca="1">HYPGEOMDIST(K$50,SampleCalc!$B$15,SampleCalc!$B$9*$Z145,SampleCalc!$B$9)+J145</f>
        <v>2.214830089235871E-3</v>
      </c>
      <c r="L145">
        <f ca="1">HYPGEOMDIST(L$50,SampleCalc!$B$15,SampleCalc!$B$9*$Z145,SampleCalc!$B$9)+K145</f>
        <v>6.648704820052356E-3</v>
      </c>
      <c r="M145">
        <f ca="1">HYPGEOMDIST(M$50,SampleCalc!$B$15,SampleCalc!$B$9*$Z145,SampleCalc!$B$9)+L145</f>
        <v>1.7134353930841784E-2</v>
      </c>
      <c r="N145">
        <f ca="1">HYPGEOMDIST(N$50,SampleCalc!$B$15,SampleCalc!$B$9*$Z145,SampleCalc!$B$9)+M145</f>
        <v>3.8557769692852656E-2</v>
      </c>
      <c r="O145">
        <f ca="1">HYPGEOMDIST(O$50,SampleCalc!$B$15,SampleCalc!$B$9*$Z145,SampleCalc!$B$9)+N145</f>
        <v>7.6832997317659565E-2</v>
      </c>
      <c r="P145">
        <f ca="1">HYPGEOMDIST(P$50,SampleCalc!$B$15,SampleCalc!$B$9*$Z145,SampleCalc!$B$9)+O145</f>
        <v>0.13721431135862833</v>
      </c>
      <c r="Q145">
        <f ca="1">HYPGEOMDIST(Q$50,SampleCalc!$B$15,SampleCalc!$B$9*$Z145,SampleCalc!$B$9)+P145</f>
        <v>0.22199527375096484</v>
      </c>
      <c r="R145">
        <f ca="1">HYPGEOMDIST(R$50,SampleCalc!$B$15,SampleCalc!$B$9*$Z145,SampleCalc!$B$9)+Q145</f>
        <v>0.32864960901375434</v>
      </c>
      <c r="S145">
        <f ca="1">HYPGEOMDIST(S$50,SampleCalc!$B$15,SampleCalc!$B$9*$Z145,SampleCalc!$B$9)+R145</f>
        <v>0.4495319911025672</v>
      </c>
      <c r="T145">
        <f ca="1">HYPGEOMDIST(T$50,SampleCalc!$B$15,SampleCalc!$B$9*$Z145,SampleCalc!$B$9)+S145</f>
        <v>0.57355755145488196</v>
      </c>
      <c r="U145">
        <f ca="1">HYPGEOMDIST(U$50,SampleCalc!$B$15,SampleCalc!$B$9*$Z145,SampleCalc!$B$9)+T145</f>
        <v>0.68921954605975433</v>
      </c>
      <c r="V145">
        <f ca="1">HYPGEOMDIST(V$50,SampleCalc!$B$15,SampleCalc!$B$9*$Z145,SampleCalc!$B$9)+U145</f>
        <v>0.78760464179636347</v>
      </c>
      <c r="W145">
        <f ca="1">HYPGEOMDIST(W$50,SampleCalc!$B$15,SampleCalc!$B$9*$Z145,SampleCalc!$B$9)+V145</f>
        <v>0.86417405012238402</v>
      </c>
      <c r="X145">
        <f ca="1">HYPGEOMDIST(X$50,SampleCalc!$B$15,SampleCalc!$B$9*$Z145,SampleCalc!$B$9)+W145</f>
        <v>0.91884145377849025</v>
      </c>
      <c r="Y145">
        <f ca="1">HYPGEOMDIST(Y$50,SampleCalc!$B$15,SampleCalc!$B$9*$Z145,SampleCalc!$B$9)+X145</f>
        <v>0.95473076227700049</v>
      </c>
      <c r="Z145">
        <v>0.156</v>
      </c>
    </row>
    <row r="146" spans="5:26">
      <c r="E146">
        <f ca="1">HYPGEOMDIST(E$50,SampleCalc!$B$15,SampleCalc!$B$9*$Z146,SampleCalc!$B$9)</f>
        <v>1.5400105140081673E-8</v>
      </c>
      <c r="F146">
        <f ca="1">HYPGEOMDIST(F$50,SampleCalc!$B$15,SampleCalc!$B$9*$Z146,SampleCalc!$B$9)+E146</f>
        <v>3.6246588927265435E-7</v>
      </c>
      <c r="G146">
        <f ca="1">HYPGEOMDIST(G$50,SampleCalc!$B$15,SampleCalc!$B$9*$Z146,SampleCalc!$B$9)+F146</f>
        <v>4.1706953139492046E-6</v>
      </c>
      <c r="H146">
        <f ca="1">HYPGEOMDIST(H$50,SampleCalc!$B$15,SampleCalc!$B$9*$Z146,SampleCalc!$B$9)+G146</f>
        <v>3.1289904853312522E-5</v>
      </c>
      <c r="I146">
        <f ca="1">HYPGEOMDIST(I$50,SampleCalc!$B$15,SampleCalc!$B$9*$Z146,SampleCalc!$B$9)+H146</f>
        <v>1.722524426553506E-4</v>
      </c>
      <c r="J146">
        <f ca="1">HYPGEOMDIST(J$50,SampleCalc!$B$15,SampleCalc!$B$9*$Z146,SampleCalc!$B$9)+I146</f>
        <v>7.4255630041347633E-4</v>
      </c>
      <c r="K146">
        <f ca="1">HYPGEOMDIST(K$50,SampleCalc!$B$15,SampleCalc!$B$9*$Z146,SampleCalc!$B$9)+J146</f>
        <v>2.6127419240527371E-3</v>
      </c>
      <c r="L146">
        <f ca="1">HYPGEOMDIST(L$50,SampleCalc!$B$15,SampleCalc!$B$9*$Z146,SampleCalc!$B$9)+K146</f>
        <v>7.7241560109025525E-3</v>
      </c>
      <c r="M146">
        <f ca="1">HYPGEOMDIST(M$50,SampleCalc!$B$15,SampleCalc!$B$9*$Z146,SampleCalc!$B$9)+L146</f>
        <v>1.96062865187661E-2</v>
      </c>
      <c r="N146">
        <f ca="1">HYPGEOMDIST(N$50,SampleCalc!$B$15,SampleCalc!$B$9*$Z146,SampleCalc!$B$9)+M146</f>
        <v>4.3464850157571469E-2</v>
      </c>
      <c r="O146">
        <f ca="1">HYPGEOMDIST(O$50,SampleCalc!$B$15,SampleCalc!$B$9*$Z146,SampleCalc!$B$9)+N146</f>
        <v>8.534831083625774E-2</v>
      </c>
      <c r="P146">
        <f ca="1">HYPGEOMDIST(P$50,SampleCalc!$B$15,SampleCalc!$B$9*$Z146,SampleCalc!$B$9)+O146</f>
        <v>0.15025753634206468</v>
      </c>
      <c r="Q146">
        <f ca="1">HYPGEOMDIST(Q$50,SampleCalc!$B$15,SampleCalc!$B$9*$Z146,SampleCalc!$B$9)+P146</f>
        <v>0.23977099629476301</v>
      </c>
      <c r="R146">
        <f ca="1">HYPGEOMDIST(R$50,SampleCalc!$B$15,SampleCalc!$B$9*$Z146,SampleCalc!$B$9)+Q146</f>
        <v>0.35034644682456678</v>
      </c>
      <c r="S146">
        <f ca="1">HYPGEOMDIST(S$50,SampleCalc!$B$15,SampleCalc!$B$9*$Z146,SampleCalc!$B$9)+R146</f>
        <v>0.47338306040108918</v>
      </c>
      <c r="T146">
        <f ca="1">HYPGEOMDIST(T$50,SampleCalc!$B$15,SampleCalc!$B$9*$Z146,SampleCalc!$B$9)+S146</f>
        <v>0.59728308880972747</v>
      </c>
      <c r="U146">
        <f ca="1">HYPGEOMDIST(U$50,SampleCalc!$B$15,SampleCalc!$B$9*$Z146,SampleCalc!$B$9)+T146</f>
        <v>0.7106624515408102</v>
      </c>
      <c r="V146">
        <f ca="1">HYPGEOMDIST(V$50,SampleCalc!$B$15,SampleCalc!$B$9*$Z146,SampleCalc!$B$9)+U146</f>
        <v>0.80527450525621436</v>
      </c>
      <c r="W146">
        <f ca="1">HYPGEOMDIST(W$50,SampleCalc!$B$15,SampleCalc!$B$9*$Z146,SampleCalc!$B$9)+V146</f>
        <v>0.87749046896169192</v>
      </c>
      <c r="X146">
        <f ca="1">HYPGEOMDIST(X$50,SampleCalc!$B$15,SampleCalc!$B$9*$Z146,SampleCalc!$B$9)+W146</f>
        <v>0.92804384057297995</v>
      </c>
      <c r="Y146">
        <f ca="1">HYPGEOMDIST(Y$50,SampleCalc!$B$15,SampleCalc!$B$9*$Z146,SampleCalc!$B$9)+X146</f>
        <v>0.96057573648306827</v>
      </c>
      <c r="Z146">
        <v>0.155</v>
      </c>
    </row>
    <row r="147" spans="5:26">
      <c r="E147">
        <f ca="1">HYPGEOMDIST(E$50,SampleCalc!$B$15,SampleCalc!$B$9*$Z147,SampleCalc!$B$9)</f>
        <v>1.5400105140081673E-8</v>
      </c>
      <c r="F147">
        <f ca="1">HYPGEOMDIST(F$50,SampleCalc!$B$15,SampleCalc!$B$9*$Z147,SampleCalc!$B$9)+E147</f>
        <v>3.6246588927265435E-7</v>
      </c>
      <c r="G147">
        <f ca="1">HYPGEOMDIST(G$50,SampleCalc!$B$15,SampleCalc!$B$9*$Z147,SampleCalc!$B$9)+F147</f>
        <v>4.1706953139492046E-6</v>
      </c>
      <c r="H147">
        <f ca="1">HYPGEOMDIST(H$50,SampleCalc!$B$15,SampleCalc!$B$9*$Z147,SampleCalc!$B$9)+G147</f>
        <v>3.1289904853312522E-5</v>
      </c>
      <c r="I147">
        <f ca="1">HYPGEOMDIST(I$50,SampleCalc!$B$15,SampleCalc!$B$9*$Z147,SampleCalc!$B$9)+H147</f>
        <v>1.722524426553506E-4</v>
      </c>
      <c r="J147">
        <f ca="1">HYPGEOMDIST(J$50,SampleCalc!$B$15,SampleCalc!$B$9*$Z147,SampleCalc!$B$9)+I147</f>
        <v>7.4255630041347633E-4</v>
      </c>
      <c r="K147">
        <f ca="1">HYPGEOMDIST(K$50,SampleCalc!$B$15,SampleCalc!$B$9*$Z147,SampleCalc!$B$9)+J147</f>
        <v>2.6127419240527371E-3</v>
      </c>
      <c r="L147">
        <f ca="1">HYPGEOMDIST(L$50,SampleCalc!$B$15,SampleCalc!$B$9*$Z147,SampleCalc!$B$9)+K147</f>
        <v>7.7241560109025525E-3</v>
      </c>
      <c r="M147">
        <f ca="1">HYPGEOMDIST(M$50,SampleCalc!$B$15,SampleCalc!$B$9*$Z147,SampleCalc!$B$9)+L147</f>
        <v>1.96062865187661E-2</v>
      </c>
      <c r="N147">
        <f ca="1">HYPGEOMDIST(N$50,SampleCalc!$B$15,SampleCalc!$B$9*$Z147,SampleCalc!$B$9)+M147</f>
        <v>4.3464850157571469E-2</v>
      </c>
      <c r="O147">
        <f ca="1">HYPGEOMDIST(O$50,SampleCalc!$B$15,SampleCalc!$B$9*$Z147,SampleCalc!$B$9)+N147</f>
        <v>8.534831083625774E-2</v>
      </c>
      <c r="P147">
        <f ca="1">HYPGEOMDIST(P$50,SampleCalc!$B$15,SampleCalc!$B$9*$Z147,SampleCalc!$B$9)+O147</f>
        <v>0.15025753634206468</v>
      </c>
      <c r="Q147">
        <f ca="1">HYPGEOMDIST(Q$50,SampleCalc!$B$15,SampleCalc!$B$9*$Z147,SampleCalc!$B$9)+P147</f>
        <v>0.23977099629476301</v>
      </c>
      <c r="R147">
        <f ca="1">HYPGEOMDIST(R$50,SampleCalc!$B$15,SampleCalc!$B$9*$Z147,SampleCalc!$B$9)+Q147</f>
        <v>0.35034644682456678</v>
      </c>
      <c r="S147">
        <f ca="1">HYPGEOMDIST(S$50,SampleCalc!$B$15,SampleCalc!$B$9*$Z147,SampleCalc!$B$9)+R147</f>
        <v>0.47338306040108918</v>
      </c>
      <c r="T147">
        <f ca="1">HYPGEOMDIST(T$50,SampleCalc!$B$15,SampleCalc!$B$9*$Z147,SampleCalc!$B$9)+S147</f>
        <v>0.59728308880972747</v>
      </c>
      <c r="U147">
        <f ca="1">HYPGEOMDIST(U$50,SampleCalc!$B$15,SampleCalc!$B$9*$Z147,SampleCalc!$B$9)+T147</f>
        <v>0.7106624515408102</v>
      </c>
      <c r="V147">
        <f ca="1">HYPGEOMDIST(V$50,SampleCalc!$B$15,SampleCalc!$B$9*$Z147,SampleCalc!$B$9)+U147</f>
        <v>0.80527450525621436</v>
      </c>
      <c r="W147">
        <f ca="1">HYPGEOMDIST(W$50,SampleCalc!$B$15,SampleCalc!$B$9*$Z147,SampleCalc!$B$9)+V147</f>
        <v>0.87749046896169192</v>
      </c>
      <c r="X147">
        <f ca="1">HYPGEOMDIST(X$50,SampleCalc!$B$15,SampleCalc!$B$9*$Z147,SampleCalc!$B$9)+W147</f>
        <v>0.92804384057297995</v>
      </c>
      <c r="Y147">
        <f ca="1">HYPGEOMDIST(Y$50,SampleCalc!$B$15,SampleCalc!$B$9*$Z147,SampleCalc!$B$9)+X147</f>
        <v>0.96057573648306827</v>
      </c>
      <c r="Z147">
        <v>0.154</v>
      </c>
    </row>
    <row r="148" spans="5:26">
      <c r="E148">
        <f ca="1">HYPGEOMDIST(E$50,SampleCalc!$B$15,SampleCalc!$B$9*$Z148,SampleCalc!$B$9)</f>
        <v>1.9907452985959251E-8</v>
      </c>
      <c r="F148">
        <f ca="1">HYPGEOMDIST(F$50,SampleCalc!$B$15,SampleCalc!$B$9*$Z148,SampleCalc!$B$9)+E148</f>
        <v>4.6138093926425251E-7</v>
      </c>
      <c r="G148">
        <f ca="1">HYPGEOMDIST(G$50,SampleCalc!$B$15,SampleCalc!$B$9*$Z148,SampleCalc!$B$9)+F148</f>
        <v>5.2272878934049181E-6</v>
      </c>
      <c r="H148">
        <f ca="1">HYPGEOMDIST(H$50,SampleCalc!$B$15,SampleCalc!$B$9*$Z148,SampleCalc!$B$9)+G148</f>
        <v>3.8612634089782047E-5</v>
      </c>
      <c r="I148">
        <f ca="1">HYPGEOMDIST(I$50,SampleCalc!$B$15,SampleCalc!$B$9*$Z148,SampleCalc!$B$9)+H148</f>
        <v>2.0928516069159268E-4</v>
      </c>
      <c r="J148">
        <f ca="1">HYPGEOMDIST(J$50,SampleCalc!$B$15,SampleCalc!$B$9*$Z148,SampleCalc!$B$9)+I148</f>
        <v>8.8828505030744522E-4</v>
      </c>
      <c r="K148">
        <f ca="1">HYPGEOMDIST(K$50,SampleCalc!$B$15,SampleCalc!$B$9*$Z148,SampleCalc!$B$9)+J148</f>
        <v>3.077415931948174E-3</v>
      </c>
      <c r="L148">
        <f ca="1">HYPGEOMDIST(L$50,SampleCalc!$B$15,SampleCalc!$B$9*$Z148,SampleCalc!$B$9)+K148</f>
        <v>8.9586630766546015E-3</v>
      </c>
      <c r="M148">
        <f ca="1">HYPGEOMDIST(M$50,SampleCalc!$B$15,SampleCalc!$B$9*$Z148,SampleCalc!$B$9)+L148</f>
        <v>2.2394949801223859E-2</v>
      </c>
      <c r="N148">
        <f ca="1">HYPGEOMDIST(N$50,SampleCalc!$B$15,SampleCalc!$B$9*$Z148,SampleCalc!$B$9)+M148</f>
        <v>4.8904260635322952E-2</v>
      </c>
      <c r="O148">
        <f ca="1">HYPGEOMDIST(O$50,SampleCalc!$B$15,SampleCalc!$B$9*$Z148,SampleCalc!$B$9)+N148</f>
        <v>9.4621057337087311E-2</v>
      </c>
      <c r="P148">
        <f ca="1">HYPGEOMDIST(P$50,SampleCalc!$B$15,SampleCalc!$B$9*$Z148,SampleCalc!$B$9)+O148</f>
        <v>0.16420768594508259</v>
      </c>
      <c r="Q148">
        <f ca="1">HYPGEOMDIST(Q$50,SampleCalc!$B$15,SampleCalc!$B$9*$Z148,SampleCalc!$B$9)+P148</f>
        <v>0.25843957885174285</v>
      </c>
      <c r="R148">
        <f ca="1">HYPGEOMDIST(R$50,SampleCalc!$B$15,SampleCalc!$B$9*$Z148,SampleCalc!$B$9)+Q148</f>
        <v>0.37271674020211631</v>
      </c>
      <c r="S148">
        <f ca="1">HYPGEOMDIST(S$50,SampleCalc!$B$15,SampleCalc!$B$9*$Z148,SampleCalc!$B$9)+R148</f>
        <v>0.49751942957160306</v>
      </c>
      <c r="T148">
        <f ca="1">HYPGEOMDIST(T$50,SampleCalc!$B$15,SampleCalc!$B$9*$Z148,SampleCalc!$B$9)+S148</f>
        <v>0.62084243690969276</v>
      </c>
      <c r="U148">
        <f ca="1">HYPGEOMDIST(U$50,SampleCalc!$B$15,SampleCalc!$B$9*$Z148,SampleCalc!$B$9)+T148</f>
        <v>0.73155082703641894</v>
      </c>
      <c r="V148">
        <f ca="1">HYPGEOMDIST(V$50,SampleCalc!$B$15,SampleCalc!$B$9*$Z148,SampleCalc!$B$9)+U148</f>
        <v>0.82215615910944295</v>
      </c>
      <c r="W148">
        <f ca="1">HYPGEOMDIST(W$50,SampleCalc!$B$15,SampleCalc!$B$9*$Z148,SampleCalc!$B$9)+V148</f>
        <v>0.88996467754110076</v>
      </c>
      <c r="X148">
        <f ca="1">HYPGEOMDIST(X$50,SampleCalc!$B$15,SampleCalc!$B$9*$Z148,SampleCalc!$B$9)+W148</f>
        <v>0.93649368366650954</v>
      </c>
      <c r="Y148">
        <f ca="1">HYPGEOMDIST(Y$50,SampleCalc!$B$15,SampleCalc!$B$9*$Z148,SampleCalc!$B$9)+X148</f>
        <v>0.96583503537404103</v>
      </c>
      <c r="Z148">
        <v>0.153</v>
      </c>
    </row>
    <row r="149" spans="5:26">
      <c r="E149">
        <f ca="1">HYPGEOMDIST(E$50,SampleCalc!$B$15,SampleCalc!$B$9*$Z149,SampleCalc!$B$9)</f>
        <v>1.9907452985959251E-8</v>
      </c>
      <c r="F149">
        <f ca="1">HYPGEOMDIST(F$50,SampleCalc!$B$15,SampleCalc!$B$9*$Z149,SampleCalc!$B$9)+E149</f>
        <v>4.6138093926425251E-7</v>
      </c>
      <c r="G149">
        <f ca="1">HYPGEOMDIST(G$50,SampleCalc!$B$15,SampleCalc!$B$9*$Z149,SampleCalc!$B$9)+F149</f>
        <v>5.2272878934049181E-6</v>
      </c>
      <c r="H149">
        <f ca="1">HYPGEOMDIST(H$50,SampleCalc!$B$15,SampleCalc!$B$9*$Z149,SampleCalc!$B$9)+G149</f>
        <v>3.8612634089782047E-5</v>
      </c>
      <c r="I149">
        <f ca="1">HYPGEOMDIST(I$50,SampleCalc!$B$15,SampleCalc!$B$9*$Z149,SampleCalc!$B$9)+H149</f>
        <v>2.0928516069159268E-4</v>
      </c>
      <c r="J149">
        <f ca="1">HYPGEOMDIST(J$50,SampleCalc!$B$15,SampleCalc!$B$9*$Z149,SampleCalc!$B$9)+I149</f>
        <v>8.8828505030744522E-4</v>
      </c>
      <c r="K149">
        <f ca="1">HYPGEOMDIST(K$50,SampleCalc!$B$15,SampleCalc!$B$9*$Z149,SampleCalc!$B$9)+J149</f>
        <v>3.077415931948174E-3</v>
      </c>
      <c r="L149">
        <f ca="1">HYPGEOMDIST(L$50,SampleCalc!$B$15,SampleCalc!$B$9*$Z149,SampleCalc!$B$9)+K149</f>
        <v>8.9586630766546015E-3</v>
      </c>
      <c r="M149">
        <f ca="1">HYPGEOMDIST(M$50,SampleCalc!$B$15,SampleCalc!$B$9*$Z149,SampleCalc!$B$9)+L149</f>
        <v>2.2394949801223859E-2</v>
      </c>
      <c r="N149">
        <f ca="1">HYPGEOMDIST(N$50,SampleCalc!$B$15,SampleCalc!$B$9*$Z149,SampleCalc!$B$9)+M149</f>
        <v>4.8904260635322952E-2</v>
      </c>
      <c r="O149">
        <f ca="1">HYPGEOMDIST(O$50,SampleCalc!$B$15,SampleCalc!$B$9*$Z149,SampleCalc!$B$9)+N149</f>
        <v>9.4621057337087311E-2</v>
      </c>
      <c r="P149">
        <f ca="1">HYPGEOMDIST(P$50,SampleCalc!$B$15,SampleCalc!$B$9*$Z149,SampleCalc!$B$9)+O149</f>
        <v>0.16420768594508259</v>
      </c>
      <c r="Q149">
        <f ca="1">HYPGEOMDIST(Q$50,SampleCalc!$B$15,SampleCalc!$B$9*$Z149,SampleCalc!$B$9)+P149</f>
        <v>0.25843957885174285</v>
      </c>
      <c r="R149">
        <f ca="1">HYPGEOMDIST(R$50,SampleCalc!$B$15,SampleCalc!$B$9*$Z149,SampleCalc!$B$9)+Q149</f>
        <v>0.37271674020211631</v>
      </c>
      <c r="S149">
        <f ca="1">HYPGEOMDIST(S$50,SampleCalc!$B$15,SampleCalc!$B$9*$Z149,SampleCalc!$B$9)+R149</f>
        <v>0.49751942957160306</v>
      </c>
      <c r="T149">
        <f ca="1">HYPGEOMDIST(T$50,SampleCalc!$B$15,SampleCalc!$B$9*$Z149,SampleCalc!$B$9)+S149</f>
        <v>0.62084243690969276</v>
      </c>
      <c r="U149">
        <f ca="1">HYPGEOMDIST(U$50,SampleCalc!$B$15,SampleCalc!$B$9*$Z149,SampleCalc!$B$9)+T149</f>
        <v>0.73155082703641894</v>
      </c>
      <c r="V149">
        <f ca="1">HYPGEOMDIST(V$50,SampleCalc!$B$15,SampleCalc!$B$9*$Z149,SampleCalc!$B$9)+U149</f>
        <v>0.82215615910944295</v>
      </c>
      <c r="W149">
        <f ca="1">HYPGEOMDIST(W$50,SampleCalc!$B$15,SampleCalc!$B$9*$Z149,SampleCalc!$B$9)+V149</f>
        <v>0.88996467754110076</v>
      </c>
      <c r="X149">
        <f ca="1">HYPGEOMDIST(X$50,SampleCalc!$B$15,SampleCalc!$B$9*$Z149,SampleCalc!$B$9)+W149</f>
        <v>0.93649368366650954</v>
      </c>
      <c r="Y149">
        <f ca="1">HYPGEOMDIST(Y$50,SampleCalc!$B$15,SampleCalc!$B$9*$Z149,SampleCalc!$B$9)+X149</f>
        <v>0.96583503537404103</v>
      </c>
      <c r="Z149">
        <v>0.152</v>
      </c>
    </row>
    <row r="150" spans="5:26">
      <c r="E150">
        <f ca="1">HYPGEOMDIST(E$50,SampleCalc!$B$15,SampleCalc!$B$9*$Z150,SampleCalc!$B$9)</f>
        <v>2.5716314647515714E-8</v>
      </c>
      <c r="F150">
        <f ca="1">HYPGEOMDIST(F$50,SampleCalc!$B$15,SampleCalc!$B$9*$Z150,SampleCalc!$B$9)+E150</f>
        <v>5.8679954332058564E-7</v>
      </c>
      <c r="G150">
        <f ca="1">HYPGEOMDIST(G$50,SampleCalc!$B$15,SampleCalc!$B$9*$Z150,SampleCalc!$B$9)+F150</f>
        <v>6.5451305064198062E-6</v>
      </c>
      <c r="H150">
        <f ca="1">HYPGEOMDIST(H$50,SampleCalc!$B$15,SampleCalc!$B$9*$Z150,SampleCalc!$B$9)+G150</f>
        <v>4.7595398647772109E-5</v>
      </c>
      <c r="I150">
        <f ca="1">HYPGEOMDIST(I$50,SampleCalc!$B$15,SampleCalc!$B$9*$Z150,SampleCalc!$B$9)+H150</f>
        <v>2.5395620606105684E-4</v>
      </c>
      <c r="J150">
        <f ca="1">HYPGEOMDIST(J$50,SampleCalc!$B$15,SampleCalc!$B$9*$Z150,SampleCalc!$B$9)+I150</f>
        <v>1.0611111725422396E-3</v>
      </c>
      <c r="K150">
        <f ca="1">HYPGEOMDIST(K$50,SampleCalc!$B$15,SampleCalc!$B$9*$Z150,SampleCalc!$B$9)+J150</f>
        <v>3.6191097479079744E-3</v>
      </c>
      <c r="L150">
        <f ca="1">HYPGEOMDIST(L$50,SampleCalc!$B$15,SampleCalc!$B$9*$Z150,SampleCalc!$B$9)+K150</f>
        <v>1.0373009047661889E-2</v>
      </c>
      <c r="M150">
        <f ca="1">HYPGEOMDIST(M$50,SampleCalc!$B$15,SampleCalc!$B$9*$Z150,SampleCalc!$B$9)+L150</f>
        <v>2.5534210294735606E-2</v>
      </c>
      <c r="N150">
        <f ca="1">HYPGEOMDIST(N$50,SampleCalc!$B$15,SampleCalc!$B$9*$Z150,SampleCalc!$B$9)+M150</f>
        <v>5.4919628622397215E-2</v>
      </c>
      <c r="O150">
        <f ca="1">HYPGEOMDIST(O$50,SampleCalc!$B$15,SampleCalc!$B$9*$Z150,SampleCalc!$B$9)+N150</f>
        <v>0.1046928062145603</v>
      </c>
      <c r="P150">
        <f ca="1">HYPGEOMDIST(P$50,SampleCalc!$B$15,SampleCalc!$B$9*$Z150,SampleCalc!$B$9)+O150</f>
        <v>0.17908640587771313</v>
      </c>
      <c r="Q150">
        <f ca="1">HYPGEOMDIST(Q$50,SampleCalc!$B$15,SampleCalc!$B$9*$Z150,SampleCalc!$B$9)+P150</f>
        <v>0.27798698803009619</v>
      </c>
      <c r="R150">
        <f ca="1">HYPGEOMDIST(R$50,SampleCalc!$B$15,SampleCalc!$B$9*$Z150,SampleCalc!$B$9)+Q150</f>
        <v>0.39570670929649537</v>
      </c>
      <c r="S150">
        <f ca="1">HYPGEOMDIST(S$50,SampleCalc!$B$15,SampleCalc!$B$9*$Z150,SampleCalc!$B$9)+R150</f>
        <v>0.52185949680938393</v>
      </c>
      <c r="T150">
        <f ca="1">HYPGEOMDIST(T$50,SampleCalc!$B$15,SampleCalc!$B$9*$Z150,SampleCalc!$B$9)+S150</f>
        <v>0.6441494664100561</v>
      </c>
      <c r="U150">
        <f ca="1">HYPGEOMDIST(U$50,SampleCalc!$B$15,SampleCalc!$B$9*$Z150,SampleCalc!$B$9)+T150</f>
        <v>0.75181780921064789</v>
      </c>
      <c r="V150">
        <f ca="1">HYPGEOMDIST(V$50,SampleCalc!$B$15,SampleCalc!$B$9*$Z150,SampleCalc!$B$9)+U150</f>
        <v>0.83821607136957232</v>
      </c>
      <c r="W150">
        <f ca="1">HYPGEOMDIST(W$50,SampleCalc!$B$15,SampleCalc!$B$9*$Z150,SampleCalc!$B$9)+V150</f>
        <v>0.90159692907245281</v>
      </c>
      <c r="X150">
        <f ca="1">HYPGEOMDIST(X$50,SampleCalc!$B$15,SampleCalc!$B$9*$Z150,SampleCalc!$B$9)+W150</f>
        <v>0.94421509201059661</v>
      </c>
      <c r="Y150">
        <f ca="1">HYPGEOMDIST(Y$50,SampleCalc!$B$15,SampleCalc!$B$9*$Z150,SampleCalc!$B$9)+X150</f>
        <v>0.9705431032698052</v>
      </c>
      <c r="Z150">
        <v>0.151</v>
      </c>
    </row>
    <row r="151" spans="5:26">
      <c r="E151">
        <f ca="1">HYPGEOMDIST(E$50,SampleCalc!$B$15,SampleCalc!$B$9*$Z151,SampleCalc!$B$9)</f>
        <v>2.5716314647515714E-8</v>
      </c>
      <c r="F151">
        <f ca="1">HYPGEOMDIST(F$50,SampleCalc!$B$15,SampleCalc!$B$9*$Z151,SampleCalc!$B$9)+E151</f>
        <v>5.8679954332058564E-7</v>
      </c>
      <c r="G151">
        <f ca="1">HYPGEOMDIST(G$50,SampleCalc!$B$15,SampleCalc!$B$9*$Z151,SampleCalc!$B$9)+F151</f>
        <v>6.5451305064198062E-6</v>
      </c>
      <c r="H151">
        <f ca="1">HYPGEOMDIST(H$50,SampleCalc!$B$15,SampleCalc!$B$9*$Z151,SampleCalc!$B$9)+G151</f>
        <v>4.7595398647772109E-5</v>
      </c>
      <c r="I151">
        <f ca="1">HYPGEOMDIST(I$50,SampleCalc!$B$15,SampleCalc!$B$9*$Z151,SampleCalc!$B$9)+H151</f>
        <v>2.5395620606105684E-4</v>
      </c>
      <c r="J151">
        <f ca="1">HYPGEOMDIST(J$50,SampleCalc!$B$15,SampleCalc!$B$9*$Z151,SampleCalc!$B$9)+I151</f>
        <v>1.0611111725422396E-3</v>
      </c>
      <c r="K151">
        <f ca="1">HYPGEOMDIST(K$50,SampleCalc!$B$15,SampleCalc!$B$9*$Z151,SampleCalc!$B$9)+J151</f>
        <v>3.6191097479079744E-3</v>
      </c>
      <c r="L151">
        <f ca="1">HYPGEOMDIST(L$50,SampleCalc!$B$15,SampleCalc!$B$9*$Z151,SampleCalc!$B$9)+K151</f>
        <v>1.0373009047661889E-2</v>
      </c>
      <c r="M151">
        <f ca="1">HYPGEOMDIST(M$50,SampleCalc!$B$15,SampleCalc!$B$9*$Z151,SampleCalc!$B$9)+L151</f>
        <v>2.5534210294735606E-2</v>
      </c>
      <c r="N151">
        <f ca="1">HYPGEOMDIST(N$50,SampleCalc!$B$15,SampleCalc!$B$9*$Z151,SampleCalc!$B$9)+M151</f>
        <v>5.4919628622397215E-2</v>
      </c>
      <c r="O151">
        <f ca="1">HYPGEOMDIST(O$50,SampleCalc!$B$15,SampleCalc!$B$9*$Z151,SampleCalc!$B$9)+N151</f>
        <v>0.1046928062145603</v>
      </c>
      <c r="P151">
        <f ca="1">HYPGEOMDIST(P$50,SampleCalc!$B$15,SampleCalc!$B$9*$Z151,SampleCalc!$B$9)+O151</f>
        <v>0.17908640587771313</v>
      </c>
      <c r="Q151">
        <f ca="1">HYPGEOMDIST(Q$50,SampleCalc!$B$15,SampleCalc!$B$9*$Z151,SampleCalc!$B$9)+P151</f>
        <v>0.27798698803009619</v>
      </c>
      <c r="R151">
        <f ca="1">HYPGEOMDIST(R$50,SampleCalc!$B$15,SampleCalc!$B$9*$Z151,SampleCalc!$B$9)+Q151</f>
        <v>0.39570670929649537</v>
      </c>
      <c r="S151">
        <f ca="1">HYPGEOMDIST(S$50,SampleCalc!$B$15,SampleCalc!$B$9*$Z151,SampleCalc!$B$9)+R151</f>
        <v>0.52185949680938393</v>
      </c>
      <c r="T151">
        <f ca="1">HYPGEOMDIST(T$50,SampleCalc!$B$15,SampleCalc!$B$9*$Z151,SampleCalc!$B$9)+S151</f>
        <v>0.6441494664100561</v>
      </c>
      <c r="U151">
        <f ca="1">HYPGEOMDIST(U$50,SampleCalc!$B$15,SampleCalc!$B$9*$Z151,SampleCalc!$B$9)+T151</f>
        <v>0.75181780921064789</v>
      </c>
      <c r="V151">
        <f ca="1">HYPGEOMDIST(V$50,SampleCalc!$B$15,SampleCalc!$B$9*$Z151,SampleCalc!$B$9)+U151</f>
        <v>0.83821607136957232</v>
      </c>
      <c r="W151">
        <f ca="1">HYPGEOMDIST(W$50,SampleCalc!$B$15,SampleCalc!$B$9*$Z151,SampleCalc!$B$9)+V151</f>
        <v>0.90159692907245281</v>
      </c>
      <c r="X151">
        <f ca="1">HYPGEOMDIST(X$50,SampleCalc!$B$15,SampleCalc!$B$9*$Z151,SampleCalc!$B$9)+W151</f>
        <v>0.94421509201059661</v>
      </c>
      <c r="Y151">
        <f ca="1">HYPGEOMDIST(Y$50,SampleCalc!$B$15,SampleCalc!$B$9*$Z151,SampleCalc!$B$9)+X151</f>
        <v>0.9705431032698052</v>
      </c>
      <c r="Z151">
        <v>0.15</v>
      </c>
    </row>
    <row r="152" spans="5:26">
      <c r="E152">
        <f ca="1">HYPGEOMDIST(E$50,SampleCalc!$B$15,SampleCalc!$B$9*$Z152,SampleCalc!$B$9)</f>
        <v>3.319742436315664E-8</v>
      </c>
      <c r="F152">
        <f ca="1">HYPGEOMDIST(F$50,SampleCalc!$B$15,SampleCalc!$B$9*$Z152,SampleCalc!$B$9)+E152</f>
        <v>7.4568836900323182E-7</v>
      </c>
      <c r="G152">
        <f ca="1">HYPGEOMDIST(G$50,SampleCalc!$B$15,SampleCalc!$B$9*$Z152,SampleCalc!$B$9)+F152</f>
        <v>8.187141232073904E-6</v>
      </c>
      <c r="H152">
        <f ca="1">HYPGEOMDIST(H$50,SampleCalc!$B$15,SampleCalc!$B$9*$Z152,SampleCalc!$B$9)+G152</f>
        <v>5.8601308376480666E-5</v>
      </c>
      <c r="I152">
        <f ca="1">HYPGEOMDIST(I$50,SampleCalc!$B$15,SampleCalc!$B$9*$Z152,SampleCalc!$B$9)+H152</f>
        <v>3.0776653715980232E-4</v>
      </c>
      <c r="J152">
        <f ca="1">HYPGEOMDIST(J$50,SampleCalc!$B$15,SampleCalc!$B$9*$Z152,SampleCalc!$B$9)+I152</f>
        <v>1.2657510585714973E-3</v>
      </c>
      <c r="K152">
        <f ca="1">HYPGEOMDIST(K$50,SampleCalc!$B$15,SampleCalc!$B$9*$Z152,SampleCalc!$B$9)+J152</f>
        <v>4.2494736825516716E-3</v>
      </c>
      <c r="L152">
        <f ca="1">HYPGEOMDIST(L$50,SampleCalc!$B$15,SampleCalc!$B$9*$Z152,SampleCalc!$B$9)+K152</f>
        <v>1.1990203847349759E-2</v>
      </c>
      <c r="M152">
        <f ca="1">HYPGEOMDIST(M$50,SampleCalc!$B$15,SampleCalc!$B$9*$Z152,SampleCalc!$B$9)+L152</f>
        <v>2.9060460494055002E-2</v>
      </c>
      <c r="N152">
        <f ca="1">HYPGEOMDIST(N$50,SampleCalc!$B$15,SampleCalc!$B$9*$Z152,SampleCalc!$B$9)+M152</f>
        <v>6.1556052301352276E-2</v>
      </c>
      <c r="O152">
        <f ca="1">HYPGEOMDIST(O$50,SampleCalc!$B$15,SampleCalc!$B$9*$Z152,SampleCalc!$B$9)+N152</f>
        <v>0.11560386749848935</v>
      </c>
      <c r="P152">
        <f ca="1">HYPGEOMDIST(P$50,SampleCalc!$B$15,SampleCalc!$B$9*$Z152,SampleCalc!$B$9)+O152</f>
        <v>0.1949104990220944</v>
      </c>
      <c r="Q152">
        <f ca="1">HYPGEOMDIST(Q$50,SampleCalc!$B$15,SampleCalc!$B$9*$Z152,SampleCalc!$B$9)+P152</f>
        <v>0.29839173971627198</v>
      </c>
      <c r="R152">
        <f ca="1">HYPGEOMDIST(R$50,SampleCalc!$B$15,SampleCalc!$B$9*$Z152,SampleCalc!$B$9)+Q152</f>
        <v>0.41925522963223466</v>
      </c>
      <c r="S152">
        <f ca="1">HYPGEOMDIST(S$50,SampleCalc!$B$15,SampleCalc!$B$9*$Z152,SampleCalc!$B$9)+R152</f>
        <v>0.54631749072951841</v>
      </c>
      <c r="T152">
        <f ca="1">HYPGEOMDIST(T$50,SampleCalc!$B$15,SampleCalc!$B$9*$Z152,SampleCalc!$B$9)+S152</f>
        <v>0.66711871287418245</v>
      </c>
      <c r="U152">
        <f ca="1">HYPGEOMDIST(U$50,SampleCalc!$B$15,SampleCalc!$B$9*$Z152,SampleCalc!$B$9)+T152</f>
        <v>0.77140141530000417</v>
      </c>
      <c r="V152">
        <f ca="1">HYPGEOMDIST(V$50,SampleCalc!$B$15,SampleCalc!$B$9*$Z152,SampleCalc!$B$9)+U152</f>
        <v>0.85342747721826373</v>
      </c>
      <c r="W152">
        <f ca="1">HYPGEOMDIST(W$50,SampleCalc!$B$15,SampleCalc!$B$9*$Z152,SampleCalc!$B$9)+V152</f>
        <v>0.91239353035011606</v>
      </c>
      <c r="X152">
        <f ca="1">HYPGEOMDIST(X$50,SampleCalc!$B$15,SampleCalc!$B$9*$Z152,SampleCalc!$B$9)+W152</f>
        <v>0.95123589501305239</v>
      </c>
      <c r="Y152">
        <f ca="1">HYPGEOMDIST(Y$50,SampleCalc!$B$15,SampleCalc!$B$9*$Z152,SampleCalc!$B$9)+X152</f>
        <v>0.97473552563412891</v>
      </c>
      <c r="Z152">
        <v>0.14899999999999999</v>
      </c>
    </row>
    <row r="153" spans="5:26">
      <c r="E153">
        <f ca="1">HYPGEOMDIST(E$50,SampleCalc!$B$15,SampleCalc!$B$9*$Z153,SampleCalc!$B$9)</f>
        <v>3.319742436315664E-8</v>
      </c>
      <c r="F153">
        <f ca="1">HYPGEOMDIST(F$50,SampleCalc!$B$15,SampleCalc!$B$9*$Z153,SampleCalc!$B$9)+E153</f>
        <v>7.4568836900323182E-7</v>
      </c>
      <c r="G153">
        <f ca="1">HYPGEOMDIST(G$50,SampleCalc!$B$15,SampleCalc!$B$9*$Z153,SampleCalc!$B$9)+F153</f>
        <v>8.187141232073904E-6</v>
      </c>
      <c r="H153">
        <f ca="1">HYPGEOMDIST(H$50,SampleCalc!$B$15,SampleCalc!$B$9*$Z153,SampleCalc!$B$9)+G153</f>
        <v>5.8601308376480666E-5</v>
      </c>
      <c r="I153">
        <f ca="1">HYPGEOMDIST(I$50,SampleCalc!$B$15,SampleCalc!$B$9*$Z153,SampleCalc!$B$9)+H153</f>
        <v>3.0776653715980232E-4</v>
      </c>
      <c r="J153">
        <f ca="1">HYPGEOMDIST(J$50,SampleCalc!$B$15,SampleCalc!$B$9*$Z153,SampleCalc!$B$9)+I153</f>
        <v>1.2657510585714973E-3</v>
      </c>
      <c r="K153">
        <f ca="1">HYPGEOMDIST(K$50,SampleCalc!$B$15,SampleCalc!$B$9*$Z153,SampleCalc!$B$9)+J153</f>
        <v>4.2494736825516716E-3</v>
      </c>
      <c r="L153">
        <f ca="1">HYPGEOMDIST(L$50,SampleCalc!$B$15,SampleCalc!$B$9*$Z153,SampleCalc!$B$9)+K153</f>
        <v>1.1990203847349759E-2</v>
      </c>
      <c r="M153">
        <f ca="1">HYPGEOMDIST(M$50,SampleCalc!$B$15,SampleCalc!$B$9*$Z153,SampleCalc!$B$9)+L153</f>
        <v>2.9060460494055002E-2</v>
      </c>
      <c r="N153">
        <f ca="1">HYPGEOMDIST(N$50,SampleCalc!$B$15,SampleCalc!$B$9*$Z153,SampleCalc!$B$9)+M153</f>
        <v>6.1556052301352276E-2</v>
      </c>
      <c r="O153">
        <f ca="1">HYPGEOMDIST(O$50,SampleCalc!$B$15,SampleCalc!$B$9*$Z153,SampleCalc!$B$9)+N153</f>
        <v>0.11560386749848935</v>
      </c>
      <c r="P153">
        <f ca="1">HYPGEOMDIST(P$50,SampleCalc!$B$15,SampleCalc!$B$9*$Z153,SampleCalc!$B$9)+O153</f>
        <v>0.1949104990220944</v>
      </c>
      <c r="Q153">
        <f ca="1">HYPGEOMDIST(Q$50,SampleCalc!$B$15,SampleCalc!$B$9*$Z153,SampleCalc!$B$9)+P153</f>
        <v>0.29839173971627198</v>
      </c>
      <c r="R153">
        <f ca="1">HYPGEOMDIST(R$50,SampleCalc!$B$15,SampleCalc!$B$9*$Z153,SampleCalc!$B$9)+Q153</f>
        <v>0.41925522963223466</v>
      </c>
      <c r="S153">
        <f ca="1">HYPGEOMDIST(S$50,SampleCalc!$B$15,SampleCalc!$B$9*$Z153,SampleCalc!$B$9)+R153</f>
        <v>0.54631749072951841</v>
      </c>
      <c r="T153">
        <f ca="1">HYPGEOMDIST(T$50,SampleCalc!$B$15,SampleCalc!$B$9*$Z153,SampleCalc!$B$9)+S153</f>
        <v>0.66711871287418245</v>
      </c>
      <c r="U153">
        <f ca="1">HYPGEOMDIST(U$50,SampleCalc!$B$15,SampleCalc!$B$9*$Z153,SampleCalc!$B$9)+T153</f>
        <v>0.77140141530000417</v>
      </c>
      <c r="V153">
        <f ca="1">HYPGEOMDIST(V$50,SampleCalc!$B$15,SampleCalc!$B$9*$Z153,SampleCalc!$B$9)+U153</f>
        <v>0.85342747721826373</v>
      </c>
      <c r="W153">
        <f ca="1">HYPGEOMDIST(W$50,SampleCalc!$B$15,SampleCalc!$B$9*$Z153,SampleCalc!$B$9)+V153</f>
        <v>0.91239353035011606</v>
      </c>
      <c r="X153">
        <f ca="1">HYPGEOMDIST(X$50,SampleCalc!$B$15,SampleCalc!$B$9*$Z153,SampleCalc!$B$9)+W153</f>
        <v>0.95123589501305239</v>
      </c>
      <c r="Y153">
        <f ca="1">HYPGEOMDIST(Y$50,SampleCalc!$B$15,SampleCalc!$B$9*$Z153,SampleCalc!$B$9)+X153</f>
        <v>0.97473552563412891</v>
      </c>
      <c r="Z153">
        <v>0.14799999999999999</v>
      </c>
    </row>
    <row r="154" spans="5:26">
      <c r="E154">
        <f ca="1">HYPGEOMDIST(E$50,SampleCalc!$B$15,SampleCalc!$B$9*$Z154,SampleCalc!$B$9)</f>
        <v>4.282568037180633E-8</v>
      </c>
      <c r="F154">
        <f ca="1">HYPGEOMDIST(F$50,SampleCalc!$B$15,SampleCalc!$B$9*$Z154,SampleCalc!$B$9)+E154</f>
        <v>9.46808716653791E-7</v>
      </c>
      <c r="G154">
        <f ca="1">HYPGEOMDIST(G$50,SampleCalc!$B$15,SampleCalc!$B$9*$Z154,SampleCalc!$B$9)+F154</f>
        <v>1.0230958819009322E-5</v>
      </c>
      <c r="H154">
        <f ca="1">HYPGEOMDIST(H$50,SampleCalc!$B$15,SampleCalc!$B$9*$Z154,SampleCalc!$B$9)+G154</f>
        <v>7.2069699121525067E-5</v>
      </c>
      <c r="I154">
        <f ca="1">HYPGEOMDIST(I$50,SampleCalc!$B$15,SampleCalc!$B$9*$Z154,SampleCalc!$B$9)+H154</f>
        <v>3.7249522103897052E-4</v>
      </c>
      <c r="J154">
        <f ca="1">HYPGEOMDIST(J$50,SampleCalc!$B$15,SampleCalc!$B$9*$Z154,SampleCalc!$B$9)+I154</f>
        <v>1.5076745145698892E-3</v>
      </c>
      <c r="K154">
        <f ca="1">HYPGEOMDIST(K$50,SampleCalc!$B$15,SampleCalc!$B$9*$Z154,SampleCalc!$B$9)+J154</f>
        <v>4.9817049143568992E-3</v>
      </c>
      <c r="L154">
        <f ca="1">HYPGEOMDIST(L$50,SampleCalc!$B$15,SampleCalc!$B$9*$Z154,SampleCalc!$B$9)+K154</f>
        <v>1.3835636998344922E-2</v>
      </c>
      <c r="M154">
        <f ca="1">HYPGEOMDIST(M$50,SampleCalc!$B$15,SampleCalc!$B$9*$Z154,SampleCalc!$B$9)+L154</f>
        <v>3.3012627065212768E-2</v>
      </c>
      <c r="N154">
        <f ca="1">HYPGEOMDIST(N$50,SampleCalc!$B$15,SampleCalc!$B$9*$Z154,SampleCalc!$B$9)+M154</f>
        <v>6.8859811111776192E-2</v>
      </c>
      <c r="O154">
        <f ca="1">HYPGEOMDIST(O$50,SampleCalc!$B$15,SampleCalc!$B$9*$Z154,SampleCalc!$B$9)+N154</f>
        <v>0.12739269110334955</v>
      </c>
      <c r="P154">
        <f ca="1">HYPGEOMDIST(P$50,SampleCalc!$B$15,SampleCalc!$B$9*$Z154,SampleCalc!$B$9)+O154</f>
        <v>0.21169124075628531</v>
      </c>
      <c r="Q154">
        <f ca="1">HYPGEOMDIST(Q$50,SampleCalc!$B$15,SampleCalc!$B$9*$Z154,SampleCalc!$B$9)+P154</f>
        <v>0.31962451497177902</v>
      </c>
      <c r="R154">
        <f ca="1">HYPGEOMDIST(R$50,SampleCalc!$B$15,SampleCalc!$B$9*$Z154,SampleCalc!$B$9)+Q154</f>
        <v>0.44329403578577486</v>
      </c>
      <c r="S154">
        <f ca="1">HYPGEOMDIST(S$50,SampleCalc!$B$15,SampleCalc!$B$9*$Z154,SampleCalc!$B$9)+R154</f>
        <v>0.5708042249480314</v>
      </c>
      <c r="T154">
        <f ca="1">HYPGEOMDIST(T$50,SampleCalc!$B$15,SampleCalc!$B$9*$Z154,SampleCalc!$B$9)+S154</f>
        <v>0.68966632420949525</v>
      </c>
      <c r="U154">
        <f ca="1">HYPGEOMDIST(U$50,SampleCalc!$B$15,SampleCalc!$B$9*$Z154,SampleCalc!$B$9)+T154</f>
        <v>0.7902452403352801</v>
      </c>
      <c r="V154">
        <f ca="1">HYPGEOMDIST(V$50,SampleCalc!$B$15,SampleCalc!$B$9*$Z154,SampleCalc!$B$9)+U154</f>
        <v>0.86777057122330903</v>
      </c>
      <c r="W154">
        <f ca="1">HYPGEOMDIST(W$50,SampleCalc!$B$15,SampleCalc!$B$9*$Z154,SampleCalc!$B$9)+V154</f>
        <v>0.92236656992573485</v>
      </c>
      <c r="X154">
        <f ca="1">HYPGEOMDIST(X$50,SampleCalc!$B$15,SampleCalc!$B$9*$Z154,SampleCalc!$B$9)+W154</f>
        <v>0.95758714653226229</v>
      </c>
      <c r="Y154">
        <f ca="1">HYPGEOMDIST(Y$50,SampleCalc!$B$15,SampleCalc!$B$9*$Z154,SampleCalc!$B$9)+X154</f>
        <v>0.97844856498382082</v>
      </c>
      <c r="Z154">
        <v>0.14699999999999999</v>
      </c>
    </row>
    <row r="155" spans="5:26">
      <c r="E155">
        <f ca="1">HYPGEOMDIST(E$50,SampleCalc!$B$15,SampleCalc!$B$9*$Z155,SampleCalc!$B$9)</f>
        <v>4.282568037180633E-8</v>
      </c>
      <c r="F155">
        <f ca="1">HYPGEOMDIST(F$50,SampleCalc!$B$15,SampleCalc!$B$9*$Z155,SampleCalc!$B$9)+E155</f>
        <v>9.46808716653791E-7</v>
      </c>
      <c r="G155">
        <f ca="1">HYPGEOMDIST(G$50,SampleCalc!$B$15,SampleCalc!$B$9*$Z155,SampleCalc!$B$9)+F155</f>
        <v>1.0230958819009322E-5</v>
      </c>
      <c r="H155">
        <f ca="1">HYPGEOMDIST(H$50,SampleCalc!$B$15,SampleCalc!$B$9*$Z155,SampleCalc!$B$9)+G155</f>
        <v>7.2069699121525067E-5</v>
      </c>
      <c r="I155">
        <f ca="1">HYPGEOMDIST(I$50,SampleCalc!$B$15,SampleCalc!$B$9*$Z155,SampleCalc!$B$9)+H155</f>
        <v>3.7249522103897052E-4</v>
      </c>
      <c r="J155">
        <f ca="1">HYPGEOMDIST(J$50,SampleCalc!$B$15,SampleCalc!$B$9*$Z155,SampleCalc!$B$9)+I155</f>
        <v>1.5076745145698892E-3</v>
      </c>
      <c r="K155">
        <f ca="1">HYPGEOMDIST(K$50,SampleCalc!$B$15,SampleCalc!$B$9*$Z155,SampleCalc!$B$9)+J155</f>
        <v>4.9817049143568992E-3</v>
      </c>
      <c r="L155">
        <f ca="1">HYPGEOMDIST(L$50,SampleCalc!$B$15,SampleCalc!$B$9*$Z155,SampleCalc!$B$9)+K155</f>
        <v>1.3835636998344922E-2</v>
      </c>
      <c r="M155">
        <f ca="1">HYPGEOMDIST(M$50,SampleCalc!$B$15,SampleCalc!$B$9*$Z155,SampleCalc!$B$9)+L155</f>
        <v>3.3012627065212768E-2</v>
      </c>
      <c r="N155">
        <f ca="1">HYPGEOMDIST(N$50,SampleCalc!$B$15,SampleCalc!$B$9*$Z155,SampleCalc!$B$9)+M155</f>
        <v>6.8859811111776192E-2</v>
      </c>
      <c r="O155">
        <f ca="1">HYPGEOMDIST(O$50,SampleCalc!$B$15,SampleCalc!$B$9*$Z155,SampleCalc!$B$9)+N155</f>
        <v>0.12739269110334955</v>
      </c>
      <c r="P155">
        <f ca="1">HYPGEOMDIST(P$50,SampleCalc!$B$15,SampleCalc!$B$9*$Z155,SampleCalc!$B$9)+O155</f>
        <v>0.21169124075628531</v>
      </c>
      <c r="Q155">
        <f ca="1">HYPGEOMDIST(Q$50,SampleCalc!$B$15,SampleCalc!$B$9*$Z155,SampleCalc!$B$9)+P155</f>
        <v>0.31962451497177902</v>
      </c>
      <c r="R155">
        <f ca="1">HYPGEOMDIST(R$50,SampleCalc!$B$15,SampleCalc!$B$9*$Z155,SampleCalc!$B$9)+Q155</f>
        <v>0.44329403578577486</v>
      </c>
      <c r="S155">
        <f ca="1">HYPGEOMDIST(S$50,SampleCalc!$B$15,SampleCalc!$B$9*$Z155,SampleCalc!$B$9)+R155</f>
        <v>0.5708042249480314</v>
      </c>
      <c r="T155">
        <f ca="1">HYPGEOMDIST(T$50,SampleCalc!$B$15,SampleCalc!$B$9*$Z155,SampleCalc!$B$9)+S155</f>
        <v>0.68966632420949525</v>
      </c>
      <c r="U155">
        <f ca="1">HYPGEOMDIST(U$50,SampleCalc!$B$15,SampleCalc!$B$9*$Z155,SampleCalc!$B$9)+T155</f>
        <v>0.7902452403352801</v>
      </c>
      <c r="V155">
        <f ca="1">HYPGEOMDIST(V$50,SampleCalc!$B$15,SampleCalc!$B$9*$Z155,SampleCalc!$B$9)+U155</f>
        <v>0.86777057122330903</v>
      </c>
      <c r="W155">
        <f ca="1">HYPGEOMDIST(W$50,SampleCalc!$B$15,SampleCalc!$B$9*$Z155,SampleCalc!$B$9)+V155</f>
        <v>0.92236656992573485</v>
      </c>
      <c r="X155">
        <f ca="1">HYPGEOMDIST(X$50,SampleCalc!$B$15,SampleCalc!$B$9*$Z155,SampleCalc!$B$9)+W155</f>
        <v>0.95758714653226229</v>
      </c>
      <c r="Y155">
        <f ca="1">HYPGEOMDIST(Y$50,SampleCalc!$B$15,SampleCalc!$B$9*$Z155,SampleCalc!$B$9)+X155</f>
        <v>0.97844856498382082</v>
      </c>
      <c r="Z155">
        <v>0.14599999999999999</v>
      </c>
    </row>
    <row r="156" spans="5:26">
      <c r="E156">
        <f ca="1">HYPGEOMDIST(E$50,SampleCalc!$B$15,SampleCalc!$B$9*$Z156,SampleCalc!$B$9)</f>
        <v>5.520900963594314E-8</v>
      </c>
      <c r="F156">
        <f ca="1">HYPGEOMDIST(F$50,SampleCalc!$B$15,SampleCalc!$B$9*$Z156,SampleCalc!$B$9)+E156</f>
        <v>1.2011689934306562E-6</v>
      </c>
      <c r="G156">
        <f ca="1">HYPGEOMDIST(G$50,SampleCalc!$B$15,SampleCalc!$B$9*$Z156,SampleCalc!$B$9)+F156</f>
        <v>1.2772276913633253E-5</v>
      </c>
      <c r="H156">
        <f ca="1">HYPGEOMDIST(H$50,SampleCalc!$B$15,SampleCalc!$B$9*$Z156,SampleCalc!$B$9)+G156</f>
        <v>8.8531371555357604E-5</v>
      </c>
      <c r="I156">
        <f ca="1">HYPGEOMDIST(I$50,SampleCalc!$B$15,SampleCalc!$B$9*$Z156,SampleCalc!$B$9)+H156</f>
        <v>4.5024722744519763E-4</v>
      </c>
      <c r="J156">
        <f ca="1">HYPGEOMDIST(J$50,SampleCalc!$B$15,SampleCalc!$B$9*$Z156,SampleCalc!$B$9)+I156</f>
        <v>1.7932112597578639E-3</v>
      </c>
      <c r="K156">
        <f ca="1">HYPGEOMDIST(K$50,SampleCalc!$B$15,SampleCalc!$B$9*$Z156,SampleCalc!$B$9)+J156</f>
        <v>5.8307121004927366E-3</v>
      </c>
      <c r="L156">
        <f ca="1">HYPGEOMDIST(L$50,SampleCalc!$B$15,SampleCalc!$B$9*$Z156,SampleCalc!$B$9)+K156</f>
        <v>1.5937224950878379E-2</v>
      </c>
      <c r="M156">
        <f ca="1">HYPGEOMDIST(M$50,SampleCalc!$B$15,SampleCalc!$B$9*$Z156,SampleCalc!$B$9)+L156</f>
        <v>3.7432142906569897E-2</v>
      </c>
      <c r="N156">
        <f ca="1">HYPGEOMDIST(N$50,SampleCalc!$B$15,SampleCalc!$B$9*$Z156,SampleCalc!$B$9)+M156</f>
        <v>7.6878013850347884E-2</v>
      </c>
      <c r="O156">
        <f ca="1">HYPGEOMDIST(O$50,SampleCalc!$B$15,SampleCalc!$B$9*$Z156,SampleCalc!$B$9)+N156</f>
        <v>0.14009521228392888</v>
      </c>
      <c r="P156">
        <f ca="1">HYPGEOMDIST(P$50,SampleCalc!$B$15,SampleCalc!$B$9*$Z156,SampleCalc!$B$9)+O156</f>
        <v>0.229433696791709</v>
      </c>
      <c r="Q156">
        <f ca="1">HYPGEOMDIST(Q$50,SampleCalc!$B$15,SampleCalc!$B$9*$Z156,SampleCalc!$B$9)+P156</f>
        <v>0.34164785429481936</v>
      </c>
      <c r="R156">
        <f ca="1">HYPGEOMDIST(R$50,SampleCalc!$B$15,SampleCalc!$B$9*$Z156,SampleCalc!$B$9)+Q156</f>
        <v>0.46774804466620767</v>
      </c>
      <c r="S156">
        <f ca="1">HYPGEOMDIST(S$50,SampleCalc!$B$15,SampleCalc!$B$9*$Z156,SampleCalc!$B$9)+R156</f>
        <v>0.59522794397435974</v>
      </c>
      <c r="T156">
        <f ca="1">HYPGEOMDIST(T$50,SampleCalc!$B$15,SampleCalc!$B$9*$Z156,SampleCalc!$B$9)+S156</f>
        <v>0.71171101815487292</v>
      </c>
      <c r="U156">
        <f ca="1">HYPGEOMDIST(U$50,SampleCalc!$B$15,SampleCalc!$B$9*$Z156,SampleCalc!$B$9)+T156</f>
        <v>0.80829908451468424</v>
      </c>
      <c r="V156">
        <f ca="1">HYPGEOMDIST(V$50,SampleCalc!$B$15,SampleCalc!$B$9*$Z156,SampleCalc!$B$9)+U156</f>
        <v>0.88123259830061951</v>
      </c>
      <c r="W156">
        <f ca="1">HYPGEOMDIST(W$50,SampleCalc!$B$15,SampleCalc!$B$9*$Z156,SampleCalc!$B$9)+V156</f>
        <v>0.93153356931647491</v>
      </c>
      <c r="X156">
        <f ca="1">HYPGEOMDIST(X$50,SampleCalc!$B$15,SampleCalc!$B$9*$Z156,SampleCalc!$B$9)+W156</f>
        <v>0.96330260364227838</v>
      </c>
      <c r="Y156">
        <f ca="1">HYPGEOMDIST(Y$50,SampleCalc!$B$15,SampleCalc!$B$9*$Z156,SampleCalc!$B$9)+X156</f>
        <v>0.98171871572801761</v>
      </c>
      <c r="Z156">
        <v>0.14499999999999999</v>
      </c>
    </row>
    <row r="157" spans="5:26">
      <c r="E157">
        <f ca="1">HYPGEOMDIST(E$50,SampleCalc!$B$15,SampleCalc!$B$9*$Z157,SampleCalc!$B$9)</f>
        <v>5.520900963594314E-8</v>
      </c>
      <c r="F157">
        <f ca="1">HYPGEOMDIST(F$50,SampleCalc!$B$15,SampleCalc!$B$9*$Z157,SampleCalc!$B$9)+E157</f>
        <v>1.2011689934306562E-6</v>
      </c>
      <c r="G157">
        <f ca="1">HYPGEOMDIST(G$50,SampleCalc!$B$15,SampleCalc!$B$9*$Z157,SampleCalc!$B$9)+F157</f>
        <v>1.2772276913633253E-5</v>
      </c>
      <c r="H157">
        <f ca="1">HYPGEOMDIST(H$50,SampleCalc!$B$15,SampleCalc!$B$9*$Z157,SampleCalc!$B$9)+G157</f>
        <v>8.8531371555357604E-5</v>
      </c>
      <c r="I157">
        <f ca="1">HYPGEOMDIST(I$50,SampleCalc!$B$15,SampleCalc!$B$9*$Z157,SampleCalc!$B$9)+H157</f>
        <v>4.5024722744519763E-4</v>
      </c>
      <c r="J157">
        <f ca="1">HYPGEOMDIST(J$50,SampleCalc!$B$15,SampleCalc!$B$9*$Z157,SampleCalc!$B$9)+I157</f>
        <v>1.7932112597578639E-3</v>
      </c>
      <c r="K157">
        <f ca="1">HYPGEOMDIST(K$50,SampleCalc!$B$15,SampleCalc!$B$9*$Z157,SampleCalc!$B$9)+J157</f>
        <v>5.8307121004927366E-3</v>
      </c>
      <c r="L157">
        <f ca="1">HYPGEOMDIST(L$50,SampleCalc!$B$15,SampleCalc!$B$9*$Z157,SampleCalc!$B$9)+K157</f>
        <v>1.5937224950878379E-2</v>
      </c>
      <c r="M157">
        <f ca="1">HYPGEOMDIST(M$50,SampleCalc!$B$15,SampleCalc!$B$9*$Z157,SampleCalc!$B$9)+L157</f>
        <v>3.7432142906569897E-2</v>
      </c>
      <c r="N157">
        <f ca="1">HYPGEOMDIST(N$50,SampleCalc!$B$15,SampleCalc!$B$9*$Z157,SampleCalc!$B$9)+M157</f>
        <v>7.6878013850347884E-2</v>
      </c>
      <c r="O157">
        <f ca="1">HYPGEOMDIST(O$50,SampleCalc!$B$15,SampleCalc!$B$9*$Z157,SampleCalc!$B$9)+N157</f>
        <v>0.14009521228392888</v>
      </c>
      <c r="P157">
        <f ca="1">HYPGEOMDIST(P$50,SampleCalc!$B$15,SampleCalc!$B$9*$Z157,SampleCalc!$B$9)+O157</f>
        <v>0.229433696791709</v>
      </c>
      <c r="Q157">
        <f ca="1">HYPGEOMDIST(Q$50,SampleCalc!$B$15,SampleCalc!$B$9*$Z157,SampleCalc!$B$9)+P157</f>
        <v>0.34164785429481936</v>
      </c>
      <c r="R157">
        <f ca="1">HYPGEOMDIST(R$50,SampleCalc!$B$15,SampleCalc!$B$9*$Z157,SampleCalc!$B$9)+Q157</f>
        <v>0.46774804466620767</v>
      </c>
      <c r="S157">
        <f ca="1">HYPGEOMDIST(S$50,SampleCalc!$B$15,SampleCalc!$B$9*$Z157,SampleCalc!$B$9)+R157</f>
        <v>0.59522794397435974</v>
      </c>
      <c r="T157">
        <f ca="1">HYPGEOMDIST(T$50,SampleCalc!$B$15,SampleCalc!$B$9*$Z157,SampleCalc!$B$9)+S157</f>
        <v>0.71171101815487292</v>
      </c>
      <c r="U157">
        <f ca="1">HYPGEOMDIST(U$50,SampleCalc!$B$15,SampleCalc!$B$9*$Z157,SampleCalc!$B$9)+T157</f>
        <v>0.80829908451468424</v>
      </c>
      <c r="V157">
        <f ca="1">HYPGEOMDIST(V$50,SampleCalc!$B$15,SampleCalc!$B$9*$Z157,SampleCalc!$B$9)+U157</f>
        <v>0.88123259830061951</v>
      </c>
      <c r="W157">
        <f ca="1">HYPGEOMDIST(W$50,SampleCalc!$B$15,SampleCalc!$B$9*$Z157,SampleCalc!$B$9)+V157</f>
        <v>0.93153356931647491</v>
      </c>
      <c r="X157">
        <f ca="1">HYPGEOMDIST(X$50,SampleCalc!$B$15,SampleCalc!$B$9*$Z157,SampleCalc!$B$9)+W157</f>
        <v>0.96330260364227838</v>
      </c>
      <c r="Y157">
        <f ca="1">HYPGEOMDIST(Y$50,SampleCalc!$B$15,SampleCalc!$B$9*$Z157,SampleCalc!$B$9)+X157</f>
        <v>0.98171871572801761</v>
      </c>
      <c r="Z157">
        <v>0.14399999999999999</v>
      </c>
    </row>
    <row r="158" spans="5:26">
      <c r="E158">
        <f ca="1">HYPGEOMDIST(E$50,SampleCalc!$B$15,SampleCalc!$B$9*$Z158,SampleCalc!$B$9)</f>
        <v>7.1125120521980886E-8</v>
      </c>
      <c r="F158">
        <f ca="1">HYPGEOMDIST(F$50,SampleCalc!$B$15,SampleCalc!$B$9*$Z158,SampleCalc!$B$9)+E158</f>
        <v>1.5225886578807278E-6</v>
      </c>
      <c r="G158">
        <f ca="1">HYPGEOMDIST(G$50,SampleCalc!$B$15,SampleCalc!$B$9*$Z158,SampleCalc!$B$9)+F158</f>
        <v>1.5928905857038418E-5</v>
      </c>
      <c r="H158">
        <f ca="1">HYPGEOMDIST(H$50,SampleCalc!$B$15,SampleCalc!$B$9*$Z158,SampleCalc!$B$9)+G158</f>
        <v>1.0862669688257091E-4</v>
      </c>
      <c r="I158">
        <f ca="1">HYPGEOMDIST(I$50,SampleCalc!$B$15,SampleCalc!$B$9*$Z158,SampleCalc!$B$9)+H158</f>
        <v>5.4350861857802208E-4</v>
      </c>
      <c r="J158">
        <f ca="1">HYPGEOMDIST(J$50,SampleCalc!$B$15,SampleCalc!$B$9*$Z158,SampleCalc!$B$9)+I158</f>
        <v>2.1296696631524364E-3</v>
      </c>
      <c r="K158">
        <f ca="1">HYPGEOMDIST(K$50,SampleCalc!$B$15,SampleCalc!$B$9*$Z158,SampleCalc!$B$9)+J158</f>
        <v>6.8132897387246719E-3</v>
      </c>
      <c r="L158">
        <f ca="1">HYPGEOMDIST(L$50,SampleCalc!$B$15,SampleCalc!$B$9*$Z158,SampleCalc!$B$9)+K158</f>
        <v>1.8325549168177434E-2</v>
      </c>
      <c r="M158">
        <f ca="1">HYPGEOMDIST(M$50,SampleCalc!$B$15,SampleCalc!$B$9*$Z158,SampleCalc!$B$9)+L158</f>
        <v>4.2362876774542146E-2</v>
      </c>
      <c r="N158">
        <f ca="1">HYPGEOMDIST(N$50,SampleCalc!$B$15,SampleCalc!$B$9*$Z158,SampleCalc!$B$9)+M158</f>
        <v>8.5658180299456335E-2</v>
      </c>
      <c r="O158">
        <f ca="1">HYPGEOMDIST(O$50,SampleCalc!$B$15,SampleCalc!$B$9*$Z158,SampleCalc!$B$9)+N158</f>
        <v>0.15374414741706199</v>
      </c>
      <c r="P158">
        <f ca="1">HYPGEOMDIST(P$50,SampleCalc!$B$15,SampleCalc!$B$9*$Z158,SampleCalc!$B$9)+O158</f>
        <v>0.24813605637556072</v>
      </c>
      <c r="Q158">
        <f ca="1">HYPGEOMDIST(Q$50,SampleCalc!$B$15,SampleCalc!$B$9*$Z158,SampleCalc!$B$9)+P158</f>
        <v>0.36441594422298668</v>
      </c>
      <c r="R158">
        <f ca="1">HYPGEOMDIST(R$50,SampleCalc!$B$15,SampleCalc!$B$9*$Z158,SampleCalc!$B$9)+Q158</f>
        <v>0.49253580286501497</v>
      </c>
      <c r="S158">
        <f ca="1">HYPGEOMDIST(S$50,SampleCalc!$B$15,SampleCalc!$B$9*$Z158,SampleCalc!$B$9)+R158</f>
        <v>0.6194952510952999</v>
      </c>
      <c r="T158">
        <f ca="1">HYPGEOMDIST(T$50,SampleCalc!$B$15,SampleCalc!$B$9*$Z158,SampleCalc!$B$9)+S158</f>
        <v>0.73317503290149766</v>
      </c>
      <c r="U158">
        <f ca="1">HYPGEOMDIST(U$50,SampleCalc!$B$15,SampleCalc!$B$9*$Z158,SampleCalc!$B$9)+T158</f>
        <v>0.82551949749191889</v>
      </c>
      <c r="V158">
        <f ca="1">HYPGEOMDIST(V$50,SampleCalc!$B$15,SampleCalc!$B$9*$Z158,SampleCalc!$B$9)+U158</f>
        <v>0.89380784105458333</v>
      </c>
      <c r="W158">
        <f ca="1">HYPGEOMDIST(W$50,SampleCalc!$B$15,SampleCalc!$B$9*$Z158,SampleCalc!$B$9)+V158</f>
        <v>0.93991706448578416</v>
      </c>
      <c r="X158">
        <f ca="1">HYPGEOMDIST(X$50,SampleCalc!$B$15,SampleCalc!$B$9*$Z158,SampleCalc!$B$9)+W158</f>
        <v>0.96841819033276144</v>
      </c>
      <c r="Y158">
        <f ca="1">HYPGEOMDIST(Y$50,SampleCalc!$B$15,SampleCalc!$B$9*$Z158,SampleCalc!$B$9)+X158</f>
        <v>0.98458228493492816</v>
      </c>
      <c r="Z158">
        <v>0.14299999999999999</v>
      </c>
    </row>
    <row r="159" spans="5:26">
      <c r="E159">
        <f ca="1">HYPGEOMDIST(E$50,SampleCalc!$B$15,SampleCalc!$B$9*$Z159,SampleCalc!$B$9)</f>
        <v>7.1125120521980886E-8</v>
      </c>
      <c r="F159">
        <f ca="1">HYPGEOMDIST(F$50,SampleCalc!$B$15,SampleCalc!$B$9*$Z159,SampleCalc!$B$9)+E159</f>
        <v>1.5225886578807278E-6</v>
      </c>
      <c r="G159">
        <f ca="1">HYPGEOMDIST(G$50,SampleCalc!$B$15,SampleCalc!$B$9*$Z159,SampleCalc!$B$9)+F159</f>
        <v>1.5928905857038418E-5</v>
      </c>
      <c r="H159">
        <f ca="1">HYPGEOMDIST(H$50,SampleCalc!$B$15,SampleCalc!$B$9*$Z159,SampleCalc!$B$9)+G159</f>
        <v>1.0862669688257091E-4</v>
      </c>
      <c r="I159">
        <f ca="1">HYPGEOMDIST(I$50,SampleCalc!$B$15,SampleCalc!$B$9*$Z159,SampleCalc!$B$9)+H159</f>
        <v>5.4350861857802208E-4</v>
      </c>
      <c r="J159">
        <f ca="1">HYPGEOMDIST(J$50,SampleCalc!$B$15,SampleCalc!$B$9*$Z159,SampleCalc!$B$9)+I159</f>
        <v>2.1296696631524364E-3</v>
      </c>
      <c r="K159">
        <f ca="1">HYPGEOMDIST(K$50,SampleCalc!$B$15,SampleCalc!$B$9*$Z159,SampleCalc!$B$9)+J159</f>
        <v>6.8132897387246719E-3</v>
      </c>
      <c r="L159">
        <f ca="1">HYPGEOMDIST(L$50,SampleCalc!$B$15,SampleCalc!$B$9*$Z159,SampleCalc!$B$9)+K159</f>
        <v>1.8325549168177434E-2</v>
      </c>
      <c r="M159">
        <f ca="1">HYPGEOMDIST(M$50,SampleCalc!$B$15,SampleCalc!$B$9*$Z159,SampleCalc!$B$9)+L159</f>
        <v>4.2362876774542146E-2</v>
      </c>
      <c r="N159">
        <f ca="1">HYPGEOMDIST(N$50,SampleCalc!$B$15,SampleCalc!$B$9*$Z159,SampleCalc!$B$9)+M159</f>
        <v>8.5658180299456335E-2</v>
      </c>
      <c r="O159">
        <f ca="1">HYPGEOMDIST(O$50,SampleCalc!$B$15,SampleCalc!$B$9*$Z159,SampleCalc!$B$9)+N159</f>
        <v>0.15374414741706199</v>
      </c>
      <c r="P159">
        <f ca="1">HYPGEOMDIST(P$50,SampleCalc!$B$15,SampleCalc!$B$9*$Z159,SampleCalc!$B$9)+O159</f>
        <v>0.24813605637556072</v>
      </c>
      <c r="Q159">
        <f ca="1">HYPGEOMDIST(Q$50,SampleCalc!$B$15,SampleCalc!$B$9*$Z159,SampleCalc!$B$9)+P159</f>
        <v>0.36441594422298668</v>
      </c>
      <c r="R159">
        <f ca="1">HYPGEOMDIST(R$50,SampleCalc!$B$15,SampleCalc!$B$9*$Z159,SampleCalc!$B$9)+Q159</f>
        <v>0.49253580286501497</v>
      </c>
      <c r="S159">
        <f ca="1">HYPGEOMDIST(S$50,SampleCalc!$B$15,SampleCalc!$B$9*$Z159,SampleCalc!$B$9)+R159</f>
        <v>0.6194952510952999</v>
      </c>
      <c r="T159">
        <f ca="1">HYPGEOMDIST(T$50,SampleCalc!$B$15,SampleCalc!$B$9*$Z159,SampleCalc!$B$9)+S159</f>
        <v>0.73317503290149766</v>
      </c>
      <c r="U159">
        <f ca="1">HYPGEOMDIST(U$50,SampleCalc!$B$15,SampleCalc!$B$9*$Z159,SampleCalc!$B$9)+T159</f>
        <v>0.82551949749191889</v>
      </c>
      <c r="V159">
        <f ca="1">HYPGEOMDIST(V$50,SampleCalc!$B$15,SampleCalc!$B$9*$Z159,SampleCalc!$B$9)+U159</f>
        <v>0.89380784105458333</v>
      </c>
      <c r="W159">
        <f ca="1">HYPGEOMDIST(W$50,SampleCalc!$B$15,SampleCalc!$B$9*$Z159,SampleCalc!$B$9)+V159</f>
        <v>0.93991706448578416</v>
      </c>
      <c r="X159">
        <f ca="1">HYPGEOMDIST(X$50,SampleCalc!$B$15,SampleCalc!$B$9*$Z159,SampleCalc!$B$9)+W159</f>
        <v>0.96841819033276144</v>
      </c>
      <c r="Y159">
        <f ca="1">HYPGEOMDIST(Y$50,SampleCalc!$B$15,SampleCalc!$B$9*$Z159,SampleCalc!$B$9)+X159</f>
        <v>0.98458228493492816</v>
      </c>
      <c r="Z159">
        <v>0.14199999999999999</v>
      </c>
    </row>
    <row r="160" spans="5:26">
      <c r="E160">
        <f ca="1">HYPGEOMDIST(E$50,SampleCalc!$B$15,SampleCalc!$B$9*$Z160,SampleCalc!$B$9)</f>
        <v>9.1568268935484332E-8</v>
      </c>
      <c r="F160">
        <f ca="1">HYPGEOMDIST(F$50,SampleCalc!$B$15,SampleCalc!$B$9*$Z160,SampleCalc!$B$9)+E160</f>
        <v>1.928400409969675E-6</v>
      </c>
      <c r="G160">
        <f ca="1">HYPGEOMDIST(G$50,SampleCalc!$B$15,SampleCalc!$B$9*$Z160,SampleCalc!$B$9)+F160</f>
        <v>1.9845713928539785E-5</v>
      </c>
      <c r="H160">
        <f ca="1">HYPGEOMDIST(H$50,SampleCalc!$B$15,SampleCalc!$B$9*$Z160,SampleCalc!$B$9)+G160</f>
        <v>1.3312708683724432E-4</v>
      </c>
      <c r="I160">
        <f ca="1">HYPGEOMDIST(I$50,SampleCalc!$B$15,SampleCalc!$B$9*$Z160,SampleCalc!$B$9)+H160</f>
        <v>6.5521010059030468E-4</v>
      </c>
      <c r="J160">
        <f ca="1">HYPGEOMDIST(J$50,SampleCalc!$B$15,SampleCalc!$B$9*$Z160,SampleCalc!$B$9)+I160</f>
        <v>2.5254685427782584E-3</v>
      </c>
      <c r="K160">
        <f ca="1">HYPGEOMDIST(K$50,SampleCalc!$B$15,SampleCalc!$B$9*$Z160,SampleCalc!$B$9)+J160</f>
        <v>7.9483012317693082E-3</v>
      </c>
      <c r="L160">
        <f ca="1">HYPGEOMDIST(L$50,SampleCalc!$B$15,SampleCalc!$B$9*$Z160,SampleCalc!$B$9)+K160</f>
        <v>2.103398044776782E-2</v>
      </c>
      <c r="M160">
        <f ca="1">HYPGEOMDIST(M$50,SampleCalc!$B$15,SampleCalc!$B$9*$Z160,SampleCalc!$B$9)+L160</f>
        <v>4.7851013841080543E-2</v>
      </c>
      <c r="N160">
        <f ca="1">HYPGEOMDIST(N$50,SampleCalc!$B$15,SampleCalc!$B$9*$Z160,SampleCalc!$B$9)+M160</f>
        <v>9.524775313292197E-2</v>
      </c>
      <c r="O160">
        <f ca="1">HYPGEOMDIST(O$50,SampleCalc!$B$15,SampleCalc!$B$9*$Z160,SampleCalc!$B$9)+N160</f>
        <v>0.16836824598809702</v>
      </c>
      <c r="P160">
        <f ca="1">HYPGEOMDIST(P$50,SampleCalc!$B$15,SampleCalc!$B$9*$Z160,SampleCalc!$B$9)+O160</f>
        <v>0.26778899516667498</v>
      </c>
      <c r="Q160">
        <f ca="1">HYPGEOMDIST(Q$50,SampleCalc!$B$15,SampleCalc!$B$9*$Z160,SampleCalc!$B$9)+P160</f>
        <v>0.38787450988983696</v>
      </c>
      <c r="R160">
        <f ca="1">HYPGEOMDIST(R$50,SampleCalc!$B$15,SampleCalc!$B$9*$Z160,SampleCalc!$B$9)+Q160</f>
        <v>0.51757006026253605</v>
      </c>
      <c r="S160">
        <f ca="1">HYPGEOMDIST(S$50,SampleCalc!$B$15,SampleCalc!$B$9*$Z160,SampleCalc!$B$9)+R160</f>
        <v>0.64351210640646861</v>
      </c>
      <c r="T160">
        <f ca="1">HYPGEOMDIST(T$50,SampleCalc!$B$15,SampleCalc!$B$9*$Z160,SampleCalc!$B$9)+S160</f>
        <v>0.75398505309088837</v>
      </c>
      <c r="U160">
        <f ca="1">HYPGEOMDIST(U$50,SampleCalc!$B$15,SampleCalc!$B$9*$Z160,SampleCalc!$B$9)+T160</f>
        <v>0.84187022764072594</v>
      </c>
      <c r="V160">
        <f ca="1">HYPGEOMDIST(V$50,SampleCalc!$B$15,SampleCalc!$B$9*$Z160,SampleCalc!$B$9)+U160</f>
        <v>0.90549750333291601</v>
      </c>
      <c r="W160">
        <f ca="1">HYPGEOMDIST(W$50,SampleCalc!$B$15,SampleCalc!$B$9*$Z160,SampleCalc!$B$9)+V160</f>
        <v>0.94754412633215845</v>
      </c>
      <c r="X160">
        <f ca="1">HYPGEOMDIST(X$50,SampleCalc!$B$15,SampleCalc!$B$9*$Z160,SampleCalc!$B$9)+W160</f>
        <v>0.97297145641787897</v>
      </c>
      <c r="Y160">
        <f ca="1">HYPGEOMDIST(Y$50,SampleCalc!$B$15,SampleCalc!$B$9*$Z160,SampleCalc!$B$9)+X160</f>
        <v>0.98707500518152647</v>
      </c>
      <c r="Z160">
        <v>0.14099999999999999</v>
      </c>
    </row>
    <row r="161" spans="5:26">
      <c r="E161">
        <f ca="1">HYPGEOMDIST(E$50,SampleCalc!$B$15,SampleCalc!$B$9*$Z161,SampleCalc!$B$9)</f>
        <v>9.1568268935484332E-8</v>
      </c>
      <c r="F161">
        <f ca="1">HYPGEOMDIST(F$50,SampleCalc!$B$15,SampleCalc!$B$9*$Z161,SampleCalc!$B$9)+E161</f>
        <v>1.928400409969675E-6</v>
      </c>
      <c r="G161">
        <f ca="1">HYPGEOMDIST(G$50,SampleCalc!$B$15,SampleCalc!$B$9*$Z161,SampleCalc!$B$9)+F161</f>
        <v>1.9845713928539785E-5</v>
      </c>
      <c r="H161">
        <f ca="1">HYPGEOMDIST(H$50,SampleCalc!$B$15,SampleCalc!$B$9*$Z161,SampleCalc!$B$9)+G161</f>
        <v>1.3312708683724432E-4</v>
      </c>
      <c r="I161">
        <f ca="1">HYPGEOMDIST(I$50,SampleCalc!$B$15,SampleCalc!$B$9*$Z161,SampleCalc!$B$9)+H161</f>
        <v>6.5521010059030468E-4</v>
      </c>
      <c r="J161">
        <f ca="1">HYPGEOMDIST(J$50,SampleCalc!$B$15,SampleCalc!$B$9*$Z161,SampleCalc!$B$9)+I161</f>
        <v>2.5254685427782584E-3</v>
      </c>
      <c r="K161">
        <f ca="1">HYPGEOMDIST(K$50,SampleCalc!$B$15,SampleCalc!$B$9*$Z161,SampleCalc!$B$9)+J161</f>
        <v>7.9483012317693082E-3</v>
      </c>
      <c r="L161">
        <f ca="1">HYPGEOMDIST(L$50,SampleCalc!$B$15,SampleCalc!$B$9*$Z161,SampleCalc!$B$9)+K161</f>
        <v>2.103398044776782E-2</v>
      </c>
      <c r="M161">
        <f ca="1">HYPGEOMDIST(M$50,SampleCalc!$B$15,SampleCalc!$B$9*$Z161,SampleCalc!$B$9)+L161</f>
        <v>4.7851013841080543E-2</v>
      </c>
      <c r="N161">
        <f ca="1">HYPGEOMDIST(N$50,SampleCalc!$B$15,SampleCalc!$B$9*$Z161,SampleCalc!$B$9)+M161</f>
        <v>9.524775313292197E-2</v>
      </c>
      <c r="O161">
        <f ca="1">HYPGEOMDIST(O$50,SampleCalc!$B$15,SampleCalc!$B$9*$Z161,SampleCalc!$B$9)+N161</f>
        <v>0.16836824598809702</v>
      </c>
      <c r="P161">
        <f ca="1">HYPGEOMDIST(P$50,SampleCalc!$B$15,SampleCalc!$B$9*$Z161,SampleCalc!$B$9)+O161</f>
        <v>0.26778899516667498</v>
      </c>
      <c r="Q161">
        <f ca="1">HYPGEOMDIST(Q$50,SampleCalc!$B$15,SampleCalc!$B$9*$Z161,SampleCalc!$B$9)+P161</f>
        <v>0.38787450988983696</v>
      </c>
      <c r="R161">
        <f ca="1">HYPGEOMDIST(R$50,SampleCalc!$B$15,SampleCalc!$B$9*$Z161,SampleCalc!$B$9)+Q161</f>
        <v>0.51757006026253605</v>
      </c>
      <c r="S161">
        <f ca="1">HYPGEOMDIST(S$50,SampleCalc!$B$15,SampleCalc!$B$9*$Z161,SampleCalc!$B$9)+R161</f>
        <v>0.64351210640646861</v>
      </c>
      <c r="T161">
        <f ca="1">HYPGEOMDIST(T$50,SampleCalc!$B$15,SampleCalc!$B$9*$Z161,SampleCalc!$B$9)+S161</f>
        <v>0.75398505309088837</v>
      </c>
      <c r="U161">
        <f ca="1">HYPGEOMDIST(U$50,SampleCalc!$B$15,SampleCalc!$B$9*$Z161,SampleCalc!$B$9)+T161</f>
        <v>0.84187022764072594</v>
      </c>
      <c r="V161">
        <f ca="1">HYPGEOMDIST(V$50,SampleCalc!$B$15,SampleCalc!$B$9*$Z161,SampleCalc!$B$9)+U161</f>
        <v>0.90549750333291601</v>
      </c>
      <c r="W161">
        <f ca="1">HYPGEOMDIST(W$50,SampleCalc!$B$15,SampleCalc!$B$9*$Z161,SampleCalc!$B$9)+V161</f>
        <v>0.94754412633215845</v>
      </c>
      <c r="X161">
        <f ca="1">HYPGEOMDIST(X$50,SampleCalc!$B$15,SampleCalc!$B$9*$Z161,SampleCalc!$B$9)+W161</f>
        <v>0.97297145641787897</v>
      </c>
      <c r="Y161">
        <f ca="1">HYPGEOMDIST(Y$50,SampleCalc!$B$15,SampleCalc!$B$9*$Z161,SampleCalc!$B$9)+X161</f>
        <v>0.98707500518152647</v>
      </c>
      <c r="Z161">
        <v>0.14000000000000001</v>
      </c>
    </row>
    <row r="162" spans="5:26">
      <c r="E162">
        <f ca="1">HYPGEOMDIST(E$50,SampleCalc!$B$15,SampleCalc!$B$9*$Z162,SampleCalc!$B$9)</f>
        <v>1.1780872809311551E-7</v>
      </c>
      <c r="F162">
        <f ca="1">HYPGEOMDIST(F$50,SampleCalc!$B$15,SampleCalc!$B$9*$Z162,SampleCalc!$B$9)+E162</f>
        <v>2.440323653357391E-6</v>
      </c>
      <c r="G162">
        <f ca="1">HYPGEOMDIST(G$50,SampleCalc!$B$15,SampleCalc!$B$9*$Z162,SampleCalc!$B$9)+F162</f>
        <v>2.4700629910341431E-5</v>
      </c>
      <c r="H162">
        <f ca="1">HYPGEOMDIST(H$50,SampleCalc!$B$15,SampleCalc!$B$9*$Z162,SampleCalc!$B$9)+G162</f>
        <v>1.6296040190884773E-4</v>
      </c>
      <c r="I162">
        <f ca="1">HYPGEOMDIST(I$50,SampleCalc!$B$15,SampleCalc!$B$9*$Z162,SampleCalc!$B$9)+H162</f>
        <v>7.8879998931801539E-4</v>
      </c>
      <c r="J162">
        <f ca="1">HYPGEOMDIST(J$50,SampleCalc!$B$15,SampleCalc!$B$9*$Z162,SampleCalc!$B$9)+I162</f>
        <v>2.9902827732632051E-3</v>
      </c>
      <c r="K162">
        <f ca="1">HYPGEOMDIST(K$50,SampleCalc!$B$15,SampleCalc!$B$9*$Z162,SampleCalc!$B$9)+J162</f>
        <v>9.2568691533691586E-3</v>
      </c>
      <c r="L162">
        <f ca="1">HYPGEOMDIST(L$50,SampleCalc!$B$15,SampleCalc!$B$9*$Z162,SampleCalc!$B$9)+K162</f>
        <v>2.4098784264146411E-2</v>
      </c>
      <c r="M162">
        <f ca="1">HYPGEOMDIST(M$50,SampleCalc!$B$15,SampleCalc!$B$9*$Z162,SampleCalc!$B$9)+L162</f>
        <v>5.3944880321460192E-2</v>
      </c>
      <c r="N162">
        <f ca="1">HYPGEOMDIST(N$50,SampleCalc!$B$15,SampleCalc!$B$9*$Z162,SampleCalc!$B$9)+M162</f>
        <v>0.1056935378265184</v>
      </c>
      <c r="O162">
        <f ca="1">HYPGEOMDIST(O$50,SampleCalc!$B$15,SampleCalc!$B$9*$Z162,SampleCalc!$B$9)+N162</f>
        <v>0.18399150657330215</v>
      </c>
      <c r="P162">
        <f ca="1">HYPGEOMDIST(P$50,SampleCalc!$B$15,SampleCalc!$B$9*$Z162,SampleCalc!$B$9)+O162</f>
        <v>0.28837508340493134</v>
      </c>
      <c r="Q162">
        <f ca="1">HYPGEOMDIST(Q$50,SampleCalc!$B$15,SampleCalc!$B$9*$Z162,SampleCalc!$B$9)+P162</f>
        <v>0.41196082638762399</v>
      </c>
      <c r="R162">
        <f ca="1">HYPGEOMDIST(R$50,SampleCalc!$B$15,SampleCalc!$B$9*$Z162,SampleCalc!$B$9)+Q162</f>
        <v>0.54275846949132256</v>
      </c>
      <c r="S162">
        <f ca="1">HYPGEOMDIST(S$50,SampleCalc!$B$15,SampleCalc!$B$9*$Z162,SampleCalc!$B$9)+R162</f>
        <v>0.66718488069598691</v>
      </c>
      <c r="T162">
        <f ca="1">HYPGEOMDIST(T$50,SampleCalc!$B$15,SampleCalc!$B$9*$Z162,SampleCalc!$B$9)+S162</f>
        <v>0.77407309298799398</v>
      </c>
      <c r="U162">
        <f ca="1">HYPGEOMDIST(U$50,SampleCalc!$B$15,SampleCalc!$B$9*$Z162,SampleCalc!$B$9)+T162</f>
        <v>0.85732256602311485</v>
      </c>
      <c r="V162">
        <f ca="1">HYPGEOMDIST(V$50,SampleCalc!$B$15,SampleCalc!$B$9*$Z162,SampleCalc!$B$9)+U162</f>
        <v>0.91630949210414969</v>
      </c>
      <c r="W162">
        <f ca="1">HYPGEOMDIST(W$50,SampleCalc!$B$15,SampleCalc!$B$9*$Z162,SampleCalc!$B$9)+V162</f>
        <v>0.95444583021256824</v>
      </c>
      <c r="X162">
        <f ca="1">HYPGEOMDIST(X$50,SampleCalc!$B$15,SampleCalc!$B$9*$Z162,SampleCalc!$B$9)+W162</f>
        <v>0.977001041778921</v>
      </c>
      <c r="Y162">
        <f ca="1">HYPGEOMDIST(Y$50,SampleCalc!$B$15,SampleCalc!$B$9*$Z162,SampleCalc!$B$9)+X162</f>
        <v>0.98923168467053479</v>
      </c>
      <c r="Z162">
        <v>0.13900000000000001</v>
      </c>
    </row>
    <row r="163" spans="5:26">
      <c r="E163">
        <f ca="1">HYPGEOMDIST(E$50,SampleCalc!$B$15,SampleCalc!$B$9*$Z163,SampleCalc!$B$9)</f>
        <v>1.1780872809311551E-7</v>
      </c>
      <c r="F163">
        <f ca="1">HYPGEOMDIST(F$50,SampleCalc!$B$15,SampleCalc!$B$9*$Z163,SampleCalc!$B$9)+E163</f>
        <v>2.440323653357391E-6</v>
      </c>
      <c r="G163">
        <f ca="1">HYPGEOMDIST(G$50,SampleCalc!$B$15,SampleCalc!$B$9*$Z163,SampleCalc!$B$9)+F163</f>
        <v>2.4700629910341431E-5</v>
      </c>
      <c r="H163">
        <f ca="1">HYPGEOMDIST(H$50,SampleCalc!$B$15,SampleCalc!$B$9*$Z163,SampleCalc!$B$9)+G163</f>
        <v>1.6296040190884773E-4</v>
      </c>
      <c r="I163">
        <f ca="1">HYPGEOMDIST(I$50,SampleCalc!$B$15,SampleCalc!$B$9*$Z163,SampleCalc!$B$9)+H163</f>
        <v>7.8879998931801539E-4</v>
      </c>
      <c r="J163">
        <f ca="1">HYPGEOMDIST(J$50,SampleCalc!$B$15,SampleCalc!$B$9*$Z163,SampleCalc!$B$9)+I163</f>
        <v>2.9902827732632051E-3</v>
      </c>
      <c r="K163">
        <f ca="1">HYPGEOMDIST(K$50,SampleCalc!$B$15,SampleCalc!$B$9*$Z163,SampleCalc!$B$9)+J163</f>
        <v>9.2568691533691586E-3</v>
      </c>
      <c r="L163">
        <f ca="1">HYPGEOMDIST(L$50,SampleCalc!$B$15,SampleCalc!$B$9*$Z163,SampleCalc!$B$9)+K163</f>
        <v>2.4098784264146411E-2</v>
      </c>
      <c r="M163">
        <f ca="1">HYPGEOMDIST(M$50,SampleCalc!$B$15,SampleCalc!$B$9*$Z163,SampleCalc!$B$9)+L163</f>
        <v>5.3944880321460192E-2</v>
      </c>
      <c r="N163">
        <f ca="1">HYPGEOMDIST(N$50,SampleCalc!$B$15,SampleCalc!$B$9*$Z163,SampleCalc!$B$9)+M163</f>
        <v>0.1056935378265184</v>
      </c>
      <c r="O163">
        <f ca="1">HYPGEOMDIST(O$50,SampleCalc!$B$15,SampleCalc!$B$9*$Z163,SampleCalc!$B$9)+N163</f>
        <v>0.18399150657330215</v>
      </c>
      <c r="P163">
        <f ca="1">HYPGEOMDIST(P$50,SampleCalc!$B$15,SampleCalc!$B$9*$Z163,SampleCalc!$B$9)+O163</f>
        <v>0.28837508340493134</v>
      </c>
      <c r="Q163">
        <f ca="1">HYPGEOMDIST(Q$50,SampleCalc!$B$15,SampleCalc!$B$9*$Z163,SampleCalc!$B$9)+P163</f>
        <v>0.41196082638762399</v>
      </c>
      <c r="R163">
        <f ca="1">HYPGEOMDIST(R$50,SampleCalc!$B$15,SampleCalc!$B$9*$Z163,SampleCalc!$B$9)+Q163</f>
        <v>0.54275846949132256</v>
      </c>
      <c r="S163">
        <f ca="1">HYPGEOMDIST(S$50,SampleCalc!$B$15,SampleCalc!$B$9*$Z163,SampleCalc!$B$9)+R163</f>
        <v>0.66718488069598691</v>
      </c>
      <c r="T163">
        <f ca="1">HYPGEOMDIST(T$50,SampleCalc!$B$15,SampleCalc!$B$9*$Z163,SampleCalc!$B$9)+S163</f>
        <v>0.77407309298799398</v>
      </c>
      <c r="U163">
        <f ca="1">HYPGEOMDIST(U$50,SampleCalc!$B$15,SampleCalc!$B$9*$Z163,SampleCalc!$B$9)+T163</f>
        <v>0.85732256602311485</v>
      </c>
      <c r="V163">
        <f ca="1">HYPGEOMDIST(V$50,SampleCalc!$B$15,SampleCalc!$B$9*$Z163,SampleCalc!$B$9)+U163</f>
        <v>0.91630949210414969</v>
      </c>
      <c r="W163">
        <f ca="1">HYPGEOMDIST(W$50,SampleCalc!$B$15,SampleCalc!$B$9*$Z163,SampleCalc!$B$9)+V163</f>
        <v>0.95444583021256824</v>
      </c>
      <c r="X163">
        <f ca="1">HYPGEOMDIST(X$50,SampleCalc!$B$15,SampleCalc!$B$9*$Z163,SampleCalc!$B$9)+W163</f>
        <v>0.977001041778921</v>
      </c>
      <c r="Y163">
        <f ca="1">HYPGEOMDIST(Y$50,SampleCalc!$B$15,SampleCalc!$B$9*$Z163,SampleCalc!$B$9)+X163</f>
        <v>0.98923168467053479</v>
      </c>
      <c r="Z163">
        <v>0.13800000000000001</v>
      </c>
    </row>
    <row r="164" spans="5:26">
      <c r="E164">
        <f ca="1">HYPGEOMDIST(E$50,SampleCalc!$B$15,SampleCalc!$B$9*$Z164,SampleCalc!$B$9)</f>
        <v>1.5146836469114841E-7</v>
      </c>
      <c r="F164">
        <f ca="1">HYPGEOMDIST(F$50,SampleCalc!$B$15,SampleCalc!$B$9*$Z164,SampleCalc!$B$9)+E164</f>
        <v>3.0855499216757727E-6</v>
      </c>
      <c r="G164">
        <f ca="1">HYPGEOMDIST(G$50,SampleCalc!$B$15,SampleCalc!$B$9*$Z164,SampleCalc!$B$9)+F164</f>
        <v>3.0711924345059077E-5</v>
      </c>
      <c r="H164">
        <f ca="1">HYPGEOMDIST(H$50,SampleCalc!$B$15,SampleCalc!$B$9*$Z164,SampleCalc!$B$9)+G164</f>
        <v>1.9924095770068351E-4</v>
      </c>
      <c r="I164">
        <f ca="1">HYPGEOMDIST(I$50,SampleCalc!$B$15,SampleCalc!$B$9*$Z164,SampleCalc!$B$9)+H164</f>
        <v>9.4832772728505803E-4</v>
      </c>
      <c r="J164">
        <f ca="1">HYPGEOMDIST(J$50,SampleCalc!$B$15,SampleCalc!$B$9*$Z164,SampleCalc!$B$9)+I164</f>
        <v>3.5352033280550265E-3</v>
      </c>
      <c r="K164">
        <f ca="1">HYPGEOMDIST(K$50,SampleCalc!$B$15,SampleCalc!$B$9*$Z164,SampleCalc!$B$9)+J164</f>
        <v>1.0762570686346559E-2</v>
      </c>
      <c r="L164">
        <f ca="1">HYPGEOMDIST(L$50,SampleCalc!$B$15,SampleCalc!$B$9*$Z164,SampleCalc!$B$9)+K164</f>
        <v>2.7559201198327738E-2</v>
      </c>
      <c r="M164">
        <f ca="1">HYPGEOMDIST(M$50,SampleCalc!$B$15,SampleCalc!$B$9*$Z164,SampleCalc!$B$9)+L164</f>
        <v>6.0694705213424294E-2</v>
      </c>
      <c r="N164">
        <f ca="1">HYPGEOMDIST(N$50,SampleCalc!$B$15,SampleCalc!$B$9*$Z164,SampleCalc!$B$9)+M164</f>
        <v>0.11704106952895084</v>
      </c>
      <c r="O164">
        <f ca="1">HYPGEOMDIST(O$50,SampleCalc!$B$15,SampleCalc!$B$9*$Z164,SampleCalc!$B$9)+N164</f>
        <v>0.20063236664790973</v>
      </c>
      <c r="P164">
        <f ca="1">HYPGEOMDIST(P$50,SampleCalc!$B$15,SampleCalc!$B$9*$Z164,SampleCalc!$B$9)+O164</f>
        <v>0.30986825609757357</v>
      </c>
      <c r="Q164">
        <f ca="1">HYPGEOMDIST(Q$50,SampleCalc!$B$15,SampleCalc!$B$9*$Z164,SampleCalc!$B$9)+P164</f>
        <v>0.43660386059556727</v>
      </c>
      <c r="R164">
        <f ca="1">HYPGEOMDIST(R$50,SampleCalc!$B$15,SampleCalc!$B$9*$Z164,SampleCalc!$B$9)+Q164</f>
        <v>0.56800440799661667</v>
      </c>
      <c r="S164">
        <f ca="1">HYPGEOMDIST(S$50,SampleCalc!$B$15,SampleCalc!$B$9*$Z164,SampleCalc!$B$9)+R164</f>
        <v>0.69042144858555365</v>
      </c>
      <c r="T164">
        <f ca="1">HYPGEOMDIST(T$50,SampleCalc!$B$15,SampleCalc!$B$9*$Z164,SampleCalc!$B$9)+S164</f>
        <v>0.79337731861932625</v>
      </c>
      <c r="U164">
        <f ca="1">HYPGEOMDIST(U$50,SampleCalc!$B$15,SampleCalc!$B$9*$Z164,SampleCalc!$B$9)+T164</f>
        <v>0.87185557679670311</v>
      </c>
      <c r="V164">
        <f ca="1">HYPGEOMDIST(V$50,SampleCalc!$B$15,SampleCalc!$B$9*$Z164,SampleCalc!$B$9)+U164</f>
        <v>0.92625810204547632</v>
      </c>
      <c r="W164">
        <f ca="1">HYPGEOMDIST(W$50,SampleCalc!$B$15,SampleCalc!$B$9*$Z164,SampleCalc!$B$9)+V164</f>
        <v>0.96065668557141903</v>
      </c>
      <c r="X164">
        <f ca="1">HYPGEOMDIST(X$50,SampleCalc!$B$15,SampleCalc!$B$9*$Z164,SampleCalc!$B$9)+W164</f>
        <v>0.98054615566054826</v>
      </c>
      <c r="Y164">
        <f ca="1">HYPGEOMDIST(Y$50,SampleCalc!$B$15,SampleCalc!$B$9*$Z164,SampleCalc!$B$9)+X164</f>
        <v>0.99108589872884667</v>
      </c>
      <c r="Z164">
        <v>0.13700000000000001</v>
      </c>
    </row>
    <row r="165" spans="5:26">
      <c r="E165">
        <f ca="1">HYPGEOMDIST(E$50,SampleCalc!$B$15,SampleCalc!$B$9*$Z165,SampleCalc!$B$9)</f>
        <v>1.5146836469114841E-7</v>
      </c>
      <c r="F165">
        <f ca="1">HYPGEOMDIST(F$50,SampleCalc!$B$15,SampleCalc!$B$9*$Z165,SampleCalc!$B$9)+E165</f>
        <v>3.0855499216757727E-6</v>
      </c>
      <c r="G165">
        <f ca="1">HYPGEOMDIST(G$50,SampleCalc!$B$15,SampleCalc!$B$9*$Z165,SampleCalc!$B$9)+F165</f>
        <v>3.0711924345059077E-5</v>
      </c>
      <c r="H165">
        <f ca="1">HYPGEOMDIST(H$50,SampleCalc!$B$15,SampleCalc!$B$9*$Z165,SampleCalc!$B$9)+G165</f>
        <v>1.9924095770068351E-4</v>
      </c>
      <c r="I165">
        <f ca="1">HYPGEOMDIST(I$50,SampleCalc!$B$15,SampleCalc!$B$9*$Z165,SampleCalc!$B$9)+H165</f>
        <v>9.4832772728505803E-4</v>
      </c>
      <c r="J165">
        <f ca="1">HYPGEOMDIST(J$50,SampleCalc!$B$15,SampleCalc!$B$9*$Z165,SampleCalc!$B$9)+I165</f>
        <v>3.5352033280550265E-3</v>
      </c>
      <c r="K165">
        <f ca="1">HYPGEOMDIST(K$50,SampleCalc!$B$15,SampleCalc!$B$9*$Z165,SampleCalc!$B$9)+J165</f>
        <v>1.0762570686346559E-2</v>
      </c>
      <c r="L165">
        <f ca="1">HYPGEOMDIST(L$50,SampleCalc!$B$15,SampleCalc!$B$9*$Z165,SampleCalc!$B$9)+K165</f>
        <v>2.7559201198327738E-2</v>
      </c>
      <c r="M165">
        <f ca="1">HYPGEOMDIST(M$50,SampleCalc!$B$15,SampleCalc!$B$9*$Z165,SampleCalc!$B$9)+L165</f>
        <v>6.0694705213424294E-2</v>
      </c>
      <c r="N165">
        <f ca="1">HYPGEOMDIST(N$50,SampleCalc!$B$15,SampleCalc!$B$9*$Z165,SampleCalc!$B$9)+M165</f>
        <v>0.11704106952895084</v>
      </c>
      <c r="O165">
        <f ca="1">HYPGEOMDIST(O$50,SampleCalc!$B$15,SampleCalc!$B$9*$Z165,SampleCalc!$B$9)+N165</f>
        <v>0.20063236664790973</v>
      </c>
      <c r="P165">
        <f ca="1">HYPGEOMDIST(P$50,SampleCalc!$B$15,SampleCalc!$B$9*$Z165,SampleCalc!$B$9)+O165</f>
        <v>0.30986825609757357</v>
      </c>
      <c r="Q165">
        <f ca="1">HYPGEOMDIST(Q$50,SampleCalc!$B$15,SampleCalc!$B$9*$Z165,SampleCalc!$B$9)+P165</f>
        <v>0.43660386059556727</v>
      </c>
      <c r="R165">
        <f ca="1">HYPGEOMDIST(R$50,SampleCalc!$B$15,SampleCalc!$B$9*$Z165,SampleCalc!$B$9)+Q165</f>
        <v>0.56800440799661667</v>
      </c>
      <c r="S165">
        <f ca="1">HYPGEOMDIST(S$50,SampleCalc!$B$15,SampleCalc!$B$9*$Z165,SampleCalc!$B$9)+R165</f>
        <v>0.69042144858555365</v>
      </c>
      <c r="T165">
        <f ca="1">HYPGEOMDIST(T$50,SampleCalc!$B$15,SampleCalc!$B$9*$Z165,SampleCalc!$B$9)+S165</f>
        <v>0.79337731861932625</v>
      </c>
      <c r="U165">
        <f ca="1">HYPGEOMDIST(U$50,SampleCalc!$B$15,SampleCalc!$B$9*$Z165,SampleCalc!$B$9)+T165</f>
        <v>0.87185557679670311</v>
      </c>
      <c r="V165">
        <f ca="1">HYPGEOMDIST(V$50,SampleCalc!$B$15,SampleCalc!$B$9*$Z165,SampleCalc!$B$9)+U165</f>
        <v>0.92625810204547632</v>
      </c>
      <c r="W165">
        <f ca="1">HYPGEOMDIST(W$50,SampleCalc!$B$15,SampleCalc!$B$9*$Z165,SampleCalc!$B$9)+V165</f>
        <v>0.96065668557141903</v>
      </c>
      <c r="X165">
        <f ca="1">HYPGEOMDIST(X$50,SampleCalc!$B$15,SampleCalc!$B$9*$Z165,SampleCalc!$B$9)+W165</f>
        <v>0.98054615566054826</v>
      </c>
      <c r="Y165">
        <f ca="1">HYPGEOMDIST(Y$50,SampleCalc!$B$15,SampleCalc!$B$9*$Z165,SampleCalc!$B$9)+X165</f>
        <v>0.99108589872884667</v>
      </c>
      <c r="Z165">
        <v>0.13600000000000001</v>
      </c>
    </row>
    <row r="166" spans="5:26">
      <c r="E166">
        <f ca="1">HYPGEOMDIST(E$50,SampleCalc!$B$15,SampleCalc!$B$9*$Z166,SampleCalc!$B$9)</f>
        <v>1.9461662288209901E-7</v>
      </c>
      <c r="F166">
        <f ca="1">HYPGEOMDIST(F$50,SampleCalc!$B$15,SampleCalc!$B$9*$Z166,SampleCalc!$B$9)+E166</f>
        <v>3.8980903458929269E-6</v>
      </c>
      <c r="G166">
        <f ca="1">HYPGEOMDIST(G$50,SampleCalc!$B$15,SampleCalc!$B$9*$Z166,SampleCalc!$B$9)+F166</f>
        <v>3.8147028757807211E-5</v>
      </c>
      <c r="H166">
        <f ca="1">HYPGEOMDIST(H$50,SampleCalc!$B$15,SampleCalc!$B$9*$Z166,SampleCalc!$B$9)+G166</f>
        <v>2.4330488532329372E-4</v>
      </c>
      <c r="I166">
        <f ca="1">HYPGEOMDIST(I$50,SampleCalc!$B$15,SampleCalc!$B$9*$Z166,SampleCalc!$B$9)+H166</f>
        <v>1.1385391685181437E-3</v>
      </c>
      <c r="J166">
        <f ca="1">HYPGEOMDIST(J$50,SampleCalc!$B$15,SampleCalc!$B$9*$Z166,SampleCalc!$B$9)+I166</f>
        <v>4.1729122126101604E-3</v>
      </c>
      <c r="K166">
        <f ca="1">HYPGEOMDIST(K$50,SampleCalc!$B$15,SampleCalc!$B$9*$Z166,SampleCalc!$B$9)+J166</f>
        <v>1.2491635591991689E-2</v>
      </c>
      <c r="L166">
        <f ca="1">HYPGEOMDIST(L$50,SampleCalc!$B$15,SampleCalc!$B$9*$Z166,SampleCalc!$B$9)+K166</f>
        <v>3.145749578833909E-2</v>
      </c>
      <c r="M166">
        <f ca="1">HYPGEOMDIST(M$50,SampleCalc!$B$15,SampleCalc!$B$9*$Z166,SampleCalc!$B$9)+L166</f>
        <v>6.8152312255185171E-2</v>
      </c>
      <c r="N166">
        <f ca="1">HYPGEOMDIST(N$50,SampleCalc!$B$15,SampleCalc!$B$9*$Z166,SampleCalc!$B$9)+M166</f>
        <v>0.12933390734056244</v>
      </c>
      <c r="O166">
        <f ca="1">HYPGEOMDIST(O$50,SampleCalc!$B$15,SampleCalc!$B$9*$Z166,SampleCalc!$B$9)+N166</f>
        <v>0.21830287817653185</v>
      </c>
      <c r="P166">
        <f ca="1">HYPGEOMDIST(P$50,SampleCalc!$B$15,SampleCalc!$B$9*$Z166,SampleCalc!$B$9)+O166</f>
        <v>0.3322333627736902</v>
      </c>
      <c r="Q166">
        <f ca="1">HYPGEOMDIST(Q$50,SampleCalc!$B$15,SampleCalc!$B$9*$Z166,SampleCalc!$B$9)+P166</f>
        <v>0.46172455348106189</v>
      </c>
      <c r="R166">
        <f ca="1">HYPGEOMDIST(R$50,SampleCalc!$B$15,SampleCalc!$B$9*$Z166,SampleCalc!$B$9)+Q166</f>
        <v>0.5932079163531625</v>
      </c>
      <c r="S166">
        <f ca="1">HYPGEOMDIST(S$50,SampleCalc!$B$15,SampleCalc!$B$9*$Z166,SampleCalc!$B$9)+R166</f>
        <v>0.71313230226947411</v>
      </c>
      <c r="T166">
        <f ca="1">HYPGEOMDIST(T$50,SampleCalc!$B$15,SampleCalc!$B$9*$Z166,SampleCalc!$B$9)+S166</f>
        <v>0.81184279113165037</v>
      </c>
      <c r="U166">
        <f ca="1">HYPGEOMDIST(U$50,SampleCalc!$B$15,SampleCalc!$B$9*$Z166,SampleCalc!$B$9)+T166</f>
        <v>0.88545620810889658</v>
      </c>
      <c r="V166">
        <f ca="1">HYPGEOMDIST(V$50,SampleCalc!$B$15,SampleCalc!$B$9*$Z166,SampleCalc!$B$9)+U166</f>
        <v>0.93536360944940244</v>
      </c>
      <c r="W166">
        <f ca="1">HYPGEOMDIST(W$50,SampleCalc!$B$15,SampleCalc!$B$9*$Z166,SampleCalc!$B$9)+V166</f>
        <v>0.96621403750808754</v>
      </c>
      <c r="X166">
        <f ca="1">HYPGEOMDIST(X$50,SampleCalc!$B$15,SampleCalc!$B$9*$Z166,SampleCalc!$B$9)+W166</f>
        <v>0.98364608009240073</v>
      </c>
      <c r="Y166">
        <f ca="1">HYPGEOMDIST(Y$50,SampleCalc!$B$15,SampleCalc!$B$9*$Z166,SampleCalc!$B$9)+X166</f>
        <v>0.99266972566545697</v>
      </c>
      <c r="Z166">
        <v>0.13500000000000001</v>
      </c>
    </row>
    <row r="167" spans="5:26">
      <c r="E167">
        <f ca="1">HYPGEOMDIST(E$50,SampleCalc!$B$15,SampleCalc!$B$9*$Z167,SampleCalc!$B$9)</f>
        <v>1.9461662288209901E-7</v>
      </c>
      <c r="F167">
        <f ca="1">HYPGEOMDIST(F$50,SampleCalc!$B$15,SampleCalc!$B$9*$Z167,SampleCalc!$B$9)+E167</f>
        <v>3.8980903458929269E-6</v>
      </c>
      <c r="G167">
        <f ca="1">HYPGEOMDIST(G$50,SampleCalc!$B$15,SampleCalc!$B$9*$Z167,SampleCalc!$B$9)+F167</f>
        <v>3.8147028757807211E-5</v>
      </c>
      <c r="H167">
        <f ca="1">HYPGEOMDIST(H$50,SampleCalc!$B$15,SampleCalc!$B$9*$Z167,SampleCalc!$B$9)+G167</f>
        <v>2.4330488532329372E-4</v>
      </c>
      <c r="I167">
        <f ca="1">HYPGEOMDIST(I$50,SampleCalc!$B$15,SampleCalc!$B$9*$Z167,SampleCalc!$B$9)+H167</f>
        <v>1.1385391685181437E-3</v>
      </c>
      <c r="J167">
        <f ca="1">HYPGEOMDIST(J$50,SampleCalc!$B$15,SampleCalc!$B$9*$Z167,SampleCalc!$B$9)+I167</f>
        <v>4.1729122126101604E-3</v>
      </c>
      <c r="K167">
        <f ca="1">HYPGEOMDIST(K$50,SampleCalc!$B$15,SampleCalc!$B$9*$Z167,SampleCalc!$B$9)+J167</f>
        <v>1.2491635591991689E-2</v>
      </c>
      <c r="L167">
        <f ca="1">HYPGEOMDIST(L$50,SampleCalc!$B$15,SampleCalc!$B$9*$Z167,SampleCalc!$B$9)+K167</f>
        <v>3.145749578833909E-2</v>
      </c>
      <c r="M167">
        <f ca="1">HYPGEOMDIST(M$50,SampleCalc!$B$15,SampleCalc!$B$9*$Z167,SampleCalc!$B$9)+L167</f>
        <v>6.8152312255185171E-2</v>
      </c>
      <c r="N167">
        <f ca="1">HYPGEOMDIST(N$50,SampleCalc!$B$15,SampleCalc!$B$9*$Z167,SampleCalc!$B$9)+M167</f>
        <v>0.12933390734056244</v>
      </c>
      <c r="O167">
        <f ca="1">HYPGEOMDIST(O$50,SampleCalc!$B$15,SampleCalc!$B$9*$Z167,SampleCalc!$B$9)+N167</f>
        <v>0.21830287817653185</v>
      </c>
      <c r="P167">
        <f ca="1">HYPGEOMDIST(P$50,SampleCalc!$B$15,SampleCalc!$B$9*$Z167,SampleCalc!$B$9)+O167</f>
        <v>0.3322333627736902</v>
      </c>
      <c r="Q167">
        <f ca="1">HYPGEOMDIST(Q$50,SampleCalc!$B$15,SampleCalc!$B$9*$Z167,SampleCalc!$B$9)+P167</f>
        <v>0.46172455348106189</v>
      </c>
      <c r="R167">
        <f ca="1">HYPGEOMDIST(R$50,SampleCalc!$B$15,SampleCalc!$B$9*$Z167,SampleCalc!$B$9)+Q167</f>
        <v>0.5932079163531625</v>
      </c>
      <c r="S167">
        <f ca="1">HYPGEOMDIST(S$50,SampleCalc!$B$15,SampleCalc!$B$9*$Z167,SampleCalc!$B$9)+R167</f>
        <v>0.71313230226947411</v>
      </c>
      <c r="T167">
        <f ca="1">HYPGEOMDIST(T$50,SampleCalc!$B$15,SampleCalc!$B$9*$Z167,SampleCalc!$B$9)+S167</f>
        <v>0.81184279113165037</v>
      </c>
      <c r="U167">
        <f ca="1">HYPGEOMDIST(U$50,SampleCalc!$B$15,SampleCalc!$B$9*$Z167,SampleCalc!$B$9)+T167</f>
        <v>0.88545620810889658</v>
      </c>
      <c r="V167">
        <f ca="1">HYPGEOMDIST(V$50,SampleCalc!$B$15,SampleCalc!$B$9*$Z167,SampleCalc!$B$9)+U167</f>
        <v>0.93536360944940244</v>
      </c>
      <c r="W167">
        <f ca="1">HYPGEOMDIST(W$50,SampleCalc!$B$15,SampleCalc!$B$9*$Z167,SampleCalc!$B$9)+V167</f>
        <v>0.96621403750808754</v>
      </c>
      <c r="X167">
        <f ca="1">HYPGEOMDIST(X$50,SampleCalc!$B$15,SampleCalc!$B$9*$Z167,SampleCalc!$B$9)+W167</f>
        <v>0.98364608009240073</v>
      </c>
      <c r="Y167">
        <f ca="1">HYPGEOMDIST(Y$50,SampleCalc!$B$15,SampleCalc!$B$9*$Z167,SampleCalc!$B$9)+X167</f>
        <v>0.99266972566545697</v>
      </c>
      <c r="Z167">
        <v>0.13400000000000001</v>
      </c>
    </row>
    <row r="168" spans="5:26">
      <c r="E168">
        <f ca="1">HYPGEOMDIST(E$50,SampleCalc!$B$15,SampleCalc!$B$9*$Z168,SampleCalc!$B$9)</f>
        <v>2.4989235009121568E-7</v>
      </c>
      <c r="F168">
        <f ca="1">HYPGEOMDIST(F$50,SampleCalc!$B$15,SampleCalc!$B$9*$Z168,SampleCalc!$B$9)+E168</f>
        <v>4.920446716397831E-6</v>
      </c>
      <c r="G168">
        <f ca="1">HYPGEOMDIST(G$50,SampleCalc!$B$15,SampleCalc!$B$9*$Z168,SampleCalc!$B$9)+F168</f>
        <v>4.733320143984392E-5</v>
      </c>
      <c r="H168">
        <f ca="1">HYPGEOMDIST(H$50,SampleCalc!$B$15,SampleCalc!$B$9*$Z168,SampleCalc!$B$9)+G168</f>
        <v>2.9675170820059809E-4</v>
      </c>
      <c r="I168">
        <f ca="1">HYPGEOMDIST(I$50,SampleCalc!$B$15,SampleCalc!$B$9*$Z168,SampleCalc!$B$9)+H168</f>
        <v>1.3649849180772491E-3</v>
      </c>
      <c r="J168">
        <f ca="1">HYPGEOMDIST(J$50,SampleCalc!$B$15,SampleCalc!$B$9*$Z168,SampleCalc!$B$9)+I168</f>
        <v>4.9178725152413455E-3</v>
      </c>
      <c r="K168">
        <f ca="1">HYPGEOMDIST(K$50,SampleCalc!$B$15,SampleCalc!$B$9*$Z168,SampleCalc!$B$9)+J168</f>
        <v>1.4473143373699624E-2</v>
      </c>
      <c r="L168">
        <f ca="1">HYPGEOMDIST(L$50,SampleCalc!$B$15,SampleCalc!$B$9*$Z168,SampleCalc!$B$9)+K168</f>
        <v>3.5838966411246093E-2</v>
      </c>
      <c r="M168">
        <f ca="1">HYPGEOMDIST(M$50,SampleCalc!$B$15,SampleCalc!$B$9*$Z168,SampleCalc!$B$9)+L168</f>
        <v>7.6370735475608992E-2</v>
      </c>
      <c r="N168">
        <f ca="1">HYPGEOMDIST(N$50,SampleCalc!$B$15,SampleCalc!$B$9*$Z168,SampleCalc!$B$9)+M168</f>
        <v>0.14261285821160266</v>
      </c>
      <c r="O168">
        <f ca="1">HYPGEOMDIST(O$50,SampleCalc!$B$15,SampleCalc!$B$9*$Z168,SampleCalc!$B$9)+N168</f>
        <v>0.2370078831103937</v>
      </c>
      <c r="P168">
        <f ca="1">HYPGEOMDIST(P$50,SampleCalc!$B$15,SampleCalc!$B$9*$Z168,SampleCalc!$B$9)+O168</f>
        <v>0.35542581484068198</v>
      </c>
      <c r="Q168">
        <f ca="1">HYPGEOMDIST(Q$50,SampleCalc!$B$15,SampleCalc!$B$9*$Z168,SampleCalc!$B$9)+P168</f>
        <v>0.48723625075475308</v>
      </c>
      <c r="R168">
        <f ca="1">HYPGEOMDIST(R$50,SampleCalc!$B$15,SampleCalc!$B$9*$Z168,SampleCalc!$B$9)+Q168</f>
        <v>0.61826674326104858</v>
      </c>
      <c r="S168">
        <f ca="1">HYPGEOMDIST(S$50,SampleCalc!$B$15,SampleCalc!$B$9*$Z168,SampleCalc!$B$9)+R168</f>
        <v>0.73523166544757335</v>
      </c>
      <c r="T168">
        <f ca="1">HYPGEOMDIST(T$50,SampleCalc!$B$15,SampleCalc!$B$9*$Z168,SampleCalc!$B$9)+S168</f>
        <v>0.82942211458890325</v>
      </c>
      <c r="U168">
        <f ca="1">HYPGEOMDIST(U$50,SampleCalc!$B$15,SampleCalc!$B$9*$Z168,SampleCalc!$B$9)+T168</f>
        <v>0.89811928009081599</v>
      </c>
      <c r="V168">
        <f ca="1">HYPGEOMDIST(V$50,SampleCalc!$B$15,SampleCalc!$B$9*$Z168,SampleCalc!$B$9)+U168</f>
        <v>0.94365178415173578</v>
      </c>
      <c r="W168">
        <f ca="1">HYPGEOMDIST(W$50,SampleCalc!$B$15,SampleCalc!$B$9*$Z168,SampleCalc!$B$9)+V168</f>
        <v>0.97115745256931074</v>
      </c>
      <c r="X168">
        <f ca="1">HYPGEOMDIST(X$50,SampleCalc!$B$15,SampleCalc!$B$9*$Z168,SampleCalc!$B$9)+W168</f>
        <v>0.98633970563659668</v>
      </c>
      <c r="Y168">
        <f ca="1">HYPGEOMDIST(Y$50,SampleCalc!$B$15,SampleCalc!$B$9*$Z168,SampleCalc!$B$9)+X168</f>
        <v>0.99401352880007543</v>
      </c>
      <c r="Z168">
        <v>0.13300000000000001</v>
      </c>
    </row>
    <row r="169" spans="5:26">
      <c r="E169">
        <f ca="1">HYPGEOMDIST(E$50,SampleCalc!$B$15,SampleCalc!$B$9*$Z169,SampleCalc!$B$9)</f>
        <v>2.4989235009121568E-7</v>
      </c>
      <c r="F169">
        <f ca="1">HYPGEOMDIST(F$50,SampleCalc!$B$15,SampleCalc!$B$9*$Z169,SampleCalc!$B$9)+E169</f>
        <v>4.920446716397831E-6</v>
      </c>
      <c r="G169">
        <f ca="1">HYPGEOMDIST(G$50,SampleCalc!$B$15,SampleCalc!$B$9*$Z169,SampleCalc!$B$9)+F169</f>
        <v>4.733320143984392E-5</v>
      </c>
      <c r="H169">
        <f ca="1">HYPGEOMDIST(H$50,SampleCalc!$B$15,SampleCalc!$B$9*$Z169,SampleCalc!$B$9)+G169</f>
        <v>2.9675170820059809E-4</v>
      </c>
      <c r="I169">
        <f ca="1">HYPGEOMDIST(I$50,SampleCalc!$B$15,SampleCalc!$B$9*$Z169,SampleCalc!$B$9)+H169</f>
        <v>1.3649849180772491E-3</v>
      </c>
      <c r="J169">
        <f ca="1">HYPGEOMDIST(J$50,SampleCalc!$B$15,SampleCalc!$B$9*$Z169,SampleCalc!$B$9)+I169</f>
        <v>4.9178725152413455E-3</v>
      </c>
      <c r="K169">
        <f ca="1">HYPGEOMDIST(K$50,SampleCalc!$B$15,SampleCalc!$B$9*$Z169,SampleCalc!$B$9)+J169</f>
        <v>1.4473143373699624E-2</v>
      </c>
      <c r="L169">
        <f ca="1">HYPGEOMDIST(L$50,SampleCalc!$B$15,SampleCalc!$B$9*$Z169,SampleCalc!$B$9)+K169</f>
        <v>3.5838966411246093E-2</v>
      </c>
      <c r="M169">
        <f ca="1">HYPGEOMDIST(M$50,SampleCalc!$B$15,SampleCalc!$B$9*$Z169,SampleCalc!$B$9)+L169</f>
        <v>7.6370735475608992E-2</v>
      </c>
      <c r="N169">
        <f ca="1">HYPGEOMDIST(N$50,SampleCalc!$B$15,SampleCalc!$B$9*$Z169,SampleCalc!$B$9)+M169</f>
        <v>0.14261285821160266</v>
      </c>
      <c r="O169">
        <f ca="1">HYPGEOMDIST(O$50,SampleCalc!$B$15,SampleCalc!$B$9*$Z169,SampleCalc!$B$9)+N169</f>
        <v>0.2370078831103937</v>
      </c>
      <c r="P169">
        <f ca="1">HYPGEOMDIST(P$50,SampleCalc!$B$15,SampleCalc!$B$9*$Z169,SampleCalc!$B$9)+O169</f>
        <v>0.35542581484068198</v>
      </c>
      <c r="Q169">
        <f ca="1">HYPGEOMDIST(Q$50,SampleCalc!$B$15,SampleCalc!$B$9*$Z169,SampleCalc!$B$9)+P169</f>
        <v>0.48723625075475308</v>
      </c>
      <c r="R169">
        <f ca="1">HYPGEOMDIST(R$50,SampleCalc!$B$15,SampleCalc!$B$9*$Z169,SampleCalc!$B$9)+Q169</f>
        <v>0.61826674326104858</v>
      </c>
      <c r="S169">
        <f ca="1">HYPGEOMDIST(S$50,SampleCalc!$B$15,SampleCalc!$B$9*$Z169,SampleCalc!$B$9)+R169</f>
        <v>0.73523166544757335</v>
      </c>
      <c r="T169">
        <f ca="1">HYPGEOMDIST(T$50,SampleCalc!$B$15,SampleCalc!$B$9*$Z169,SampleCalc!$B$9)+S169</f>
        <v>0.82942211458890325</v>
      </c>
      <c r="U169">
        <f ca="1">HYPGEOMDIST(U$50,SampleCalc!$B$15,SampleCalc!$B$9*$Z169,SampleCalc!$B$9)+T169</f>
        <v>0.89811928009081599</v>
      </c>
      <c r="V169">
        <f ca="1">HYPGEOMDIST(V$50,SampleCalc!$B$15,SampleCalc!$B$9*$Z169,SampleCalc!$B$9)+U169</f>
        <v>0.94365178415173578</v>
      </c>
      <c r="W169">
        <f ca="1">HYPGEOMDIST(W$50,SampleCalc!$B$15,SampleCalc!$B$9*$Z169,SampleCalc!$B$9)+V169</f>
        <v>0.97115745256931074</v>
      </c>
      <c r="X169">
        <f ca="1">HYPGEOMDIST(X$50,SampleCalc!$B$15,SampleCalc!$B$9*$Z169,SampleCalc!$B$9)+W169</f>
        <v>0.98633970563659668</v>
      </c>
      <c r="Y169">
        <f ca="1">HYPGEOMDIST(Y$50,SampleCalc!$B$15,SampleCalc!$B$9*$Z169,SampleCalc!$B$9)+X169</f>
        <v>0.99401352880007543</v>
      </c>
      <c r="Z169">
        <v>0.13200000000000001</v>
      </c>
    </row>
    <row r="170" spans="5:26">
      <c r="E170">
        <f ca="1">HYPGEOMDIST(E$50,SampleCalc!$B$15,SampleCalc!$B$9*$Z170,SampleCalc!$B$9)</f>
        <v>3.2065832533828556E-7</v>
      </c>
      <c r="F170">
        <f ca="1">HYPGEOMDIST(F$50,SampleCalc!$B$15,SampleCalc!$B$9*$Z170,SampleCalc!$B$9)+E170</f>
        <v>6.2056817080174089E-6</v>
      </c>
      <c r="G170">
        <f ca="1">HYPGEOMDIST(G$50,SampleCalc!$B$15,SampleCalc!$B$9*$Z170,SampleCalc!$B$9)+F170</f>
        <v>5.8670406292605454E-5</v>
      </c>
      <c r="H170">
        <f ca="1">HYPGEOMDIST(H$50,SampleCalc!$B$15,SampleCalc!$B$9*$Z170,SampleCalc!$B$9)+G170</f>
        <v>3.61493114859789E-4</v>
      </c>
      <c r="I170">
        <f ca="1">HYPGEOMDIST(I$50,SampleCalc!$B$15,SampleCalc!$B$9*$Z170,SampleCalc!$B$9)+H170</f>
        <v>1.634143069377561E-3</v>
      </c>
      <c r="J170">
        <f ca="1">HYPGEOMDIST(J$50,SampleCalc!$B$15,SampleCalc!$B$9*$Z170,SampleCalc!$B$9)+I170</f>
        <v>5.786533502373915E-3</v>
      </c>
      <c r="K170">
        <f ca="1">HYPGEOMDIST(K$50,SampleCalc!$B$15,SampleCalc!$B$9*$Z170,SampleCalc!$B$9)+J170</f>
        <v>1.6739215514045457E-2</v>
      </c>
      <c r="L170">
        <f ca="1">HYPGEOMDIST(L$50,SampleCalc!$B$15,SampleCalc!$B$9*$Z170,SampleCalc!$B$9)+K170</f>
        <v>4.0751908116017352E-2</v>
      </c>
      <c r="M170">
        <f ca="1">HYPGEOMDIST(M$50,SampleCalc!$B$15,SampleCalc!$B$9*$Z170,SampleCalc!$B$9)+L170</f>
        <v>8.5403752212335399E-2</v>
      </c>
      <c r="N170">
        <f ca="1">HYPGEOMDIST(N$50,SampleCalc!$B$15,SampleCalc!$B$9*$Z170,SampleCalc!$B$9)+M170</f>
        <v>0.15691513471141952</v>
      </c>
      <c r="O170">
        <f ca="1">HYPGEOMDIST(O$50,SampleCalc!$B$15,SampleCalc!$B$9*$Z170,SampleCalc!$B$9)+N170</f>
        <v>0.2567442050654416</v>
      </c>
      <c r="P170">
        <f ca="1">HYPGEOMDIST(P$50,SampleCalc!$B$15,SampleCalc!$B$9*$Z170,SampleCalc!$B$9)+O170</f>
        <v>0.37939134864324031</v>
      </c>
      <c r="Q170">
        <f ca="1">HYPGEOMDIST(Q$50,SampleCalc!$B$15,SampleCalc!$B$9*$Z170,SampleCalc!$B$9)+P170</f>
        <v>0.51304528715750819</v>
      </c>
      <c r="R170">
        <f ca="1">HYPGEOMDIST(R$50,SampleCalc!$B$15,SampleCalc!$B$9*$Z170,SampleCalc!$B$9)+Q170</f>
        <v>0.64307748433091749</v>
      </c>
      <c r="S170">
        <f ca="1">HYPGEOMDIST(S$50,SampleCalc!$B$15,SampleCalc!$B$9*$Z170,SampleCalc!$B$9)+R170</f>
        <v>0.75663858570696663</v>
      </c>
      <c r="T170">
        <f ca="1">HYPGEOMDIST(T$50,SampleCalc!$B$15,SampleCalc!$B$9*$Z170,SampleCalc!$B$9)+S170</f>
        <v>0.84607597289239733</v>
      </c>
      <c r="U170">
        <f ca="1">HYPGEOMDIST(U$50,SampleCalc!$B$15,SampleCalc!$B$9*$Z170,SampleCalc!$B$9)+T170</f>
        <v>0.90984734931862876</v>
      </c>
      <c r="V170">
        <f ca="1">HYPGEOMDIST(V$50,SampleCalc!$B$15,SampleCalc!$B$9*$Z170,SampleCalc!$B$9)+U170</f>
        <v>0.95115333008380176</v>
      </c>
      <c r="W170">
        <f ca="1">HYPGEOMDIST(W$50,SampleCalc!$B$15,SampleCalc!$B$9*$Z170,SampleCalc!$B$9)+V170</f>
        <v>0.9755281011795901</v>
      </c>
      <c r="X170">
        <f ca="1">HYPGEOMDIST(X$50,SampleCalc!$B$15,SampleCalc!$B$9*$Z170,SampleCalc!$B$9)+W170</f>
        <v>0.98866510659522666</v>
      </c>
      <c r="Y170">
        <f ca="1">HYPGEOMDIST(Y$50,SampleCalc!$B$15,SampleCalc!$B$9*$Z170,SampleCalc!$B$9)+X170</f>
        <v>0.9951457853114084</v>
      </c>
      <c r="Z170">
        <v>0.13100000000000001</v>
      </c>
    </row>
    <row r="171" spans="5:26">
      <c r="E171">
        <f ca="1">HYPGEOMDIST(E$50,SampleCalc!$B$15,SampleCalc!$B$9*$Z171,SampleCalc!$B$9)</f>
        <v>3.2065832533828556E-7</v>
      </c>
      <c r="F171">
        <f ca="1">HYPGEOMDIST(F$50,SampleCalc!$B$15,SampleCalc!$B$9*$Z171,SampleCalc!$B$9)+E171</f>
        <v>6.2056817080174089E-6</v>
      </c>
      <c r="G171">
        <f ca="1">HYPGEOMDIST(G$50,SampleCalc!$B$15,SampleCalc!$B$9*$Z171,SampleCalc!$B$9)+F171</f>
        <v>5.8670406292605454E-5</v>
      </c>
      <c r="H171">
        <f ca="1">HYPGEOMDIST(H$50,SampleCalc!$B$15,SampleCalc!$B$9*$Z171,SampleCalc!$B$9)+G171</f>
        <v>3.61493114859789E-4</v>
      </c>
      <c r="I171">
        <f ca="1">HYPGEOMDIST(I$50,SampleCalc!$B$15,SampleCalc!$B$9*$Z171,SampleCalc!$B$9)+H171</f>
        <v>1.634143069377561E-3</v>
      </c>
      <c r="J171">
        <f ca="1">HYPGEOMDIST(J$50,SampleCalc!$B$15,SampleCalc!$B$9*$Z171,SampleCalc!$B$9)+I171</f>
        <v>5.786533502373915E-3</v>
      </c>
      <c r="K171">
        <f ca="1">HYPGEOMDIST(K$50,SampleCalc!$B$15,SampleCalc!$B$9*$Z171,SampleCalc!$B$9)+J171</f>
        <v>1.6739215514045457E-2</v>
      </c>
      <c r="L171">
        <f ca="1">HYPGEOMDIST(L$50,SampleCalc!$B$15,SampleCalc!$B$9*$Z171,SampleCalc!$B$9)+K171</f>
        <v>4.0751908116017352E-2</v>
      </c>
      <c r="M171">
        <f ca="1">HYPGEOMDIST(M$50,SampleCalc!$B$15,SampleCalc!$B$9*$Z171,SampleCalc!$B$9)+L171</f>
        <v>8.5403752212335399E-2</v>
      </c>
      <c r="N171">
        <f ca="1">HYPGEOMDIST(N$50,SampleCalc!$B$15,SampleCalc!$B$9*$Z171,SampleCalc!$B$9)+M171</f>
        <v>0.15691513471141952</v>
      </c>
      <c r="O171">
        <f ca="1">HYPGEOMDIST(O$50,SampleCalc!$B$15,SampleCalc!$B$9*$Z171,SampleCalc!$B$9)+N171</f>
        <v>0.2567442050654416</v>
      </c>
      <c r="P171">
        <f ca="1">HYPGEOMDIST(P$50,SampleCalc!$B$15,SampleCalc!$B$9*$Z171,SampleCalc!$B$9)+O171</f>
        <v>0.37939134864324031</v>
      </c>
      <c r="Q171">
        <f ca="1">HYPGEOMDIST(Q$50,SampleCalc!$B$15,SampleCalc!$B$9*$Z171,SampleCalc!$B$9)+P171</f>
        <v>0.51304528715750819</v>
      </c>
      <c r="R171">
        <f ca="1">HYPGEOMDIST(R$50,SampleCalc!$B$15,SampleCalc!$B$9*$Z171,SampleCalc!$B$9)+Q171</f>
        <v>0.64307748433091749</v>
      </c>
      <c r="S171">
        <f ca="1">HYPGEOMDIST(S$50,SampleCalc!$B$15,SampleCalc!$B$9*$Z171,SampleCalc!$B$9)+R171</f>
        <v>0.75663858570696663</v>
      </c>
      <c r="T171">
        <f ca="1">HYPGEOMDIST(T$50,SampleCalc!$B$15,SampleCalc!$B$9*$Z171,SampleCalc!$B$9)+S171</f>
        <v>0.84607597289239733</v>
      </c>
      <c r="U171">
        <f ca="1">HYPGEOMDIST(U$50,SampleCalc!$B$15,SampleCalc!$B$9*$Z171,SampleCalc!$B$9)+T171</f>
        <v>0.90984734931862876</v>
      </c>
      <c r="V171">
        <f ca="1">HYPGEOMDIST(V$50,SampleCalc!$B$15,SampleCalc!$B$9*$Z171,SampleCalc!$B$9)+U171</f>
        <v>0.95115333008380176</v>
      </c>
      <c r="W171">
        <f ca="1">HYPGEOMDIST(W$50,SampleCalc!$B$15,SampleCalc!$B$9*$Z171,SampleCalc!$B$9)+V171</f>
        <v>0.9755281011795901</v>
      </c>
      <c r="X171">
        <f ca="1">HYPGEOMDIST(X$50,SampleCalc!$B$15,SampleCalc!$B$9*$Z171,SampleCalc!$B$9)+W171</f>
        <v>0.98866510659522666</v>
      </c>
      <c r="Y171">
        <f ca="1">HYPGEOMDIST(Y$50,SampleCalc!$B$15,SampleCalc!$B$9*$Z171,SampleCalc!$B$9)+X171</f>
        <v>0.9951457853114084</v>
      </c>
      <c r="Z171">
        <v>0.13</v>
      </c>
    </row>
    <row r="172" spans="5:26">
      <c r="E172">
        <f ca="1">HYPGEOMDIST(E$50,SampleCalc!$B$15,SampleCalc!$B$9*$Z172,SampleCalc!$B$9)</f>
        <v>4.1119714661027204E-7</v>
      </c>
      <c r="F172">
        <f ca="1">HYPGEOMDIST(F$50,SampleCalc!$B$15,SampleCalc!$B$9*$Z172,SampleCalc!$B$9)+E172</f>
        <v>7.8199809260047291E-6</v>
      </c>
      <c r="G172">
        <f ca="1">HYPGEOMDIST(G$50,SampleCalc!$B$15,SampleCalc!$B$9*$Z172,SampleCalc!$B$9)+F172</f>
        <v>7.2646838995706224E-5</v>
      </c>
      <c r="H172">
        <f ca="1">HYPGEOMDIST(H$50,SampleCalc!$B$15,SampleCalc!$B$9*$Z172,SampleCalc!$B$9)+G172</f>
        <v>4.398100351378063E-4</v>
      </c>
      <c r="I172">
        <f ca="1">HYPGEOMDIST(I$50,SampleCalc!$B$15,SampleCalc!$B$9*$Z172,SampleCalc!$B$9)+H172</f>
        <v>1.9535577180695872E-3</v>
      </c>
      <c r="J172">
        <f ca="1">HYPGEOMDIST(J$50,SampleCalc!$B$15,SampleCalc!$B$9*$Z172,SampleCalc!$B$9)+I172</f>
        <v>6.797550303451287E-3</v>
      </c>
      <c r="K172">
        <f ca="1">HYPGEOMDIST(K$50,SampleCalc!$B$15,SampleCalc!$B$9*$Z172,SampleCalc!$B$9)+J172</f>
        <v>1.9325197794257818E-2</v>
      </c>
      <c r="L172">
        <f ca="1">HYPGEOMDIST(L$50,SampleCalc!$B$15,SampleCalc!$B$9*$Z172,SampleCalc!$B$9)+K172</f>
        <v>4.6247519697102654E-2</v>
      </c>
      <c r="M172">
        <f ca="1">HYPGEOMDIST(M$50,SampleCalc!$B$15,SampleCalc!$B$9*$Z172,SampleCalc!$B$9)+L172</f>
        <v>9.5305328250670146E-2</v>
      </c>
      <c r="N172">
        <f ca="1">HYPGEOMDIST(N$50,SampleCalc!$B$15,SampleCalc!$B$9*$Z172,SampleCalc!$B$9)+M172</f>
        <v>0.17227345322742282</v>
      </c>
      <c r="O172">
        <f ca="1">HYPGEOMDIST(O$50,SampleCalc!$B$15,SampleCalc!$B$9*$Z172,SampleCalc!$B$9)+N172</f>
        <v>0.27749987551706912</v>
      </c>
      <c r="P172">
        <f ca="1">HYPGEOMDIST(P$50,SampleCalc!$B$15,SampleCalc!$B$9*$Z172,SampleCalc!$B$9)+O172</f>
        <v>0.40406592190741292</v>
      </c>
      <c r="Q172">
        <f ca="1">HYPGEOMDIST(Q$50,SampleCalc!$B$15,SampleCalc!$B$9*$Z172,SampleCalc!$B$9)+P172</f>
        <v>0.53905172659219014</v>
      </c>
      <c r="R172">
        <f ca="1">HYPGEOMDIST(R$50,SampleCalc!$B$15,SampleCalc!$B$9*$Z172,SampleCalc!$B$9)+Q172</f>
        <v>0.66753679847345126</v>
      </c>
      <c r="S172">
        <f ca="1">HYPGEOMDIST(S$50,SampleCalc!$B$15,SampleCalc!$B$9*$Z172,SampleCalc!$B$9)+R172</f>
        <v>0.77727798274975834</v>
      </c>
      <c r="T172">
        <f ca="1">HYPGEOMDIST(T$50,SampleCalc!$B$15,SampleCalc!$B$9*$Z172,SampleCalc!$B$9)+S172</f>
        <v>0.86177354247423887</v>
      </c>
      <c r="U172">
        <f ca="1">HYPGEOMDIST(U$50,SampleCalc!$B$15,SampleCalc!$B$9*$Z172,SampleCalc!$B$9)+T172</f>
        <v>0.92065045198028939</v>
      </c>
      <c r="V172">
        <f ca="1">HYPGEOMDIST(V$50,SampleCalc!$B$15,SampleCalc!$B$9*$Z172,SampleCalc!$B$9)+U172</f>
        <v>0.95790326669494319</v>
      </c>
      <c r="W172">
        <f ca="1">HYPGEOMDIST(W$50,SampleCalc!$B$15,SampleCalc!$B$9*$Z172,SampleCalc!$B$9)+V172</f>
        <v>0.97936814891646851</v>
      </c>
      <c r="X172">
        <f ca="1">HYPGEOMDIST(X$50,SampleCalc!$B$15,SampleCalc!$B$9*$Z172,SampleCalc!$B$9)+W172</f>
        <v>0.99065916158482115</v>
      </c>
      <c r="Y172">
        <f ca="1">HYPGEOMDIST(Y$50,SampleCalc!$B$15,SampleCalc!$B$9*$Z172,SampleCalc!$B$9)+X172</f>
        <v>0.99609296143146586</v>
      </c>
      <c r="Z172">
        <v>0.129</v>
      </c>
    </row>
    <row r="173" spans="5:26">
      <c r="E173">
        <f ca="1">HYPGEOMDIST(E$50,SampleCalc!$B$15,SampleCalc!$B$9*$Z173,SampleCalc!$B$9)</f>
        <v>4.1119714661027204E-7</v>
      </c>
      <c r="F173">
        <f ca="1">HYPGEOMDIST(F$50,SampleCalc!$B$15,SampleCalc!$B$9*$Z173,SampleCalc!$B$9)+E173</f>
        <v>7.8199809260047291E-6</v>
      </c>
      <c r="G173">
        <f ca="1">HYPGEOMDIST(G$50,SampleCalc!$B$15,SampleCalc!$B$9*$Z173,SampleCalc!$B$9)+F173</f>
        <v>7.2646838995706224E-5</v>
      </c>
      <c r="H173">
        <f ca="1">HYPGEOMDIST(H$50,SampleCalc!$B$15,SampleCalc!$B$9*$Z173,SampleCalc!$B$9)+G173</f>
        <v>4.398100351378063E-4</v>
      </c>
      <c r="I173">
        <f ca="1">HYPGEOMDIST(I$50,SampleCalc!$B$15,SampleCalc!$B$9*$Z173,SampleCalc!$B$9)+H173</f>
        <v>1.9535577180695872E-3</v>
      </c>
      <c r="J173">
        <f ca="1">HYPGEOMDIST(J$50,SampleCalc!$B$15,SampleCalc!$B$9*$Z173,SampleCalc!$B$9)+I173</f>
        <v>6.797550303451287E-3</v>
      </c>
      <c r="K173">
        <f ca="1">HYPGEOMDIST(K$50,SampleCalc!$B$15,SampleCalc!$B$9*$Z173,SampleCalc!$B$9)+J173</f>
        <v>1.9325197794257818E-2</v>
      </c>
      <c r="L173">
        <f ca="1">HYPGEOMDIST(L$50,SampleCalc!$B$15,SampleCalc!$B$9*$Z173,SampleCalc!$B$9)+K173</f>
        <v>4.6247519697102654E-2</v>
      </c>
      <c r="M173">
        <f ca="1">HYPGEOMDIST(M$50,SampleCalc!$B$15,SampleCalc!$B$9*$Z173,SampleCalc!$B$9)+L173</f>
        <v>9.5305328250670146E-2</v>
      </c>
      <c r="N173">
        <f ca="1">HYPGEOMDIST(N$50,SampleCalc!$B$15,SampleCalc!$B$9*$Z173,SampleCalc!$B$9)+M173</f>
        <v>0.17227345322742282</v>
      </c>
      <c r="O173">
        <f ca="1">HYPGEOMDIST(O$50,SampleCalc!$B$15,SampleCalc!$B$9*$Z173,SampleCalc!$B$9)+N173</f>
        <v>0.27749987551706912</v>
      </c>
      <c r="P173">
        <f ca="1">HYPGEOMDIST(P$50,SampleCalc!$B$15,SampleCalc!$B$9*$Z173,SampleCalc!$B$9)+O173</f>
        <v>0.40406592190741292</v>
      </c>
      <c r="Q173">
        <f ca="1">HYPGEOMDIST(Q$50,SampleCalc!$B$15,SampleCalc!$B$9*$Z173,SampleCalc!$B$9)+P173</f>
        <v>0.53905172659219014</v>
      </c>
      <c r="R173">
        <f ca="1">HYPGEOMDIST(R$50,SampleCalc!$B$15,SampleCalc!$B$9*$Z173,SampleCalc!$B$9)+Q173</f>
        <v>0.66753679847345126</v>
      </c>
      <c r="S173">
        <f ca="1">HYPGEOMDIST(S$50,SampleCalc!$B$15,SampleCalc!$B$9*$Z173,SampleCalc!$B$9)+R173</f>
        <v>0.77727798274975834</v>
      </c>
      <c r="T173">
        <f ca="1">HYPGEOMDIST(T$50,SampleCalc!$B$15,SampleCalc!$B$9*$Z173,SampleCalc!$B$9)+S173</f>
        <v>0.86177354247423887</v>
      </c>
      <c r="U173">
        <f ca="1">HYPGEOMDIST(U$50,SampleCalc!$B$15,SampleCalc!$B$9*$Z173,SampleCalc!$B$9)+T173</f>
        <v>0.92065045198028939</v>
      </c>
      <c r="V173">
        <f ca="1">HYPGEOMDIST(V$50,SampleCalc!$B$15,SampleCalc!$B$9*$Z173,SampleCalc!$B$9)+U173</f>
        <v>0.95790326669494319</v>
      </c>
      <c r="W173">
        <f ca="1">HYPGEOMDIST(W$50,SampleCalc!$B$15,SampleCalc!$B$9*$Z173,SampleCalc!$B$9)+V173</f>
        <v>0.97936814891646851</v>
      </c>
      <c r="X173">
        <f ca="1">HYPGEOMDIST(X$50,SampleCalc!$B$15,SampleCalc!$B$9*$Z173,SampleCalc!$B$9)+W173</f>
        <v>0.99065916158482115</v>
      </c>
      <c r="Y173">
        <f ca="1">HYPGEOMDIST(Y$50,SampleCalc!$B$15,SampleCalc!$B$9*$Z173,SampleCalc!$B$9)+X173</f>
        <v>0.99609296143146586</v>
      </c>
      <c r="Z173">
        <v>0.128</v>
      </c>
    </row>
    <row r="174" spans="5:26">
      <c r="E174">
        <f ca="1">HYPGEOMDIST(E$50,SampleCalc!$B$15,SampleCalc!$B$9*$Z174,SampleCalc!$B$9)</f>
        <v>5.2695939316331015E-7</v>
      </c>
      <c r="F174">
        <f ca="1">HYPGEOMDIST(F$50,SampleCalc!$B$15,SampleCalc!$B$9*$Z174,SampleCalc!$B$9)+E174</f>
        <v>9.8458202406829004E-6</v>
      </c>
      <c r="G174">
        <f ca="1">HYPGEOMDIST(G$50,SampleCalc!$B$15,SampleCalc!$B$9*$Z174,SampleCalc!$B$9)+F174</f>
        <v>8.9857613814867265E-5</v>
      </c>
      <c r="H174">
        <f ca="1">HYPGEOMDIST(H$50,SampleCalc!$B$15,SampleCalc!$B$9*$Z174,SampleCalc!$B$9)+G174</f>
        <v>5.3441926532104232E-4</v>
      </c>
      <c r="I174">
        <f ca="1">HYPGEOMDIST(I$50,SampleCalc!$B$15,SampleCalc!$B$9*$Z174,SampleCalc!$B$9)+H174</f>
        <v>2.3319946388025321E-3</v>
      </c>
      <c r="J174">
        <f ca="1">HYPGEOMDIST(J$50,SampleCalc!$B$15,SampleCalc!$B$9*$Z174,SampleCalc!$B$9)+I174</f>
        <v>7.9720172557144007E-3</v>
      </c>
      <c r="K174">
        <f ca="1">HYPGEOMDIST(K$50,SampleCalc!$B$15,SampleCalc!$B$9*$Z174,SampleCalc!$B$9)+J174</f>
        <v>2.2269826752381473E-2</v>
      </c>
      <c r="L174">
        <f ca="1">HYPGEOMDIST(L$50,SampleCalc!$B$15,SampleCalc!$B$9*$Z174,SampleCalc!$B$9)+K174</f>
        <v>5.2379745766298599E-2</v>
      </c>
      <c r="M174">
        <f ca="1">HYPGEOMDIST(M$50,SampleCalc!$B$15,SampleCalc!$B$9*$Z174,SampleCalc!$B$9)+L174</f>
        <v>0.10612897082552591</v>
      </c>
      <c r="N174">
        <f ca="1">HYPGEOMDIST(N$50,SampleCalc!$B$15,SampleCalc!$B$9*$Z174,SampleCalc!$B$9)+M174</f>
        <v>0.18871508171018003</v>
      </c>
      <c r="O174">
        <f ca="1">HYPGEOMDIST(O$50,SampleCalc!$B$15,SampleCalc!$B$9*$Z174,SampleCalc!$B$9)+N174</f>
        <v>0.29925341474040945</v>
      </c>
      <c r="P174">
        <f ca="1">HYPGEOMDIST(P$50,SampleCalc!$B$15,SampleCalc!$B$9*$Z174,SampleCalc!$B$9)+O174</f>
        <v>0.42937576028580871</v>
      </c>
      <c r="Q174">
        <f ca="1">HYPGEOMDIST(Q$50,SampleCalc!$B$15,SampleCalc!$B$9*$Z174,SampleCalc!$B$9)+P174</f>
        <v>0.56515025681807152</v>
      </c>
      <c r="R174">
        <f ca="1">HYPGEOMDIST(R$50,SampleCalc!$B$15,SampleCalc!$B$9*$Z174,SampleCalc!$B$9)+Q174</f>
        <v>0.6915426825338935</v>
      </c>
      <c r="S174">
        <f ca="1">HYPGEOMDIST(S$50,SampleCalc!$B$15,SampleCalc!$B$9*$Z174,SampleCalc!$B$9)+R174</f>
        <v>0.79708162956018347</v>
      </c>
      <c r="T174">
        <f ca="1">HYPGEOMDIST(T$50,SampleCalc!$B$15,SampleCalc!$B$9*$Z174,SampleCalc!$B$9)+S174</f>
        <v>0.87649276985075153</v>
      </c>
      <c r="U174">
        <f ca="1">HYPGEOMDIST(U$50,SampleCalc!$B$15,SampleCalc!$B$9*$Z174,SampleCalc!$B$9)+T174</f>
        <v>0.93054573088886927</v>
      </c>
      <c r="V174">
        <f ca="1">HYPGEOMDIST(V$50,SampleCalc!$B$15,SampleCalc!$B$9*$Z174,SampleCalc!$B$9)+U174</f>
        <v>0.96394026481974715</v>
      </c>
      <c r="W174">
        <f ca="1">HYPGEOMDIST(W$50,SampleCalc!$B$15,SampleCalc!$B$9*$Z174,SampleCalc!$B$9)+V174</f>
        <v>0.98272016830238573</v>
      </c>
      <c r="X174">
        <f ca="1">HYPGEOMDIST(X$50,SampleCalc!$B$15,SampleCalc!$B$9*$Z174,SampleCalc!$B$9)+W174</f>
        <v>0.99235722403689763</v>
      </c>
      <c r="Y174">
        <f ca="1">HYPGEOMDIST(Y$50,SampleCalc!$B$15,SampleCalc!$B$9*$Z174,SampleCalc!$B$9)+X174</f>
        <v>0.99687943246190125</v>
      </c>
      <c r="Z174">
        <v>0.127</v>
      </c>
    </row>
    <row r="175" spans="5:26">
      <c r="E175">
        <f ca="1">HYPGEOMDIST(E$50,SampleCalc!$B$15,SampleCalc!$B$9*$Z175,SampleCalc!$B$9)</f>
        <v>5.2695939316331015E-7</v>
      </c>
      <c r="F175">
        <f ca="1">HYPGEOMDIST(F$50,SampleCalc!$B$15,SampleCalc!$B$9*$Z175,SampleCalc!$B$9)+E175</f>
        <v>9.8458202406829004E-6</v>
      </c>
      <c r="G175">
        <f ca="1">HYPGEOMDIST(G$50,SampleCalc!$B$15,SampleCalc!$B$9*$Z175,SampleCalc!$B$9)+F175</f>
        <v>8.9857613814867265E-5</v>
      </c>
      <c r="H175">
        <f ca="1">HYPGEOMDIST(H$50,SampleCalc!$B$15,SampleCalc!$B$9*$Z175,SampleCalc!$B$9)+G175</f>
        <v>5.3441926532104232E-4</v>
      </c>
      <c r="I175">
        <f ca="1">HYPGEOMDIST(I$50,SampleCalc!$B$15,SampleCalc!$B$9*$Z175,SampleCalc!$B$9)+H175</f>
        <v>2.3319946388025321E-3</v>
      </c>
      <c r="J175">
        <f ca="1">HYPGEOMDIST(J$50,SampleCalc!$B$15,SampleCalc!$B$9*$Z175,SampleCalc!$B$9)+I175</f>
        <v>7.9720172557144007E-3</v>
      </c>
      <c r="K175">
        <f ca="1">HYPGEOMDIST(K$50,SampleCalc!$B$15,SampleCalc!$B$9*$Z175,SampleCalc!$B$9)+J175</f>
        <v>2.2269826752381473E-2</v>
      </c>
      <c r="L175">
        <f ca="1">HYPGEOMDIST(L$50,SampleCalc!$B$15,SampleCalc!$B$9*$Z175,SampleCalc!$B$9)+K175</f>
        <v>5.2379745766298599E-2</v>
      </c>
      <c r="M175">
        <f ca="1">HYPGEOMDIST(M$50,SampleCalc!$B$15,SampleCalc!$B$9*$Z175,SampleCalc!$B$9)+L175</f>
        <v>0.10612897082552591</v>
      </c>
      <c r="N175">
        <f ca="1">HYPGEOMDIST(N$50,SampleCalc!$B$15,SampleCalc!$B$9*$Z175,SampleCalc!$B$9)+M175</f>
        <v>0.18871508171018003</v>
      </c>
      <c r="O175">
        <f ca="1">HYPGEOMDIST(O$50,SampleCalc!$B$15,SampleCalc!$B$9*$Z175,SampleCalc!$B$9)+N175</f>
        <v>0.29925341474040945</v>
      </c>
      <c r="P175">
        <f ca="1">HYPGEOMDIST(P$50,SampleCalc!$B$15,SampleCalc!$B$9*$Z175,SampleCalc!$B$9)+O175</f>
        <v>0.42937576028580871</v>
      </c>
      <c r="Q175">
        <f ca="1">HYPGEOMDIST(Q$50,SampleCalc!$B$15,SampleCalc!$B$9*$Z175,SampleCalc!$B$9)+P175</f>
        <v>0.56515025681807152</v>
      </c>
      <c r="R175">
        <f ca="1">HYPGEOMDIST(R$50,SampleCalc!$B$15,SampleCalc!$B$9*$Z175,SampleCalc!$B$9)+Q175</f>
        <v>0.6915426825338935</v>
      </c>
      <c r="S175">
        <f ca="1">HYPGEOMDIST(S$50,SampleCalc!$B$15,SampleCalc!$B$9*$Z175,SampleCalc!$B$9)+R175</f>
        <v>0.79708162956018347</v>
      </c>
      <c r="T175">
        <f ca="1">HYPGEOMDIST(T$50,SampleCalc!$B$15,SampleCalc!$B$9*$Z175,SampleCalc!$B$9)+S175</f>
        <v>0.87649276985075153</v>
      </c>
      <c r="U175">
        <f ca="1">HYPGEOMDIST(U$50,SampleCalc!$B$15,SampleCalc!$B$9*$Z175,SampleCalc!$B$9)+T175</f>
        <v>0.93054573088886927</v>
      </c>
      <c r="V175">
        <f ca="1">HYPGEOMDIST(V$50,SampleCalc!$B$15,SampleCalc!$B$9*$Z175,SampleCalc!$B$9)+U175</f>
        <v>0.96394026481974715</v>
      </c>
      <c r="W175">
        <f ca="1">HYPGEOMDIST(W$50,SampleCalc!$B$15,SampleCalc!$B$9*$Z175,SampleCalc!$B$9)+V175</f>
        <v>0.98272016830238573</v>
      </c>
      <c r="X175">
        <f ca="1">HYPGEOMDIST(X$50,SampleCalc!$B$15,SampleCalc!$B$9*$Z175,SampleCalc!$B$9)+W175</f>
        <v>0.99235722403689763</v>
      </c>
      <c r="Y175">
        <f ca="1">HYPGEOMDIST(Y$50,SampleCalc!$B$15,SampleCalc!$B$9*$Z175,SampleCalc!$B$9)+X175</f>
        <v>0.99687943246190125</v>
      </c>
      <c r="Z175">
        <v>0.126</v>
      </c>
    </row>
    <row r="176" spans="5:26">
      <c r="E176">
        <f ca="1">HYPGEOMDIST(E$50,SampleCalc!$B$15,SampleCalc!$B$9*$Z176,SampleCalc!$B$9)</f>
        <v>6.748778193144146E-7</v>
      </c>
      <c r="F176">
        <f ca="1">HYPGEOMDIST(F$50,SampleCalc!$B$15,SampleCalc!$B$9*$Z176,SampleCalc!$B$9)+E176</f>
        <v>1.2385877179545909E-5</v>
      </c>
      <c r="G176">
        <f ca="1">HYPGEOMDIST(G$50,SampleCalc!$B$15,SampleCalc!$B$9*$Z176,SampleCalc!$B$9)+F176</f>
        <v>1.1102721626754218E-4</v>
      </c>
      <c r="H176">
        <f ca="1">HYPGEOMDIST(H$50,SampleCalc!$B$15,SampleCalc!$B$9*$Z176,SampleCalc!$B$9)+G176</f>
        <v>6.4855103506589868E-4</v>
      </c>
      <c r="I176">
        <f ca="1">HYPGEOMDIST(I$50,SampleCalc!$B$15,SampleCalc!$B$9*$Z176,SampleCalc!$B$9)+H176</f>
        <v>2.7796154814145862E-3</v>
      </c>
      <c r="J176">
        <f ca="1">HYPGEOMDIST(J$50,SampleCalc!$B$15,SampleCalc!$B$9*$Z176,SampleCalc!$B$9)+I176</f>
        <v>9.3337133982541211E-3</v>
      </c>
      <c r="K176">
        <f ca="1">HYPGEOMDIST(K$50,SampleCalc!$B$15,SampleCalc!$B$9*$Z176,SampleCalc!$B$9)+J176</f>
        <v>2.5615373309483384E-2</v>
      </c>
      <c r="L176">
        <f ca="1">HYPGEOMDIST(L$50,SampleCalc!$B$15,SampleCalc!$B$9*$Z176,SampleCalc!$B$9)+K176</f>
        <v>5.9205044186517897E-2</v>
      </c>
      <c r="M176">
        <f ca="1">HYPGEOMDIST(M$50,SampleCalc!$B$15,SampleCalc!$B$9*$Z176,SampleCalc!$B$9)+L176</f>
        <v>0.11792698666619081</v>
      </c>
      <c r="N176">
        <f ca="1">HYPGEOMDIST(N$50,SampleCalc!$B$15,SampleCalc!$B$9*$Z176,SampleCalc!$B$9)+M176</f>
        <v>0.20626084885783552</v>
      </c>
      <c r="O176">
        <f ca="1">HYPGEOMDIST(O$50,SampleCalc!$B$15,SampleCalc!$B$9*$Z176,SampleCalc!$B$9)+N176</f>
        <v>0.32197318935944752</v>
      </c>
      <c r="P176">
        <f ca="1">HYPGEOMDIST(P$50,SampleCalc!$B$15,SampleCalc!$B$9*$Z176,SampleCalc!$B$9)+O176</f>
        <v>0.45523756914909708</v>
      </c>
      <c r="Q176">
        <f ca="1">HYPGEOMDIST(Q$50,SampleCalc!$B$15,SampleCalc!$B$9*$Z176,SampleCalc!$B$9)+P176</f>
        <v>0.59123123355308249</v>
      </c>
      <c r="R176">
        <f ca="1">HYPGEOMDIST(R$50,SampleCalc!$B$15,SampleCalc!$B$9*$Z176,SampleCalc!$B$9)+Q176</f>
        <v>0.71499578187306922</v>
      </c>
      <c r="S176">
        <f ca="1">HYPGEOMDIST(S$50,SampleCalc!$B$15,SampleCalc!$B$9*$Z176,SampleCalc!$B$9)+R176</f>
        <v>0.81598904391508087</v>
      </c>
      <c r="T176">
        <f ca="1">HYPGEOMDIST(T$50,SampleCalc!$B$15,SampleCalc!$B$9*$Z176,SampleCalc!$B$9)+S176</f>
        <v>0.89022050598741664</v>
      </c>
      <c r="U176">
        <f ca="1">HYPGEOMDIST(U$50,SampleCalc!$B$15,SampleCalc!$B$9*$Z176,SampleCalc!$B$9)+T176</f>
        <v>0.93955695433053499</v>
      </c>
      <c r="V176">
        <f ca="1">HYPGEOMDIST(V$50,SampleCalc!$B$15,SampleCalc!$B$9*$Z176,SampleCalc!$B$9)+U176</f>
        <v>0.96930595152907273</v>
      </c>
      <c r="W176">
        <f ca="1">HYPGEOMDIST(W$50,SampleCalc!$B$15,SampleCalc!$B$9*$Z176,SampleCalc!$B$9)+V176</f>
        <v>0.9856265819366038</v>
      </c>
      <c r="X176">
        <f ca="1">HYPGEOMDIST(X$50,SampleCalc!$B$15,SampleCalc!$B$9*$Z176,SampleCalc!$B$9)+W176</f>
        <v>0.99379284575912119</v>
      </c>
      <c r="Y176">
        <f ca="1">HYPGEOMDIST(Y$50,SampleCalc!$B$15,SampleCalc!$B$9*$Z176,SampleCalc!$B$9)+X176</f>
        <v>0.99752744513983327</v>
      </c>
      <c r="Z176">
        <v>0.125</v>
      </c>
    </row>
    <row r="177" spans="5:26">
      <c r="E177">
        <f ca="1">HYPGEOMDIST(E$50,SampleCalc!$B$15,SampleCalc!$B$9*$Z177,SampleCalc!$B$9)</f>
        <v>6.748778193144146E-7</v>
      </c>
      <c r="F177">
        <f ca="1">HYPGEOMDIST(F$50,SampleCalc!$B$15,SampleCalc!$B$9*$Z177,SampleCalc!$B$9)+E177</f>
        <v>1.2385877179545909E-5</v>
      </c>
      <c r="G177">
        <f ca="1">HYPGEOMDIST(G$50,SampleCalc!$B$15,SampleCalc!$B$9*$Z177,SampleCalc!$B$9)+F177</f>
        <v>1.1102721626754218E-4</v>
      </c>
      <c r="H177">
        <f ca="1">HYPGEOMDIST(H$50,SampleCalc!$B$15,SampleCalc!$B$9*$Z177,SampleCalc!$B$9)+G177</f>
        <v>6.4855103506589868E-4</v>
      </c>
      <c r="I177">
        <f ca="1">HYPGEOMDIST(I$50,SampleCalc!$B$15,SampleCalc!$B$9*$Z177,SampleCalc!$B$9)+H177</f>
        <v>2.7796154814145862E-3</v>
      </c>
      <c r="J177">
        <f ca="1">HYPGEOMDIST(J$50,SampleCalc!$B$15,SampleCalc!$B$9*$Z177,SampleCalc!$B$9)+I177</f>
        <v>9.3337133982541211E-3</v>
      </c>
      <c r="K177">
        <f ca="1">HYPGEOMDIST(K$50,SampleCalc!$B$15,SampleCalc!$B$9*$Z177,SampleCalc!$B$9)+J177</f>
        <v>2.5615373309483384E-2</v>
      </c>
      <c r="L177">
        <f ca="1">HYPGEOMDIST(L$50,SampleCalc!$B$15,SampleCalc!$B$9*$Z177,SampleCalc!$B$9)+K177</f>
        <v>5.9205044186517897E-2</v>
      </c>
      <c r="M177">
        <f ca="1">HYPGEOMDIST(M$50,SampleCalc!$B$15,SampleCalc!$B$9*$Z177,SampleCalc!$B$9)+L177</f>
        <v>0.11792698666619081</v>
      </c>
      <c r="N177">
        <f ca="1">HYPGEOMDIST(N$50,SampleCalc!$B$15,SampleCalc!$B$9*$Z177,SampleCalc!$B$9)+M177</f>
        <v>0.20626084885783552</v>
      </c>
      <c r="O177">
        <f ca="1">HYPGEOMDIST(O$50,SampleCalc!$B$15,SampleCalc!$B$9*$Z177,SampleCalc!$B$9)+N177</f>
        <v>0.32197318935944752</v>
      </c>
      <c r="P177">
        <f ca="1">HYPGEOMDIST(P$50,SampleCalc!$B$15,SampleCalc!$B$9*$Z177,SampleCalc!$B$9)+O177</f>
        <v>0.45523756914909708</v>
      </c>
      <c r="Q177">
        <f ca="1">HYPGEOMDIST(Q$50,SampleCalc!$B$15,SampleCalc!$B$9*$Z177,SampleCalc!$B$9)+P177</f>
        <v>0.59123123355308249</v>
      </c>
      <c r="R177">
        <f ca="1">HYPGEOMDIST(R$50,SampleCalc!$B$15,SampleCalc!$B$9*$Z177,SampleCalc!$B$9)+Q177</f>
        <v>0.71499578187306922</v>
      </c>
      <c r="S177">
        <f ca="1">HYPGEOMDIST(S$50,SampleCalc!$B$15,SampleCalc!$B$9*$Z177,SampleCalc!$B$9)+R177</f>
        <v>0.81598904391508087</v>
      </c>
      <c r="T177">
        <f ca="1">HYPGEOMDIST(T$50,SampleCalc!$B$15,SampleCalc!$B$9*$Z177,SampleCalc!$B$9)+S177</f>
        <v>0.89022050598741664</v>
      </c>
      <c r="U177">
        <f ca="1">HYPGEOMDIST(U$50,SampleCalc!$B$15,SampleCalc!$B$9*$Z177,SampleCalc!$B$9)+T177</f>
        <v>0.93955695433053499</v>
      </c>
      <c r="V177">
        <f ca="1">HYPGEOMDIST(V$50,SampleCalc!$B$15,SampleCalc!$B$9*$Z177,SampleCalc!$B$9)+U177</f>
        <v>0.96930595152907273</v>
      </c>
      <c r="W177">
        <f ca="1">HYPGEOMDIST(W$50,SampleCalc!$B$15,SampleCalc!$B$9*$Z177,SampleCalc!$B$9)+V177</f>
        <v>0.9856265819366038</v>
      </c>
      <c r="X177">
        <f ca="1">HYPGEOMDIST(X$50,SampleCalc!$B$15,SampleCalc!$B$9*$Z177,SampleCalc!$B$9)+W177</f>
        <v>0.99379284575912119</v>
      </c>
      <c r="Y177">
        <f ca="1">HYPGEOMDIST(Y$50,SampleCalc!$B$15,SampleCalc!$B$9*$Z177,SampleCalc!$B$9)+X177</f>
        <v>0.99752744513983327</v>
      </c>
      <c r="Z177">
        <v>0.124</v>
      </c>
    </row>
    <row r="178" spans="5:26">
      <c r="E178">
        <f ca="1">HYPGEOMDIST(E$50,SampleCalc!$B$15,SampleCalc!$B$9*$Z178,SampleCalc!$B$9)</f>
        <v>8.6376490576976253E-7</v>
      </c>
      <c r="F178">
        <f ca="1">HYPGEOMDIST(F$50,SampleCalc!$B$15,SampleCalc!$B$9*$Z178,SampleCalc!$B$9)+E178</f>
        <v>1.556785585980384E-5</v>
      </c>
      <c r="G178">
        <f ca="1">HYPGEOMDIST(G$50,SampleCalc!$B$15,SampleCalc!$B$9*$Z178,SampleCalc!$B$9)+F178</f>
        <v>1.370364333061723E-4</v>
      </c>
      <c r="H178">
        <f ca="1">HYPGEOMDIST(H$50,SampleCalc!$B$15,SampleCalc!$B$9*$Z178,SampleCalc!$B$9)+G178</f>
        <v>7.8603906386258838E-4</v>
      </c>
      <c r="I178">
        <f ca="1">HYPGEOMDIST(I$50,SampleCalc!$B$15,SampleCalc!$B$9*$Z178,SampleCalc!$B$9)+H178</f>
        <v>3.3081717650306781E-3</v>
      </c>
      <c r="J178">
        <f ca="1">HYPGEOMDIST(J$50,SampleCalc!$B$15,SampleCalc!$B$9*$Z178,SampleCalc!$B$9)+I178</f>
        <v>1.0909357905792443E-2</v>
      </c>
      <c r="K178">
        <f ca="1">HYPGEOMDIST(K$50,SampleCalc!$B$15,SampleCalc!$B$9*$Z178,SampleCalc!$B$9)+J178</f>
        <v>2.9407755505277577E-2</v>
      </c>
      <c r="L178">
        <f ca="1">HYPGEOMDIST(L$50,SampleCalc!$B$15,SampleCalc!$B$9*$Z178,SampleCalc!$B$9)+K178</f>
        <v>6.6782069022604751E-2</v>
      </c>
      <c r="M178">
        <f ca="1">HYPGEOMDIST(M$50,SampleCalc!$B$15,SampleCalc!$B$9*$Z178,SampleCalc!$B$9)+L178</f>
        <v>0.13074964408110701</v>
      </c>
      <c r="N178">
        <f ca="1">HYPGEOMDIST(N$50,SampleCalc!$B$15,SampleCalc!$B$9*$Z178,SampleCalc!$B$9)+M178</f>
        <v>0.22492412958390207</v>
      </c>
      <c r="O178">
        <f ca="1">HYPGEOMDIST(O$50,SampleCalc!$B$15,SampleCalc!$B$9*$Z178,SampleCalc!$B$9)+N178</f>
        <v>0.34561686964470806</v>
      </c>
      <c r="P178">
        <f ca="1">HYPGEOMDIST(P$50,SampleCalc!$B$15,SampleCalc!$B$9*$Z178,SampleCalc!$B$9)+O178</f>
        <v>0.4815589235498684</v>
      </c>
      <c r="Q178">
        <f ca="1">HYPGEOMDIST(Q$50,SampleCalc!$B$15,SampleCalc!$B$9*$Z178,SampleCalc!$B$9)+P178</f>
        <v>0.61718186465243452</v>
      </c>
      <c r="R178">
        <f ca="1">HYPGEOMDIST(R$50,SampleCalc!$B$15,SampleCalc!$B$9*$Z178,SampleCalc!$B$9)+Q178</f>
        <v>0.73780071201158803</v>
      </c>
      <c r="S178">
        <f ca="1">HYPGEOMDIST(S$50,SampleCalc!$B$15,SampleCalc!$B$9*$Z178,SampleCalc!$B$9)+R178</f>
        <v>0.83394826861000082</v>
      </c>
      <c r="T178">
        <f ca="1">HYPGEOMDIST(T$50,SampleCalc!$B$15,SampleCalc!$B$9*$Z178,SampleCalc!$B$9)+S178</f>
        <v>0.90295249265660837</v>
      </c>
      <c r="U178">
        <f ca="1">HYPGEOMDIST(U$50,SampleCalc!$B$15,SampleCalc!$B$9*$Z178,SampleCalc!$B$9)+T178</f>
        <v>0.94771393743335985</v>
      </c>
      <c r="V178">
        <f ca="1">HYPGEOMDIST(V$50,SampleCalc!$B$15,SampleCalc!$B$9*$Z178,SampleCalc!$B$9)+U178</f>
        <v>0.974044199066743</v>
      </c>
      <c r="W178">
        <f ca="1">HYPGEOMDIST(W$50,SampleCalc!$B$15,SampleCalc!$B$9*$Z178,SampleCalc!$B$9)+V178</f>
        <v>0.9881291466564075</v>
      </c>
      <c r="X178">
        <f ca="1">HYPGEOMDIST(X$50,SampleCalc!$B$15,SampleCalc!$B$9*$Z178,SampleCalc!$B$9)+W178</f>
        <v>0.99499755523677025</v>
      </c>
      <c r="Y178">
        <f ca="1">HYPGEOMDIST(Y$50,SampleCalc!$B$15,SampleCalc!$B$9*$Z178,SampleCalc!$B$9)+X178</f>
        <v>0.9980571190589318</v>
      </c>
      <c r="Z178">
        <v>0.123</v>
      </c>
    </row>
    <row r="179" spans="5:26">
      <c r="E179">
        <f ca="1">HYPGEOMDIST(E$50,SampleCalc!$B$15,SampleCalc!$B$9*$Z179,SampleCalc!$B$9)</f>
        <v>8.6376490576976253E-7</v>
      </c>
      <c r="F179">
        <f ca="1">HYPGEOMDIST(F$50,SampleCalc!$B$15,SampleCalc!$B$9*$Z179,SampleCalc!$B$9)+E179</f>
        <v>1.556785585980384E-5</v>
      </c>
      <c r="G179">
        <f ca="1">HYPGEOMDIST(G$50,SampleCalc!$B$15,SampleCalc!$B$9*$Z179,SampleCalc!$B$9)+F179</f>
        <v>1.370364333061723E-4</v>
      </c>
      <c r="H179">
        <f ca="1">HYPGEOMDIST(H$50,SampleCalc!$B$15,SampleCalc!$B$9*$Z179,SampleCalc!$B$9)+G179</f>
        <v>7.8603906386258838E-4</v>
      </c>
      <c r="I179">
        <f ca="1">HYPGEOMDIST(I$50,SampleCalc!$B$15,SampleCalc!$B$9*$Z179,SampleCalc!$B$9)+H179</f>
        <v>3.3081717650306781E-3</v>
      </c>
      <c r="J179">
        <f ca="1">HYPGEOMDIST(J$50,SampleCalc!$B$15,SampleCalc!$B$9*$Z179,SampleCalc!$B$9)+I179</f>
        <v>1.0909357905792443E-2</v>
      </c>
      <c r="K179">
        <f ca="1">HYPGEOMDIST(K$50,SampleCalc!$B$15,SampleCalc!$B$9*$Z179,SampleCalc!$B$9)+J179</f>
        <v>2.9407755505277577E-2</v>
      </c>
      <c r="L179">
        <f ca="1">HYPGEOMDIST(L$50,SampleCalc!$B$15,SampleCalc!$B$9*$Z179,SampleCalc!$B$9)+K179</f>
        <v>6.6782069022604751E-2</v>
      </c>
      <c r="M179">
        <f ca="1">HYPGEOMDIST(M$50,SampleCalc!$B$15,SampleCalc!$B$9*$Z179,SampleCalc!$B$9)+L179</f>
        <v>0.13074964408110701</v>
      </c>
      <c r="N179">
        <f ca="1">HYPGEOMDIST(N$50,SampleCalc!$B$15,SampleCalc!$B$9*$Z179,SampleCalc!$B$9)+M179</f>
        <v>0.22492412958390207</v>
      </c>
      <c r="O179">
        <f ca="1">HYPGEOMDIST(O$50,SampleCalc!$B$15,SampleCalc!$B$9*$Z179,SampleCalc!$B$9)+N179</f>
        <v>0.34561686964470806</v>
      </c>
      <c r="P179">
        <f ca="1">HYPGEOMDIST(P$50,SampleCalc!$B$15,SampleCalc!$B$9*$Z179,SampleCalc!$B$9)+O179</f>
        <v>0.4815589235498684</v>
      </c>
      <c r="Q179">
        <f ca="1">HYPGEOMDIST(Q$50,SampleCalc!$B$15,SampleCalc!$B$9*$Z179,SampleCalc!$B$9)+P179</f>
        <v>0.61718186465243452</v>
      </c>
      <c r="R179">
        <f ca="1">HYPGEOMDIST(R$50,SampleCalc!$B$15,SampleCalc!$B$9*$Z179,SampleCalc!$B$9)+Q179</f>
        <v>0.73780071201158803</v>
      </c>
      <c r="S179">
        <f ca="1">HYPGEOMDIST(S$50,SampleCalc!$B$15,SampleCalc!$B$9*$Z179,SampleCalc!$B$9)+R179</f>
        <v>0.83394826861000082</v>
      </c>
      <c r="T179">
        <f ca="1">HYPGEOMDIST(T$50,SampleCalc!$B$15,SampleCalc!$B$9*$Z179,SampleCalc!$B$9)+S179</f>
        <v>0.90295249265660837</v>
      </c>
      <c r="U179">
        <f ca="1">HYPGEOMDIST(U$50,SampleCalc!$B$15,SampleCalc!$B$9*$Z179,SampleCalc!$B$9)+T179</f>
        <v>0.94771393743335985</v>
      </c>
      <c r="V179">
        <f ca="1">HYPGEOMDIST(V$50,SampleCalc!$B$15,SampleCalc!$B$9*$Z179,SampleCalc!$B$9)+U179</f>
        <v>0.974044199066743</v>
      </c>
      <c r="W179">
        <f ca="1">HYPGEOMDIST(W$50,SampleCalc!$B$15,SampleCalc!$B$9*$Z179,SampleCalc!$B$9)+V179</f>
        <v>0.9881291466564075</v>
      </c>
      <c r="X179">
        <f ca="1">HYPGEOMDIST(X$50,SampleCalc!$B$15,SampleCalc!$B$9*$Z179,SampleCalc!$B$9)+W179</f>
        <v>0.99499755523677025</v>
      </c>
      <c r="Y179">
        <f ca="1">HYPGEOMDIST(Y$50,SampleCalc!$B$15,SampleCalc!$B$9*$Z179,SampleCalc!$B$9)+X179</f>
        <v>0.9980571190589318</v>
      </c>
      <c r="Z179">
        <v>0.122</v>
      </c>
    </row>
    <row r="180" spans="5:26">
      <c r="E180">
        <f ca="1">HYPGEOMDIST(E$50,SampleCalc!$B$15,SampleCalc!$B$9*$Z180,SampleCalc!$B$9)</f>
        <v>1.1048155771473694E-6</v>
      </c>
      <c r="F180">
        <f ca="1">HYPGEOMDIST(F$50,SampleCalc!$B$15,SampleCalc!$B$9*$Z180,SampleCalc!$B$9)+E180</f>
        <v>1.955043216952084E-5</v>
      </c>
      <c r="G180">
        <f ca="1">HYPGEOMDIST(G$50,SampleCalc!$B$15,SampleCalc!$B$9*$Z180,SampleCalc!$B$9)+F180</f>
        <v>1.6895459546468464E-4</v>
      </c>
      <c r="H180">
        <f ca="1">HYPGEOMDIST(H$50,SampleCalc!$B$15,SampleCalc!$B$9*$Z180,SampleCalc!$B$9)+G180</f>
        <v>9.514248147588565E-4</v>
      </c>
      <c r="I180">
        <f ca="1">HYPGEOMDIST(I$50,SampleCalc!$B$15,SampleCalc!$B$9*$Z180,SampleCalc!$B$9)+H180</f>
        <v>3.931219809355414E-3</v>
      </c>
      <c r="J180">
        <f ca="1">HYPGEOMDIST(J$50,SampleCalc!$B$15,SampleCalc!$B$9*$Z180,SampleCalc!$B$9)+I180</f>
        <v>1.2728872423774573E-2</v>
      </c>
      <c r="K180">
        <f ca="1">HYPGEOMDIST(K$50,SampleCalc!$B$15,SampleCalc!$B$9*$Z180,SampleCalc!$B$9)+J180</f>
        <v>3.3696611154806932E-2</v>
      </c>
      <c r="L180">
        <f ca="1">HYPGEOMDIST(L$50,SampleCalc!$B$15,SampleCalc!$B$9*$Z180,SampleCalc!$B$9)+K180</f>
        <v>7.5171259194211609E-2</v>
      </c>
      <c r="M180">
        <f ca="1">HYPGEOMDIST(M$50,SampleCalc!$B$15,SampleCalc!$B$9*$Z180,SampleCalc!$B$9)+L180</f>
        <v>0.14464424030283091</v>
      </c>
      <c r="N180">
        <f ca="1">HYPGEOMDIST(N$50,SampleCalc!$B$15,SampleCalc!$B$9*$Z180,SampleCalc!$B$9)+M180</f>
        <v>0.24470982467583757</v>
      </c>
      <c r="O180">
        <f ca="1">HYPGEOMDIST(O$50,SampleCalc!$B$15,SampleCalc!$B$9*$Z180,SampleCalc!$B$9)+N180</f>
        <v>0.37013101051285169</v>
      </c>
      <c r="P180">
        <f ca="1">HYPGEOMDIST(P$50,SampleCalc!$B$15,SampleCalc!$B$9*$Z180,SampleCalc!$B$9)+O180</f>
        <v>0.50823884638971739</v>
      </c>
      <c r="Q180">
        <f ca="1">HYPGEOMDIST(Q$50,SampleCalc!$B$15,SampleCalc!$B$9*$Z180,SampleCalc!$B$9)+P180</f>
        <v>0.64288752064700816</v>
      </c>
      <c r="R180">
        <f ca="1">HYPGEOMDIST(R$50,SampleCalc!$B$15,SampleCalc!$B$9*$Z180,SampleCalc!$B$9)+Q180</f>
        <v>0.75986736434564983</v>
      </c>
      <c r="S180">
        <f ca="1">HYPGEOMDIST(S$50,SampleCalc!$B$15,SampleCalc!$B$9*$Z180,SampleCalc!$B$9)+R180</f>
        <v>0.8509165204247402</v>
      </c>
      <c r="T180">
        <f ca="1">HYPGEOMDIST(T$50,SampleCalc!$B$15,SampleCalc!$B$9*$Z180,SampleCalc!$B$9)+S180</f>
        <v>0.91469319948329719</v>
      </c>
      <c r="U180">
        <f ca="1">HYPGEOMDIST(U$50,SampleCalc!$B$15,SampleCalc!$B$9*$Z180,SampleCalc!$B$9)+T180</f>
        <v>0.9550518792000402</v>
      </c>
      <c r="V180">
        <f ca="1">HYPGEOMDIST(V$50,SampleCalc!$B$15,SampleCalc!$B$9*$Z180,SampleCalc!$B$9)+U180</f>
        <v>0.9782004131095946</v>
      </c>
      <c r="W180">
        <f ca="1">HYPGEOMDIST(W$50,SampleCalc!$B$15,SampleCalc!$B$9*$Z180,SampleCalc!$B$9)+V180</f>
        <v>0.99026848703389736</v>
      </c>
      <c r="X180">
        <f ca="1">HYPGEOMDIST(X$50,SampleCalc!$B$15,SampleCalc!$B$9*$Z180,SampleCalc!$B$9)+W180</f>
        <v>0.99600069091616728</v>
      </c>
      <c r="Y180">
        <f ca="1">HYPGEOMDIST(Y$50,SampleCalc!$B$15,SampleCalc!$B$9*$Z180,SampleCalc!$B$9)+X180</f>
        <v>0.99848648317665167</v>
      </c>
      <c r="Z180">
        <v>0.121</v>
      </c>
    </row>
    <row r="181" spans="5:26">
      <c r="E181">
        <f ca="1">HYPGEOMDIST(E$50,SampleCalc!$B$15,SampleCalc!$B$9*$Z181,SampleCalc!$B$9)</f>
        <v>1.1048155771473694E-6</v>
      </c>
      <c r="F181">
        <f ca="1">HYPGEOMDIST(F$50,SampleCalc!$B$15,SampleCalc!$B$9*$Z181,SampleCalc!$B$9)+E181</f>
        <v>1.955043216952084E-5</v>
      </c>
      <c r="G181">
        <f ca="1">HYPGEOMDIST(G$50,SampleCalc!$B$15,SampleCalc!$B$9*$Z181,SampleCalc!$B$9)+F181</f>
        <v>1.6895459546468464E-4</v>
      </c>
      <c r="H181">
        <f ca="1">HYPGEOMDIST(H$50,SampleCalc!$B$15,SampleCalc!$B$9*$Z181,SampleCalc!$B$9)+G181</f>
        <v>9.514248147588565E-4</v>
      </c>
      <c r="I181">
        <f ca="1">HYPGEOMDIST(I$50,SampleCalc!$B$15,SampleCalc!$B$9*$Z181,SampleCalc!$B$9)+H181</f>
        <v>3.931219809355414E-3</v>
      </c>
      <c r="J181">
        <f ca="1">HYPGEOMDIST(J$50,SampleCalc!$B$15,SampleCalc!$B$9*$Z181,SampleCalc!$B$9)+I181</f>
        <v>1.2728872423774573E-2</v>
      </c>
      <c r="K181">
        <f ca="1">HYPGEOMDIST(K$50,SampleCalc!$B$15,SampleCalc!$B$9*$Z181,SampleCalc!$B$9)+J181</f>
        <v>3.3696611154806932E-2</v>
      </c>
      <c r="L181">
        <f ca="1">HYPGEOMDIST(L$50,SampleCalc!$B$15,SampleCalc!$B$9*$Z181,SampleCalc!$B$9)+K181</f>
        <v>7.5171259194211609E-2</v>
      </c>
      <c r="M181">
        <f ca="1">HYPGEOMDIST(M$50,SampleCalc!$B$15,SampleCalc!$B$9*$Z181,SampleCalc!$B$9)+L181</f>
        <v>0.14464424030283091</v>
      </c>
      <c r="N181">
        <f ca="1">HYPGEOMDIST(N$50,SampleCalc!$B$15,SampleCalc!$B$9*$Z181,SampleCalc!$B$9)+M181</f>
        <v>0.24470982467583757</v>
      </c>
      <c r="O181">
        <f ca="1">HYPGEOMDIST(O$50,SampleCalc!$B$15,SampleCalc!$B$9*$Z181,SampleCalc!$B$9)+N181</f>
        <v>0.37013101051285169</v>
      </c>
      <c r="P181">
        <f ca="1">HYPGEOMDIST(P$50,SampleCalc!$B$15,SampleCalc!$B$9*$Z181,SampleCalc!$B$9)+O181</f>
        <v>0.50823884638971739</v>
      </c>
      <c r="Q181">
        <f ca="1">HYPGEOMDIST(Q$50,SampleCalc!$B$15,SampleCalc!$B$9*$Z181,SampleCalc!$B$9)+P181</f>
        <v>0.64288752064700816</v>
      </c>
      <c r="R181">
        <f ca="1">HYPGEOMDIST(R$50,SampleCalc!$B$15,SampleCalc!$B$9*$Z181,SampleCalc!$B$9)+Q181</f>
        <v>0.75986736434564983</v>
      </c>
      <c r="S181">
        <f ca="1">HYPGEOMDIST(S$50,SampleCalc!$B$15,SampleCalc!$B$9*$Z181,SampleCalc!$B$9)+R181</f>
        <v>0.8509165204247402</v>
      </c>
      <c r="T181">
        <f ca="1">HYPGEOMDIST(T$50,SampleCalc!$B$15,SampleCalc!$B$9*$Z181,SampleCalc!$B$9)+S181</f>
        <v>0.91469319948329719</v>
      </c>
      <c r="U181">
        <f ca="1">HYPGEOMDIST(U$50,SampleCalc!$B$15,SampleCalc!$B$9*$Z181,SampleCalc!$B$9)+T181</f>
        <v>0.9550518792000402</v>
      </c>
      <c r="V181">
        <f ca="1">HYPGEOMDIST(V$50,SampleCalc!$B$15,SampleCalc!$B$9*$Z181,SampleCalc!$B$9)+U181</f>
        <v>0.9782004131095946</v>
      </c>
      <c r="W181">
        <f ca="1">HYPGEOMDIST(W$50,SampleCalc!$B$15,SampleCalc!$B$9*$Z181,SampleCalc!$B$9)+V181</f>
        <v>0.99026848703389736</v>
      </c>
      <c r="X181">
        <f ca="1">HYPGEOMDIST(X$50,SampleCalc!$B$15,SampleCalc!$B$9*$Z181,SampleCalc!$B$9)+W181</f>
        <v>0.99600069091616728</v>
      </c>
      <c r="Y181">
        <f ca="1">HYPGEOMDIST(Y$50,SampleCalc!$B$15,SampleCalc!$B$9*$Z181,SampleCalc!$B$9)+X181</f>
        <v>0.99848648317665167</v>
      </c>
      <c r="Z181">
        <v>0.12</v>
      </c>
    </row>
    <row r="182" spans="5:26">
      <c r="E182">
        <f ca="1">HYPGEOMDIST(E$50,SampleCalc!$B$15,SampleCalc!$B$9*$Z182,SampleCalc!$B$9)</f>
        <v>1.4122425203535936E-6</v>
      </c>
      <c r="F182">
        <f ca="1">HYPGEOMDIST(F$50,SampleCalc!$B$15,SampleCalc!$B$9*$Z182,SampleCalc!$B$9)+E182</f>
        <v>2.4530570946026314E-5</v>
      </c>
      <c r="G182">
        <f ca="1">HYPGEOMDIST(G$50,SampleCalc!$B$15,SampleCalc!$B$9*$Z182,SampleCalc!$B$9)+F182</f>
        <v>2.0807810642939323E-4</v>
      </c>
      <c r="H182">
        <f ca="1">HYPGEOMDIST(H$50,SampleCalc!$B$15,SampleCalc!$B$9*$Z182,SampleCalc!$B$9)+G182</f>
        <v>1.1500778143986275E-3</v>
      </c>
      <c r="I182">
        <f ca="1">HYPGEOMDIST(I$50,SampleCalc!$B$15,SampleCalc!$B$9*$Z182,SampleCalc!$B$9)+H182</f>
        <v>4.6643575272236719E-3</v>
      </c>
      <c r="J182">
        <f ca="1">HYPGEOMDIST(J$50,SampleCalc!$B$15,SampleCalc!$B$9*$Z182,SampleCalc!$B$9)+I182</f>
        <v>1.4825646296877815E-2</v>
      </c>
      <c r="K182">
        <f ca="1">HYPGEOMDIST(K$50,SampleCalc!$B$15,SampleCalc!$B$9*$Z182,SampleCalc!$B$9)+J182</f>
        <v>3.8535320092737496E-2</v>
      </c>
      <c r="L182">
        <f ca="1">HYPGEOMDIST(L$50,SampleCalc!$B$15,SampleCalc!$B$9*$Z182,SampleCalc!$B$9)+K182</f>
        <v>8.4434323342027551E-2</v>
      </c>
      <c r="M182">
        <f ca="1">HYPGEOMDIST(M$50,SampleCalc!$B$15,SampleCalc!$B$9*$Z182,SampleCalc!$B$9)+L182</f>
        <v>0.159654077958782</v>
      </c>
      <c r="N182">
        <f ca="1">HYPGEOMDIST(N$50,SampleCalc!$B$15,SampleCalc!$B$9*$Z182,SampleCalc!$B$9)+M182</f>
        <v>0.26561335564867328</v>
      </c>
      <c r="O182">
        <f ca="1">HYPGEOMDIST(O$50,SampleCalc!$B$15,SampleCalc!$B$9*$Z182,SampleCalc!$B$9)+N182</f>
        <v>0.39545078042361048</v>
      </c>
      <c r="P182">
        <f ca="1">HYPGEOMDIST(P$50,SampleCalc!$B$15,SampleCalc!$B$9*$Z182,SampleCalc!$B$9)+O182</f>
        <v>0.53516858124117572</v>
      </c>
      <c r="Q182">
        <f ca="1">HYPGEOMDIST(Q$50,SampleCalc!$B$15,SampleCalc!$B$9*$Z182,SampleCalc!$B$9)+P182</f>
        <v>0.66823315344838063</v>
      </c>
      <c r="R182">
        <f ca="1">HYPGEOMDIST(R$50,SampleCalc!$B$15,SampleCalc!$B$9*$Z182,SampleCalc!$B$9)+Q182</f>
        <v>0.78111216743077094</v>
      </c>
      <c r="S182">
        <f ca="1">HYPGEOMDIST(S$50,SampleCalc!$B$15,SampleCalc!$B$9*$Z182,SampleCalc!$B$9)+R182</f>
        <v>0.86686069018937961</v>
      </c>
      <c r="T182">
        <f ca="1">HYPGEOMDIST(T$50,SampleCalc!$B$15,SampleCalc!$B$9*$Z182,SampleCalc!$B$9)+S182</f>
        <v>0.92545551407442872</v>
      </c>
      <c r="U182">
        <f ca="1">HYPGEOMDIST(U$50,SampleCalc!$B$15,SampleCalc!$B$9*$Z182,SampleCalc!$B$9)+T182</f>
        <v>0.96161063047441397</v>
      </c>
      <c r="V182">
        <f ca="1">HYPGEOMDIST(V$50,SampleCalc!$B$15,SampleCalc!$B$9*$Z182,SampleCalc!$B$9)+U182</f>
        <v>0.98182083528688546</v>
      </c>
      <c r="W182">
        <f ca="1">HYPGEOMDIST(W$50,SampleCalc!$B$15,SampleCalc!$B$9*$Z182,SampleCalc!$B$9)+V182</f>
        <v>0.99208368492994947</v>
      </c>
      <c r="X182">
        <f ca="1">HYPGEOMDIST(X$50,SampleCalc!$B$15,SampleCalc!$B$9*$Z182,SampleCalc!$B$9)+W182</f>
        <v>0.99682928833632867</v>
      </c>
      <c r="Y182">
        <f ca="1">HYPGEOMDIST(Y$50,SampleCalc!$B$15,SampleCalc!$B$9*$Z182,SampleCalc!$B$9)+X182</f>
        <v>0.99883154292422571</v>
      </c>
      <c r="Z182">
        <v>0.11899999999999999</v>
      </c>
    </row>
    <row r="183" spans="5:26">
      <c r="E183">
        <f ca="1">HYPGEOMDIST(E$50,SampleCalc!$B$15,SampleCalc!$B$9*$Z183,SampleCalc!$B$9)</f>
        <v>1.4122425203535936E-6</v>
      </c>
      <c r="F183">
        <f ca="1">HYPGEOMDIST(F$50,SampleCalc!$B$15,SampleCalc!$B$9*$Z183,SampleCalc!$B$9)+E183</f>
        <v>2.4530570946026314E-5</v>
      </c>
      <c r="G183">
        <f ca="1">HYPGEOMDIST(G$50,SampleCalc!$B$15,SampleCalc!$B$9*$Z183,SampleCalc!$B$9)+F183</f>
        <v>2.0807810642939323E-4</v>
      </c>
      <c r="H183">
        <f ca="1">HYPGEOMDIST(H$50,SampleCalc!$B$15,SampleCalc!$B$9*$Z183,SampleCalc!$B$9)+G183</f>
        <v>1.1500778143986275E-3</v>
      </c>
      <c r="I183">
        <f ca="1">HYPGEOMDIST(I$50,SampleCalc!$B$15,SampleCalc!$B$9*$Z183,SampleCalc!$B$9)+H183</f>
        <v>4.6643575272236719E-3</v>
      </c>
      <c r="J183">
        <f ca="1">HYPGEOMDIST(J$50,SampleCalc!$B$15,SampleCalc!$B$9*$Z183,SampleCalc!$B$9)+I183</f>
        <v>1.4825646296877815E-2</v>
      </c>
      <c r="K183">
        <f ca="1">HYPGEOMDIST(K$50,SampleCalc!$B$15,SampleCalc!$B$9*$Z183,SampleCalc!$B$9)+J183</f>
        <v>3.8535320092737496E-2</v>
      </c>
      <c r="L183">
        <f ca="1">HYPGEOMDIST(L$50,SampleCalc!$B$15,SampleCalc!$B$9*$Z183,SampleCalc!$B$9)+K183</f>
        <v>8.4434323342027551E-2</v>
      </c>
      <c r="M183">
        <f ca="1">HYPGEOMDIST(M$50,SampleCalc!$B$15,SampleCalc!$B$9*$Z183,SampleCalc!$B$9)+L183</f>
        <v>0.159654077958782</v>
      </c>
      <c r="N183">
        <f ca="1">HYPGEOMDIST(N$50,SampleCalc!$B$15,SampleCalc!$B$9*$Z183,SampleCalc!$B$9)+M183</f>
        <v>0.26561335564867328</v>
      </c>
      <c r="O183">
        <f ca="1">HYPGEOMDIST(O$50,SampleCalc!$B$15,SampleCalc!$B$9*$Z183,SampleCalc!$B$9)+N183</f>
        <v>0.39545078042361048</v>
      </c>
      <c r="P183">
        <f ca="1">HYPGEOMDIST(P$50,SampleCalc!$B$15,SampleCalc!$B$9*$Z183,SampleCalc!$B$9)+O183</f>
        <v>0.53516858124117572</v>
      </c>
      <c r="Q183">
        <f ca="1">HYPGEOMDIST(Q$50,SampleCalc!$B$15,SampleCalc!$B$9*$Z183,SampleCalc!$B$9)+P183</f>
        <v>0.66823315344838063</v>
      </c>
      <c r="R183">
        <f ca="1">HYPGEOMDIST(R$50,SampleCalc!$B$15,SampleCalc!$B$9*$Z183,SampleCalc!$B$9)+Q183</f>
        <v>0.78111216743077094</v>
      </c>
      <c r="S183">
        <f ca="1">HYPGEOMDIST(S$50,SampleCalc!$B$15,SampleCalc!$B$9*$Z183,SampleCalc!$B$9)+R183</f>
        <v>0.86686069018937961</v>
      </c>
      <c r="T183">
        <f ca="1">HYPGEOMDIST(T$50,SampleCalc!$B$15,SampleCalc!$B$9*$Z183,SampleCalc!$B$9)+S183</f>
        <v>0.92545551407442872</v>
      </c>
      <c r="U183">
        <f ca="1">HYPGEOMDIST(U$50,SampleCalc!$B$15,SampleCalc!$B$9*$Z183,SampleCalc!$B$9)+T183</f>
        <v>0.96161063047441397</v>
      </c>
      <c r="V183">
        <f ca="1">HYPGEOMDIST(V$50,SampleCalc!$B$15,SampleCalc!$B$9*$Z183,SampleCalc!$B$9)+U183</f>
        <v>0.98182083528688546</v>
      </c>
      <c r="W183">
        <f ca="1">HYPGEOMDIST(W$50,SampleCalc!$B$15,SampleCalc!$B$9*$Z183,SampleCalc!$B$9)+V183</f>
        <v>0.99208368492994947</v>
      </c>
      <c r="X183">
        <f ca="1">HYPGEOMDIST(X$50,SampleCalc!$B$15,SampleCalc!$B$9*$Z183,SampleCalc!$B$9)+W183</f>
        <v>0.99682928833632867</v>
      </c>
      <c r="Y183">
        <f ca="1">HYPGEOMDIST(Y$50,SampleCalc!$B$15,SampleCalc!$B$9*$Z183,SampleCalc!$B$9)+X183</f>
        <v>0.99883154292422571</v>
      </c>
      <c r="Z183">
        <v>0.11799999999999999</v>
      </c>
    </row>
    <row r="184" spans="5:26">
      <c r="E184">
        <f ca="1">HYPGEOMDIST(E$50,SampleCalc!$B$15,SampleCalc!$B$9*$Z184,SampleCalc!$B$9)</f>
        <v>1.8040785953649964E-6</v>
      </c>
      <c r="F184">
        <f ca="1">HYPGEOMDIST(F$50,SampleCalc!$B$15,SampleCalc!$B$9*$Z184,SampleCalc!$B$9)+E184</f>
        <v>3.0752521301394677E-5</v>
      </c>
      <c r="G184">
        <f ca="1">HYPGEOMDIST(G$50,SampleCalc!$B$15,SampleCalc!$B$9*$Z184,SampleCalc!$B$9)+F184</f>
        <v>2.5597639666511708E-4</v>
      </c>
      <c r="H184">
        <f ca="1">HYPGEOMDIST(H$50,SampleCalc!$B$15,SampleCalc!$B$9*$Z184,SampleCalc!$B$9)+G184</f>
        <v>1.3883340661155776E-3</v>
      </c>
      <c r="I184">
        <f ca="1">HYPGEOMDIST(I$50,SampleCalc!$B$15,SampleCalc!$B$9*$Z184,SampleCalc!$B$9)+H184</f>
        <v>5.5254836941435164E-3</v>
      </c>
      <c r="J184">
        <f ca="1">HYPGEOMDIST(J$50,SampleCalc!$B$15,SampleCalc!$B$9*$Z184,SampleCalc!$B$9)+I184</f>
        <v>1.7236799564253381E-2</v>
      </c>
      <c r="K184">
        <f ca="1">HYPGEOMDIST(K$50,SampleCalc!$B$15,SampleCalc!$B$9*$Z184,SampleCalc!$B$9)+J184</f>
        <v>4.3980964546043111E-2</v>
      </c>
      <c r="L184">
        <f ca="1">HYPGEOMDIST(L$50,SampleCalc!$B$15,SampleCalc!$B$9*$Z184,SampleCalc!$B$9)+K184</f>
        <v>9.4633612103621423E-2</v>
      </c>
      <c r="M184">
        <f ca="1">HYPGEOMDIST(M$50,SampleCalc!$B$15,SampleCalc!$B$9*$Z184,SampleCalc!$B$9)+L184</f>
        <v>0.1758173576063925</v>
      </c>
      <c r="N184">
        <f ca="1">HYPGEOMDIST(N$50,SampleCalc!$B$15,SampleCalc!$B$9*$Z184,SampleCalc!$B$9)+M184</f>
        <v>0.28761969883086597</v>
      </c>
      <c r="O184">
        <f ca="1">HYPGEOMDIST(O$50,SampleCalc!$B$15,SampleCalc!$B$9*$Z184,SampleCalc!$B$9)+N184</f>
        <v>0.42149986193197009</v>
      </c>
      <c r="P184">
        <f ca="1">HYPGEOMDIST(P$50,SampleCalc!$B$15,SampleCalc!$B$9*$Z184,SampleCalc!$B$9)+O184</f>
        <v>0.56223256202908178</v>
      </c>
      <c r="Q184">
        <f ca="1">HYPGEOMDIST(Q$50,SampleCalc!$B$15,SampleCalc!$B$9*$Z184,SampleCalc!$B$9)+P184</f>
        <v>0.69310480059704282</v>
      </c>
      <c r="R184">
        <f ca="1">HYPGEOMDIST(R$50,SampleCalc!$B$15,SampleCalc!$B$9*$Z184,SampleCalc!$B$9)+Q184</f>
        <v>0.80145927452603405</v>
      </c>
      <c r="S184">
        <f ca="1">HYPGEOMDIST(S$50,SampleCalc!$B$15,SampleCalc!$B$9*$Z184,SampleCalc!$B$9)+R184</f>
        <v>0.88175767931269711</v>
      </c>
      <c r="T184">
        <f ca="1">HYPGEOMDIST(T$50,SampleCalc!$B$15,SampleCalc!$B$9*$Z184,SampleCalc!$B$9)+S184</f>
        <v>0.93526029140323819</v>
      </c>
      <c r="U184">
        <f ca="1">HYPGEOMDIST(U$50,SampleCalc!$B$15,SampleCalc!$B$9*$Z184,SampleCalc!$B$9)+T184</f>
        <v>0.96743390982715993</v>
      </c>
      <c r="V184">
        <f ca="1">HYPGEOMDIST(V$50,SampleCalc!$B$15,SampleCalc!$B$9*$Z184,SampleCalc!$B$9)+U184</f>
        <v>0.98495187416104057</v>
      </c>
      <c r="W184">
        <f ca="1">HYPGEOMDIST(W$50,SampleCalc!$B$15,SampleCalc!$B$9*$Z184,SampleCalc!$B$9)+V184</f>
        <v>0.99361193009471571</v>
      </c>
      <c r="X184">
        <f ca="1">HYPGEOMDIST(X$50,SampleCalc!$B$15,SampleCalc!$B$9*$Z184,SampleCalc!$B$9)+W184</f>
        <v>0.99750801870510741</v>
      </c>
      <c r="Y184">
        <f ca="1">HYPGEOMDIST(Y$50,SampleCalc!$B$15,SampleCalc!$B$9*$Z184,SampleCalc!$B$9)+X184</f>
        <v>0.99910637308994432</v>
      </c>
      <c r="Z184">
        <v>0.11700000000000001</v>
      </c>
    </row>
    <row r="185" spans="5:26">
      <c r="E185">
        <f ca="1">HYPGEOMDIST(E$50,SampleCalc!$B$15,SampleCalc!$B$9*$Z185,SampleCalc!$B$9)</f>
        <v>1.8040785953649964E-6</v>
      </c>
      <c r="F185">
        <f ca="1">HYPGEOMDIST(F$50,SampleCalc!$B$15,SampleCalc!$B$9*$Z185,SampleCalc!$B$9)+E185</f>
        <v>3.0752521301394677E-5</v>
      </c>
      <c r="G185">
        <f ca="1">HYPGEOMDIST(G$50,SampleCalc!$B$15,SampleCalc!$B$9*$Z185,SampleCalc!$B$9)+F185</f>
        <v>2.5597639666511708E-4</v>
      </c>
      <c r="H185">
        <f ca="1">HYPGEOMDIST(H$50,SampleCalc!$B$15,SampleCalc!$B$9*$Z185,SampleCalc!$B$9)+G185</f>
        <v>1.3883340661155776E-3</v>
      </c>
      <c r="I185">
        <f ca="1">HYPGEOMDIST(I$50,SampleCalc!$B$15,SampleCalc!$B$9*$Z185,SampleCalc!$B$9)+H185</f>
        <v>5.5254836941435164E-3</v>
      </c>
      <c r="J185">
        <f ca="1">HYPGEOMDIST(J$50,SampleCalc!$B$15,SampleCalc!$B$9*$Z185,SampleCalc!$B$9)+I185</f>
        <v>1.7236799564253381E-2</v>
      </c>
      <c r="K185">
        <f ca="1">HYPGEOMDIST(K$50,SampleCalc!$B$15,SampleCalc!$B$9*$Z185,SampleCalc!$B$9)+J185</f>
        <v>4.3980964546043111E-2</v>
      </c>
      <c r="L185">
        <f ca="1">HYPGEOMDIST(L$50,SampleCalc!$B$15,SampleCalc!$B$9*$Z185,SampleCalc!$B$9)+K185</f>
        <v>9.4633612103621423E-2</v>
      </c>
      <c r="M185">
        <f ca="1">HYPGEOMDIST(M$50,SampleCalc!$B$15,SampleCalc!$B$9*$Z185,SampleCalc!$B$9)+L185</f>
        <v>0.1758173576063925</v>
      </c>
      <c r="N185">
        <f ca="1">HYPGEOMDIST(N$50,SampleCalc!$B$15,SampleCalc!$B$9*$Z185,SampleCalc!$B$9)+M185</f>
        <v>0.28761969883086597</v>
      </c>
      <c r="O185">
        <f ca="1">HYPGEOMDIST(O$50,SampleCalc!$B$15,SampleCalc!$B$9*$Z185,SampleCalc!$B$9)+N185</f>
        <v>0.42149986193197009</v>
      </c>
      <c r="P185">
        <f ca="1">HYPGEOMDIST(P$50,SampleCalc!$B$15,SampleCalc!$B$9*$Z185,SampleCalc!$B$9)+O185</f>
        <v>0.56223256202908178</v>
      </c>
      <c r="Q185">
        <f ca="1">HYPGEOMDIST(Q$50,SampleCalc!$B$15,SampleCalc!$B$9*$Z185,SampleCalc!$B$9)+P185</f>
        <v>0.69310480059704282</v>
      </c>
      <c r="R185">
        <f ca="1">HYPGEOMDIST(R$50,SampleCalc!$B$15,SampleCalc!$B$9*$Z185,SampleCalc!$B$9)+Q185</f>
        <v>0.80145927452603405</v>
      </c>
      <c r="S185">
        <f ca="1">HYPGEOMDIST(S$50,SampleCalc!$B$15,SampleCalc!$B$9*$Z185,SampleCalc!$B$9)+R185</f>
        <v>0.88175767931269711</v>
      </c>
      <c r="T185">
        <f ca="1">HYPGEOMDIST(T$50,SampleCalc!$B$15,SampleCalc!$B$9*$Z185,SampleCalc!$B$9)+S185</f>
        <v>0.93526029140323819</v>
      </c>
      <c r="U185">
        <f ca="1">HYPGEOMDIST(U$50,SampleCalc!$B$15,SampleCalc!$B$9*$Z185,SampleCalc!$B$9)+T185</f>
        <v>0.96743390982715993</v>
      </c>
      <c r="V185">
        <f ca="1">HYPGEOMDIST(V$50,SampleCalc!$B$15,SampleCalc!$B$9*$Z185,SampleCalc!$B$9)+U185</f>
        <v>0.98495187416104057</v>
      </c>
      <c r="W185">
        <f ca="1">HYPGEOMDIST(W$50,SampleCalc!$B$15,SampleCalc!$B$9*$Z185,SampleCalc!$B$9)+V185</f>
        <v>0.99361193009471571</v>
      </c>
      <c r="X185">
        <f ca="1">HYPGEOMDIST(X$50,SampleCalc!$B$15,SampleCalc!$B$9*$Z185,SampleCalc!$B$9)+W185</f>
        <v>0.99750801870510741</v>
      </c>
      <c r="Y185">
        <f ca="1">HYPGEOMDIST(Y$50,SampleCalc!$B$15,SampleCalc!$B$9*$Z185,SampleCalc!$B$9)+X185</f>
        <v>0.99910637308994432</v>
      </c>
      <c r="Z185">
        <v>0.11600000000000001</v>
      </c>
    </row>
    <row r="186" spans="5:26">
      <c r="E186">
        <f ca="1">HYPGEOMDIST(E$50,SampleCalc!$B$15,SampleCalc!$B$9*$Z186,SampleCalc!$B$9)</f>
        <v>2.3031896765034392E-6</v>
      </c>
      <c r="F186">
        <f ca="1">HYPGEOMDIST(F$50,SampleCalc!$B$15,SampleCalc!$B$9*$Z186,SampleCalc!$B$9)+E186</f>
        <v>3.8518861831178227E-5</v>
      </c>
      <c r="G186">
        <f ca="1">HYPGEOMDIST(G$50,SampleCalc!$B$15,SampleCalc!$B$9*$Z186,SampleCalc!$B$9)+F186</f>
        <v>3.1454662094703703E-4</v>
      </c>
      <c r="H186">
        <f ca="1">HYPGEOMDIST(H$50,SampleCalc!$B$15,SampleCalc!$B$9*$Z186,SampleCalc!$B$9)+G186</f>
        <v>1.6736547301175058E-3</v>
      </c>
      <c r="I186">
        <f ca="1">HYPGEOMDIST(I$50,SampleCalc!$B$15,SampleCalc!$B$9*$Z186,SampleCalc!$B$9)+H186</f>
        <v>6.5350798898426458E-3</v>
      </c>
      <c r="J186">
        <f ca="1">HYPGEOMDIST(J$50,SampleCalc!$B$15,SampleCalc!$B$9*$Z186,SampleCalc!$B$9)+I186</f>
        <v>2.0003437320990254E-2</v>
      </c>
      <c r="K186">
        <f ca="1">HYPGEOMDIST(K$50,SampleCalc!$B$15,SampleCalc!$B$9*$Z186,SampleCalc!$B$9)+J186</f>
        <v>5.0094215113337066E-2</v>
      </c>
      <c r="L186">
        <f ca="1">HYPGEOMDIST(L$50,SampleCalc!$B$15,SampleCalc!$B$9*$Z186,SampleCalc!$B$9)+K186</f>
        <v>0.10583137010400362</v>
      </c>
      <c r="M186">
        <f ca="1">HYPGEOMDIST(M$50,SampleCalc!$B$15,SampleCalc!$B$9*$Z186,SampleCalc!$B$9)+L186</f>
        <v>0.1931659967619142</v>
      </c>
      <c r="N186">
        <f ca="1">HYPGEOMDIST(N$50,SampleCalc!$B$15,SampleCalc!$B$9*$Z186,SampleCalc!$B$9)+M186</f>
        <v>0.31070248557243563</v>
      </c>
      <c r="O186">
        <f ca="1">HYPGEOMDIST(O$50,SampleCalc!$B$15,SampleCalc!$B$9*$Z186,SampleCalc!$B$9)+N186</f>
        <v>0.44819054643314638</v>
      </c>
      <c r="P186">
        <f ca="1">HYPGEOMDIST(P$50,SampleCalc!$B$15,SampleCalc!$B$9*$Z186,SampleCalc!$B$9)+O186</f>
        <v>0.58930957690521146</v>
      </c>
      <c r="Q186">
        <f ca="1">HYPGEOMDIST(Q$50,SampleCalc!$B$15,SampleCalc!$B$9*$Z186,SampleCalc!$B$9)+P186</f>
        <v>0.71739114820181671</v>
      </c>
      <c r="R186">
        <f ca="1">HYPGEOMDIST(R$50,SampleCalc!$B$15,SampleCalc!$B$9*$Z186,SampleCalc!$B$9)+Q186</f>
        <v>0.82084164809522853</v>
      </c>
      <c r="S186">
        <f ca="1">HYPGEOMDIST(S$50,SampleCalc!$B$15,SampleCalc!$B$9*$Z186,SampleCalc!$B$9)+R186</f>
        <v>0.89559456174990593</v>
      </c>
      <c r="T186">
        <f ca="1">HYPGEOMDIST(T$50,SampleCalc!$B$15,SampleCalc!$B$9*$Z186,SampleCalc!$B$9)+S186</f>
        <v>0.94413577234776835</v>
      </c>
      <c r="U186">
        <f ca="1">HYPGEOMDIST(U$50,SampleCalc!$B$15,SampleCalc!$B$9*$Z186,SampleCalc!$B$9)+T186</f>
        <v>0.97256848558019393</v>
      </c>
      <c r="V186">
        <f ca="1">HYPGEOMDIST(V$50,SampleCalc!$B$15,SampleCalc!$B$9*$Z186,SampleCalc!$B$9)+U186</f>
        <v>0.98763947772666383</v>
      </c>
      <c r="W186">
        <f ca="1">HYPGEOMDIST(W$50,SampleCalc!$B$15,SampleCalc!$B$9*$Z186,SampleCalc!$B$9)+V186</f>
        <v>0.99488823498432666</v>
      </c>
      <c r="X186">
        <f ca="1">HYPGEOMDIST(X$50,SampleCalc!$B$15,SampleCalc!$B$9*$Z186,SampleCalc!$B$9)+W186</f>
        <v>0.99805917538953381</v>
      </c>
      <c r="Y186">
        <f ca="1">HYPGEOMDIST(Y$50,SampleCalc!$B$15,SampleCalc!$B$9*$Z186,SampleCalc!$B$9)+X186</f>
        <v>0.99932323146932078</v>
      </c>
      <c r="Z186">
        <v>0.115</v>
      </c>
    </row>
    <row r="187" spans="5:26">
      <c r="E187">
        <f ca="1">HYPGEOMDIST(E$50,SampleCalc!$B$15,SampleCalc!$B$9*$Z187,SampleCalc!$B$9)</f>
        <v>2.3031896765034392E-6</v>
      </c>
      <c r="F187">
        <f ca="1">HYPGEOMDIST(F$50,SampleCalc!$B$15,SampleCalc!$B$9*$Z187,SampleCalc!$B$9)+E187</f>
        <v>3.8518861831178227E-5</v>
      </c>
      <c r="G187">
        <f ca="1">HYPGEOMDIST(G$50,SampleCalc!$B$15,SampleCalc!$B$9*$Z187,SampleCalc!$B$9)+F187</f>
        <v>3.1454662094703703E-4</v>
      </c>
      <c r="H187">
        <f ca="1">HYPGEOMDIST(H$50,SampleCalc!$B$15,SampleCalc!$B$9*$Z187,SampleCalc!$B$9)+G187</f>
        <v>1.6736547301175058E-3</v>
      </c>
      <c r="I187">
        <f ca="1">HYPGEOMDIST(I$50,SampleCalc!$B$15,SampleCalc!$B$9*$Z187,SampleCalc!$B$9)+H187</f>
        <v>6.5350798898426458E-3</v>
      </c>
      <c r="J187">
        <f ca="1">HYPGEOMDIST(J$50,SampleCalc!$B$15,SampleCalc!$B$9*$Z187,SampleCalc!$B$9)+I187</f>
        <v>2.0003437320990254E-2</v>
      </c>
      <c r="K187">
        <f ca="1">HYPGEOMDIST(K$50,SampleCalc!$B$15,SampleCalc!$B$9*$Z187,SampleCalc!$B$9)+J187</f>
        <v>5.0094215113337066E-2</v>
      </c>
      <c r="L187">
        <f ca="1">HYPGEOMDIST(L$50,SampleCalc!$B$15,SampleCalc!$B$9*$Z187,SampleCalc!$B$9)+K187</f>
        <v>0.10583137010400362</v>
      </c>
      <c r="M187">
        <f ca="1">HYPGEOMDIST(M$50,SampleCalc!$B$15,SampleCalc!$B$9*$Z187,SampleCalc!$B$9)+L187</f>
        <v>0.1931659967619142</v>
      </c>
      <c r="N187">
        <f ca="1">HYPGEOMDIST(N$50,SampleCalc!$B$15,SampleCalc!$B$9*$Z187,SampleCalc!$B$9)+M187</f>
        <v>0.31070248557243563</v>
      </c>
      <c r="O187">
        <f ca="1">HYPGEOMDIST(O$50,SampleCalc!$B$15,SampleCalc!$B$9*$Z187,SampleCalc!$B$9)+N187</f>
        <v>0.44819054643314638</v>
      </c>
      <c r="P187">
        <f ca="1">HYPGEOMDIST(P$50,SampleCalc!$B$15,SampleCalc!$B$9*$Z187,SampleCalc!$B$9)+O187</f>
        <v>0.58930957690521146</v>
      </c>
      <c r="Q187">
        <f ca="1">HYPGEOMDIST(Q$50,SampleCalc!$B$15,SampleCalc!$B$9*$Z187,SampleCalc!$B$9)+P187</f>
        <v>0.71739114820181671</v>
      </c>
      <c r="R187">
        <f ca="1">HYPGEOMDIST(R$50,SampleCalc!$B$15,SampleCalc!$B$9*$Z187,SampleCalc!$B$9)+Q187</f>
        <v>0.82084164809522853</v>
      </c>
      <c r="S187">
        <f ca="1">HYPGEOMDIST(S$50,SampleCalc!$B$15,SampleCalc!$B$9*$Z187,SampleCalc!$B$9)+R187</f>
        <v>0.89559456174990593</v>
      </c>
      <c r="T187">
        <f ca="1">HYPGEOMDIST(T$50,SampleCalc!$B$15,SampleCalc!$B$9*$Z187,SampleCalc!$B$9)+S187</f>
        <v>0.94413577234776835</v>
      </c>
      <c r="U187">
        <f ca="1">HYPGEOMDIST(U$50,SampleCalc!$B$15,SampleCalc!$B$9*$Z187,SampleCalc!$B$9)+T187</f>
        <v>0.97256848558019393</v>
      </c>
      <c r="V187">
        <f ca="1">HYPGEOMDIST(V$50,SampleCalc!$B$15,SampleCalc!$B$9*$Z187,SampleCalc!$B$9)+U187</f>
        <v>0.98763947772666383</v>
      </c>
      <c r="W187">
        <f ca="1">HYPGEOMDIST(W$50,SampleCalc!$B$15,SampleCalc!$B$9*$Z187,SampleCalc!$B$9)+V187</f>
        <v>0.99488823498432666</v>
      </c>
      <c r="X187">
        <f ca="1">HYPGEOMDIST(X$50,SampleCalc!$B$15,SampleCalc!$B$9*$Z187,SampleCalc!$B$9)+W187</f>
        <v>0.99805917538953381</v>
      </c>
      <c r="Y187">
        <f ca="1">HYPGEOMDIST(Y$50,SampleCalc!$B$15,SampleCalc!$B$9*$Z187,SampleCalc!$B$9)+X187</f>
        <v>0.99932323146932078</v>
      </c>
      <c r="Z187">
        <v>0.114</v>
      </c>
    </row>
    <row r="188" spans="5:26">
      <c r="E188">
        <f ca="1">HYPGEOMDIST(E$50,SampleCalc!$B$15,SampleCalc!$B$9*$Z188,SampleCalc!$B$9)</f>
        <v>2.9385523458836997E-6</v>
      </c>
      <c r="F188">
        <f ca="1">HYPGEOMDIST(F$50,SampleCalc!$B$15,SampleCalc!$B$9*$Z188,SampleCalc!$B$9)+E188</f>
        <v>4.8204046361559165E-5</v>
      </c>
      <c r="G188">
        <f ca="1">HYPGEOMDIST(G$50,SampleCalc!$B$15,SampleCalc!$B$9*$Z188,SampleCalc!$B$9)+F188</f>
        <v>3.8607862669285146E-4</v>
      </c>
      <c r="H188">
        <f ca="1">HYPGEOMDIST(H$50,SampleCalc!$B$15,SampleCalc!$B$9*$Z188,SampleCalc!$B$9)+G188</f>
        <v>2.0148073729052357E-3</v>
      </c>
      <c r="I188">
        <f ca="1">HYPGEOMDIST(I$50,SampleCalc!$B$15,SampleCalc!$B$9*$Z188,SampleCalc!$B$9)+H188</f>
        <v>7.7165147522240173E-3</v>
      </c>
      <c r="J188">
        <f ca="1">HYPGEOMDIST(J$50,SampleCalc!$B$15,SampleCalc!$B$9*$Z188,SampleCalc!$B$9)+I188</f>
        <v>2.3170887614921507E-2</v>
      </c>
      <c r="K188">
        <f ca="1">HYPGEOMDIST(K$50,SampleCalc!$B$15,SampleCalc!$B$9*$Z188,SampleCalc!$B$9)+J188</f>
        <v>5.6939128884120657E-2</v>
      </c>
      <c r="L188">
        <f ca="1">HYPGEOMDIST(L$50,SampleCalc!$B$15,SampleCalc!$B$9*$Z188,SampleCalc!$B$9)+K188</f>
        <v>0.11808886156476298</v>
      </c>
      <c r="M188">
        <f ca="1">HYPGEOMDIST(M$50,SampleCalc!$B$15,SampleCalc!$B$9*$Z188,SampleCalc!$B$9)+L188</f>
        <v>0.21172438973199656</v>
      </c>
      <c r="N188">
        <f ca="1">HYPGEOMDIST(N$50,SampleCalc!$B$15,SampleCalc!$B$9*$Z188,SampleCalc!$B$9)+M188</f>
        <v>0.33482319800413929</v>
      </c>
      <c r="O188">
        <f ca="1">HYPGEOMDIST(O$50,SampleCalc!$B$15,SampleCalc!$B$9*$Z188,SampleCalc!$B$9)+N188</f>
        <v>0.47542404354179046</v>
      </c>
      <c r="P188">
        <f ca="1">HYPGEOMDIST(P$50,SampleCalc!$B$15,SampleCalc!$B$9*$Z188,SampleCalc!$B$9)+O188</f>
        <v>0.61627411823081257</v>
      </c>
      <c r="Q188">
        <f ca="1">HYPGEOMDIST(Q$50,SampleCalc!$B$15,SampleCalc!$B$9*$Z188,SampleCalc!$B$9)+P188</f>
        <v>0.7409851218617175</v>
      </c>
      <c r="R188">
        <f ca="1">HYPGEOMDIST(R$50,SampleCalc!$B$15,SampleCalc!$B$9*$Z188,SampleCalc!$B$9)+Q188</f>
        <v>0.8392020128525175</v>
      </c>
      <c r="S188">
        <f ca="1">HYPGEOMDIST(S$50,SampleCalc!$B$15,SampleCalc!$B$9*$Z188,SampleCalc!$B$9)+R188</f>
        <v>0.90836856453881698</v>
      </c>
      <c r="T188">
        <f ca="1">HYPGEOMDIST(T$50,SampleCalc!$B$15,SampleCalc!$B$9*$Z188,SampleCalc!$B$9)+S188</f>
        <v>0.9521168848340632</v>
      </c>
      <c r="U188">
        <f ca="1">HYPGEOMDIST(U$50,SampleCalc!$B$15,SampleCalc!$B$9*$Z188,SampleCalc!$B$9)+T188</f>
        <v>0.97706334288703578</v>
      </c>
      <c r="V188">
        <f ca="1">HYPGEOMDIST(V$50,SampleCalc!$B$15,SampleCalc!$B$9*$Z188,SampleCalc!$B$9)+U188</f>
        <v>0.9899285589659258</v>
      </c>
      <c r="W188">
        <f ca="1">HYPGEOMDIST(W$50,SampleCalc!$B$15,SampleCalc!$B$9*$Z188,SampleCalc!$B$9)+V188</f>
        <v>0.99594521511939571</v>
      </c>
      <c r="X188">
        <f ca="1">HYPGEOMDIST(X$50,SampleCalc!$B$15,SampleCalc!$B$9*$Z188,SampleCalc!$B$9)+W188</f>
        <v>0.99850270383858186</v>
      </c>
      <c r="Y188">
        <f ca="1">HYPGEOMDIST(Y$50,SampleCalc!$B$15,SampleCalc!$B$9*$Z188,SampleCalc!$B$9)+X188</f>
        <v>0.99949268826262549</v>
      </c>
      <c r="Z188">
        <v>0.113</v>
      </c>
    </row>
    <row r="189" spans="5:26">
      <c r="E189">
        <f ca="1">HYPGEOMDIST(E$50,SampleCalc!$B$15,SampleCalc!$B$9*$Z189,SampleCalc!$B$9)</f>
        <v>2.9385523458836997E-6</v>
      </c>
      <c r="F189">
        <f ca="1">HYPGEOMDIST(F$50,SampleCalc!$B$15,SampleCalc!$B$9*$Z189,SampleCalc!$B$9)+E189</f>
        <v>4.8204046361559165E-5</v>
      </c>
      <c r="G189">
        <f ca="1">HYPGEOMDIST(G$50,SampleCalc!$B$15,SampleCalc!$B$9*$Z189,SampleCalc!$B$9)+F189</f>
        <v>3.8607862669285146E-4</v>
      </c>
      <c r="H189">
        <f ca="1">HYPGEOMDIST(H$50,SampleCalc!$B$15,SampleCalc!$B$9*$Z189,SampleCalc!$B$9)+G189</f>
        <v>2.0148073729052357E-3</v>
      </c>
      <c r="I189">
        <f ca="1">HYPGEOMDIST(I$50,SampleCalc!$B$15,SampleCalc!$B$9*$Z189,SampleCalc!$B$9)+H189</f>
        <v>7.7165147522240173E-3</v>
      </c>
      <c r="J189">
        <f ca="1">HYPGEOMDIST(J$50,SampleCalc!$B$15,SampleCalc!$B$9*$Z189,SampleCalc!$B$9)+I189</f>
        <v>2.3170887614921507E-2</v>
      </c>
      <c r="K189">
        <f ca="1">HYPGEOMDIST(K$50,SampleCalc!$B$15,SampleCalc!$B$9*$Z189,SampleCalc!$B$9)+J189</f>
        <v>5.6939128884120657E-2</v>
      </c>
      <c r="L189">
        <f ca="1">HYPGEOMDIST(L$50,SampleCalc!$B$15,SampleCalc!$B$9*$Z189,SampleCalc!$B$9)+K189</f>
        <v>0.11808886156476298</v>
      </c>
      <c r="M189">
        <f ca="1">HYPGEOMDIST(M$50,SampleCalc!$B$15,SampleCalc!$B$9*$Z189,SampleCalc!$B$9)+L189</f>
        <v>0.21172438973199656</v>
      </c>
      <c r="N189">
        <f ca="1">HYPGEOMDIST(N$50,SampleCalc!$B$15,SampleCalc!$B$9*$Z189,SampleCalc!$B$9)+M189</f>
        <v>0.33482319800413929</v>
      </c>
      <c r="O189">
        <f ca="1">HYPGEOMDIST(O$50,SampleCalc!$B$15,SampleCalc!$B$9*$Z189,SampleCalc!$B$9)+N189</f>
        <v>0.47542404354179046</v>
      </c>
      <c r="P189">
        <f ca="1">HYPGEOMDIST(P$50,SampleCalc!$B$15,SampleCalc!$B$9*$Z189,SampleCalc!$B$9)+O189</f>
        <v>0.61627411823081257</v>
      </c>
      <c r="Q189">
        <f ca="1">HYPGEOMDIST(Q$50,SampleCalc!$B$15,SampleCalc!$B$9*$Z189,SampleCalc!$B$9)+P189</f>
        <v>0.7409851218617175</v>
      </c>
      <c r="R189">
        <f ca="1">HYPGEOMDIST(R$50,SampleCalc!$B$15,SampleCalc!$B$9*$Z189,SampleCalc!$B$9)+Q189</f>
        <v>0.8392020128525175</v>
      </c>
      <c r="S189">
        <f ca="1">HYPGEOMDIST(S$50,SampleCalc!$B$15,SampleCalc!$B$9*$Z189,SampleCalc!$B$9)+R189</f>
        <v>0.90836856453881698</v>
      </c>
      <c r="T189">
        <f ca="1">HYPGEOMDIST(T$50,SampleCalc!$B$15,SampleCalc!$B$9*$Z189,SampleCalc!$B$9)+S189</f>
        <v>0.9521168848340632</v>
      </c>
      <c r="U189">
        <f ca="1">HYPGEOMDIST(U$50,SampleCalc!$B$15,SampleCalc!$B$9*$Z189,SampleCalc!$B$9)+T189</f>
        <v>0.97706334288703578</v>
      </c>
      <c r="V189">
        <f ca="1">HYPGEOMDIST(V$50,SampleCalc!$B$15,SampleCalc!$B$9*$Z189,SampleCalc!$B$9)+U189</f>
        <v>0.9899285589659258</v>
      </c>
      <c r="W189">
        <f ca="1">HYPGEOMDIST(W$50,SampleCalc!$B$15,SampleCalc!$B$9*$Z189,SampleCalc!$B$9)+V189</f>
        <v>0.99594521511939571</v>
      </c>
      <c r="X189">
        <f ca="1">HYPGEOMDIST(X$50,SampleCalc!$B$15,SampleCalc!$B$9*$Z189,SampleCalc!$B$9)+W189</f>
        <v>0.99850270383858186</v>
      </c>
      <c r="Y189">
        <f ca="1">HYPGEOMDIST(Y$50,SampleCalc!$B$15,SampleCalc!$B$9*$Z189,SampleCalc!$B$9)+X189</f>
        <v>0.99949268826262549</v>
      </c>
      <c r="Z189">
        <v>0.112</v>
      </c>
    </row>
    <row r="190" spans="5:26">
      <c r="E190">
        <f ca="1">HYPGEOMDIST(E$50,SampleCalc!$B$15,SampleCalc!$B$9*$Z190,SampleCalc!$B$9)</f>
        <v>3.746864739020755E-6</v>
      </c>
      <c r="F190">
        <f ca="1">HYPGEOMDIST(F$50,SampleCalc!$B$15,SampleCalc!$B$9*$Z190,SampleCalc!$B$9)+E190</f>
        <v>6.0270995659105372E-5</v>
      </c>
      <c r="G190">
        <f ca="1">HYPGEOMDIST(G$50,SampleCalc!$B$15,SampleCalc!$B$9*$Z190,SampleCalc!$B$9)+F190</f>
        <v>4.7333195238280089E-4</v>
      </c>
      <c r="H190">
        <f ca="1">HYPGEOMDIST(H$50,SampleCalc!$B$15,SampleCalc!$B$9*$Z190,SampleCalc!$B$9)+G190</f>
        <v>2.4220721857137208E-3</v>
      </c>
      <c r="I190">
        <f ca="1">HYPGEOMDIST(I$50,SampleCalc!$B$15,SampleCalc!$B$9*$Z190,SampleCalc!$B$9)+H190</f>
        <v>9.0963694721077262E-3</v>
      </c>
      <c r="J190">
        <f ca="1">HYPGEOMDIST(J$50,SampleCalc!$B$15,SampleCalc!$B$9*$Z190,SampleCalc!$B$9)+I190</f>
        <v>2.678891346519284E-2</v>
      </c>
      <c r="K190">
        <f ca="1">HYPGEOMDIST(K$50,SampleCalc!$B$15,SampleCalc!$B$9*$Z190,SampleCalc!$B$9)+J190</f>
        <v>6.4582845469200928E-2</v>
      </c>
      <c r="L190">
        <f ca="1">HYPGEOMDIST(L$50,SampleCalc!$B$15,SampleCalc!$B$9*$Z190,SampleCalc!$B$9)+K190</f>
        <v>0.13146536558865349</v>
      </c>
      <c r="M190">
        <f ca="1">HYPGEOMDIST(M$50,SampleCalc!$B$15,SampleCalc!$B$9*$Z190,SampleCalc!$B$9)+L190</f>
        <v>0.23150812677573379</v>
      </c>
      <c r="N190">
        <f ca="1">HYPGEOMDIST(N$50,SampleCalc!$B$15,SampleCalc!$B$9*$Z190,SampleCalc!$B$9)+M190</f>
        <v>0.35993049185014836</v>
      </c>
      <c r="O190">
        <f ca="1">HYPGEOMDIST(O$50,SampleCalc!$B$15,SampleCalc!$B$9*$Z190,SampleCalc!$B$9)+N190</f>
        <v>0.50309102249856275</v>
      </c>
      <c r="P190">
        <f ca="1">HYPGEOMDIST(P$50,SampleCalc!$B$15,SampleCalc!$B$9*$Z190,SampleCalc!$B$9)+O190</f>
        <v>0.64299790472314933</v>
      </c>
      <c r="Q190">
        <f ca="1">HYPGEOMDIST(Q$50,SampleCalc!$B$15,SampleCalc!$B$9*$Z190,SampleCalc!$B$9)+P190</f>
        <v>0.76378547155601029</v>
      </c>
      <c r="R190">
        <f ca="1">HYPGEOMDIST(R$50,SampleCalc!$B$15,SampleCalc!$B$9*$Z190,SampleCalc!$B$9)+Q190</f>
        <v>0.85649365077409245</v>
      </c>
      <c r="S190">
        <f ca="1">HYPGEOMDIST(S$50,SampleCalc!$B$15,SampleCalc!$B$9*$Z190,SampleCalc!$B$9)+R190</f>
        <v>0.9200868646179009</v>
      </c>
      <c r="T190">
        <f ca="1">HYPGEOMDIST(T$50,SampleCalc!$B$15,SampleCalc!$B$9*$Z190,SampleCalc!$B$9)+S190</f>
        <v>0.95924444427776967</v>
      </c>
      <c r="U190">
        <f ca="1">HYPGEOMDIST(U$50,SampleCalc!$B$15,SampleCalc!$B$9*$Z190,SampleCalc!$B$9)+T190</f>
        <v>0.98096885491098451</v>
      </c>
      <c r="V190">
        <f ca="1">HYPGEOMDIST(V$50,SampleCalc!$B$15,SampleCalc!$B$9*$Z190,SampleCalc!$B$9)+U190</f>
        <v>0.99186248415811251</v>
      </c>
      <c r="W190">
        <f ca="1">HYPGEOMDIST(W$50,SampleCalc!$B$15,SampleCalc!$B$9*$Z190,SampleCalc!$B$9)+V190</f>
        <v>0.9968129345062624</v>
      </c>
      <c r="X190">
        <f ca="1">HYPGEOMDIST(X$50,SampleCalc!$B$15,SampleCalc!$B$9*$Z190,SampleCalc!$B$9)+W190</f>
        <v>0.99885626970431174</v>
      </c>
      <c r="Y190">
        <f ca="1">HYPGEOMDIST(Y$50,SampleCalc!$B$15,SampleCalc!$B$9*$Z190,SampleCalc!$B$9)+X190</f>
        <v>0.99962376633967664</v>
      </c>
      <c r="Z190">
        <v>0.111</v>
      </c>
    </row>
    <row r="191" spans="5:26">
      <c r="E191">
        <f ca="1">HYPGEOMDIST(E$50,SampleCalc!$B$15,SampleCalc!$B$9*$Z191,SampleCalc!$B$9)</f>
        <v>3.746864739020755E-6</v>
      </c>
      <c r="F191">
        <f ca="1">HYPGEOMDIST(F$50,SampleCalc!$B$15,SampleCalc!$B$9*$Z191,SampleCalc!$B$9)+E191</f>
        <v>6.0270995659105372E-5</v>
      </c>
      <c r="G191">
        <f ca="1">HYPGEOMDIST(G$50,SampleCalc!$B$15,SampleCalc!$B$9*$Z191,SampleCalc!$B$9)+F191</f>
        <v>4.7333195238280089E-4</v>
      </c>
      <c r="H191">
        <f ca="1">HYPGEOMDIST(H$50,SampleCalc!$B$15,SampleCalc!$B$9*$Z191,SampleCalc!$B$9)+G191</f>
        <v>2.4220721857137208E-3</v>
      </c>
      <c r="I191">
        <f ca="1">HYPGEOMDIST(I$50,SampleCalc!$B$15,SampleCalc!$B$9*$Z191,SampleCalc!$B$9)+H191</f>
        <v>9.0963694721077262E-3</v>
      </c>
      <c r="J191">
        <f ca="1">HYPGEOMDIST(J$50,SampleCalc!$B$15,SampleCalc!$B$9*$Z191,SampleCalc!$B$9)+I191</f>
        <v>2.678891346519284E-2</v>
      </c>
      <c r="K191">
        <f ca="1">HYPGEOMDIST(K$50,SampleCalc!$B$15,SampleCalc!$B$9*$Z191,SampleCalc!$B$9)+J191</f>
        <v>6.4582845469200928E-2</v>
      </c>
      <c r="L191">
        <f ca="1">HYPGEOMDIST(L$50,SampleCalc!$B$15,SampleCalc!$B$9*$Z191,SampleCalc!$B$9)+K191</f>
        <v>0.13146536558865349</v>
      </c>
      <c r="M191">
        <f ca="1">HYPGEOMDIST(M$50,SampleCalc!$B$15,SampleCalc!$B$9*$Z191,SampleCalc!$B$9)+L191</f>
        <v>0.23150812677573379</v>
      </c>
      <c r="N191">
        <f ca="1">HYPGEOMDIST(N$50,SampleCalc!$B$15,SampleCalc!$B$9*$Z191,SampleCalc!$B$9)+M191</f>
        <v>0.35993049185014836</v>
      </c>
      <c r="O191">
        <f ca="1">HYPGEOMDIST(O$50,SampleCalc!$B$15,SampleCalc!$B$9*$Z191,SampleCalc!$B$9)+N191</f>
        <v>0.50309102249856275</v>
      </c>
      <c r="P191">
        <f ca="1">HYPGEOMDIST(P$50,SampleCalc!$B$15,SampleCalc!$B$9*$Z191,SampleCalc!$B$9)+O191</f>
        <v>0.64299790472314933</v>
      </c>
      <c r="Q191">
        <f ca="1">HYPGEOMDIST(Q$50,SampleCalc!$B$15,SampleCalc!$B$9*$Z191,SampleCalc!$B$9)+P191</f>
        <v>0.76378547155601029</v>
      </c>
      <c r="R191">
        <f ca="1">HYPGEOMDIST(R$50,SampleCalc!$B$15,SampleCalc!$B$9*$Z191,SampleCalc!$B$9)+Q191</f>
        <v>0.85649365077409245</v>
      </c>
      <c r="S191">
        <f ca="1">HYPGEOMDIST(S$50,SampleCalc!$B$15,SampleCalc!$B$9*$Z191,SampleCalc!$B$9)+R191</f>
        <v>0.9200868646179009</v>
      </c>
      <c r="T191">
        <f ca="1">HYPGEOMDIST(T$50,SampleCalc!$B$15,SampleCalc!$B$9*$Z191,SampleCalc!$B$9)+S191</f>
        <v>0.95924444427776967</v>
      </c>
      <c r="U191">
        <f ca="1">HYPGEOMDIST(U$50,SampleCalc!$B$15,SampleCalc!$B$9*$Z191,SampleCalc!$B$9)+T191</f>
        <v>0.98096885491098451</v>
      </c>
      <c r="V191">
        <f ca="1">HYPGEOMDIST(V$50,SampleCalc!$B$15,SampleCalc!$B$9*$Z191,SampleCalc!$B$9)+U191</f>
        <v>0.99186248415811251</v>
      </c>
      <c r="W191">
        <f ca="1">HYPGEOMDIST(W$50,SampleCalc!$B$15,SampleCalc!$B$9*$Z191,SampleCalc!$B$9)+V191</f>
        <v>0.9968129345062624</v>
      </c>
      <c r="X191">
        <f ca="1">HYPGEOMDIST(X$50,SampleCalc!$B$15,SampleCalc!$B$9*$Z191,SampleCalc!$B$9)+W191</f>
        <v>0.99885626970431174</v>
      </c>
      <c r="Y191">
        <f ca="1">HYPGEOMDIST(Y$50,SampleCalc!$B$15,SampleCalc!$B$9*$Z191,SampleCalc!$B$9)+X191</f>
        <v>0.99962376633967664</v>
      </c>
      <c r="Z191">
        <v>0.11</v>
      </c>
    </row>
    <row r="192" spans="5:26">
      <c r="E192">
        <f ca="1">HYPGEOMDIST(E$50,SampleCalc!$B$15,SampleCalc!$B$9*$Z192,SampleCalc!$B$9)</f>
        <v>4.7745762102950265E-6</v>
      </c>
      <c r="F192">
        <f ca="1">HYPGEOMDIST(F$50,SampleCalc!$B$15,SampleCalc!$B$9*$Z192,SampleCalc!$B$9)+E192</f>
        <v>7.5291394085421625E-5</v>
      </c>
      <c r="G192">
        <f ca="1">HYPGEOMDIST(G$50,SampleCalc!$B$15,SampleCalc!$B$9*$Z192,SampleCalc!$B$9)+F192</f>
        <v>5.7962687420085122E-4</v>
      </c>
      <c r="H192">
        <f ca="1">HYPGEOMDIST(H$50,SampleCalc!$B$15,SampleCalc!$B$9*$Z192,SampleCalc!$B$9)+G192</f>
        <v>2.9074756247241961E-3</v>
      </c>
      <c r="I192">
        <f ca="1">HYPGEOMDIST(I$50,SampleCalc!$B$15,SampleCalc!$B$9*$Z192,SampleCalc!$B$9)+H192</f>
        <v>1.0704782562388189E-2</v>
      </c>
      <c r="J192">
        <f ca="1">HYPGEOMDIST(J$50,SampleCalc!$B$15,SampleCalc!$B$9*$Z192,SampleCalc!$B$9)+I192</f>
        <v>3.0911887865630081E-2</v>
      </c>
      <c r="K192">
        <f ca="1">HYPGEOMDIST(K$50,SampleCalc!$B$15,SampleCalc!$B$9*$Z192,SampleCalc!$B$9)+J192</f>
        <v>7.3095166211676721E-2</v>
      </c>
      <c r="L192">
        <f ca="1">HYPGEOMDIST(L$50,SampleCalc!$B$15,SampleCalc!$B$9*$Z192,SampleCalc!$B$9)+K192</f>
        <v>0.14601703994313792</v>
      </c>
      <c r="M192">
        <f ca="1">HYPGEOMDIST(M$50,SampleCalc!$B$15,SampleCalc!$B$9*$Z192,SampleCalc!$B$9)+L192</f>
        <v>0.25252269560609247</v>
      </c>
      <c r="N192">
        <f ca="1">HYPGEOMDIST(N$50,SampleCalc!$B$15,SampleCalc!$B$9*$Z192,SampleCalc!$B$9)+M192</f>
        <v>0.38595967924076913</v>
      </c>
      <c r="O192">
        <f ca="1">HYPGEOMDIST(O$50,SampleCalc!$B$15,SampleCalc!$B$9*$Z192,SampleCalc!$B$9)+N192</f>
        <v>0.53107239894348002</v>
      </c>
      <c r="P192">
        <f ca="1">HYPGEOMDIST(P$50,SampleCalc!$B$15,SampleCalc!$B$9*$Z192,SampleCalc!$B$9)+O192</f>
        <v>0.6693515556685008</v>
      </c>
      <c r="Q192">
        <f ca="1">HYPGEOMDIST(Q$50,SampleCalc!$B$15,SampleCalc!$B$9*$Z192,SampleCalc!$B$9)+P192</f>
        <v>0.78569831391664802</v>
      </c>
      <c r="R192">
        <f ca="1">HYPGEOMDIST(R$50,SampleCalc!$B$15,SampleCalc!$B$9*$Z192,SampleCalc!$B$9)+Q192</f>
        <v>0.87268101429797107</v>
      </c>
      <c r="S192">
        <f ca="1">HYPGEOMDIST(S$50,SampleCalc!$B$15,SampleCalc!$B$9*$Z192,SampleCalc!$B$9)+R192</f>
        <v>0.93076620452513781</v>
      </c>
      <c r="T192">
        <f ca="1">HYPGEOMDIST(T$50,SampleCalc!$B$15,SampleCalc!$B$9*$Z192,SampleCalc!$B$9)+S192</f>
        <v>0.96556427282561397</v>
      </c>
      <c r="U192">
        <f ca="1">HYPGEOMDIST(U$50,SampleCalc!$B$15,SampleCalc!$B$9*$Z192,SampleCalc!$B$9)+T192</f>
        <v>0.98433597667827866</v>
      </c>
      <c r="V192">
        <f ca="1">HYPGEOMDIST(V$50,SampleCalc!$B$15,SampleCalc!$B$9*$Z192,SampleCalc!$B$9)+U192</f>
        <v>0.99348263154477978</v>
      </c>
      <c r="W192">
        <f ca="1">HYPGEOMDIST(W$50,SampleCalc!$B$15,SampleCalc!$B$9*$Z192,SampleCalc!$B$9)+V192</f>
        <v>0.99751881393831587</v>
      </c>
      <c r="X192">
        <f ca="1">HYPGEOMDIST(X$50,SampleCalc!$B$15,SampleCalc!$B$9*$Z192,SampleCalc!$B$9)+W192</f>
        <v>0.99913535938989895</v>
      </c>
      <c r="Y192">
        <f ca="1">HYPGEOMDIST(Y$50,SampleCalc!$B$15,SampleCalc!$B$9*$Z192,SampleCalc!$B$9)+X192</f>
        <v>0.99972408776719845</v>
      </c>
      <c r="Z192">
        <v>0.109</v>
      </c>
    </row>
    <row r="193" spans="5:26">
      <c r="E193">
        <f ca="1">HYPGEOMDIST(E$50,SampleCalc!$B$15,SampleCalc!$B$9*$Z193,SampleCalc!$B$9)</f>
        <v>4.7745762102950265E-6</v>
      </c>
      <c r="F193">
        <f ca="1">HYPGEOMDIST(F$50,SampleCalc!$B$15,SampleCalc!$B$9*$Z193,SampleCalc!$B$9)+E193</f>
        <v>7.5291394085421625E-5</v>
      </c>
      <c r="G193">
        <f ca="1">HYPGEOMDIST(G$50,SampleCalc!$B$15,SampleCalc!$B$9*$Z193,SampleCalc!$B$9)+F193</f>
        <v>5.7962687420085122E-4</v>
      </c>
      <c r="H193">
        <f ca="1">HYPGEOMDIST(H$50,SampleCalc!$B$15,SampleCalc!$B$9*$Z193,SampleCalc!$B$9)+G193</f>
        <v>2.9074756247241961E-3</v>
      </c>
      <c r="I193">
        <f ca="1">HYPGEOMDIST(I$50,SampleCalc!$B$15,SampleCalc!$B$9*$Z193,SampleCalc!$B$9)+H193</f>
        <v>1.0704782562388189E-2</v>
      </c>
      <c r="J193">
        <f ca="1">HYPGEOMDIST(J$50,SampleCalc!$B$15,SampleCalc!$B$9*$Z193,SampleCalc!$B$9)+I193</f>
        <v>3.0911887865630081E-2</v>
      </c>
      <c r="K193">
        <f ca="1">HYPGEOMDIST(K$50,SampleCalc!$B$15,SampleCalc!$B$9*$Z193,SampleCalc!$B$9)+J193</f>
        <v>7.3095166211676721E-2</v>
      </c>
      <c r="L193">
        <f ca="1">HYPGEOMDIST(L$50,SampleCalc!$B$15,SampleCalc!$B$9*$Z193,SampleCalc!$B$9)+K193</f>
        <v>0.14601703994313792</v>
      </c>
      <c r="M193">
        <f ca="1">HYPGEOMDIST(M$50,SampleCalc!$B$15,SampleCalc!$B$9*$Z193,SampleCalc!$B$9)+L193</f>
        <v>0.25252269560609247</v>
      </c>
      <c r="N193">
        <f ca="1">HYPGEOMDIST(N$50,SampleCalc!$B$15,SampleCalc!$B$9*$Z193,SampleCalc!$B$9)+M193</f>
        <v>0.38595967924076913</v>
      </c>
      <c r="O193">
        <f ca="1">HYPGEOMDIST(O$50,SampleCalc!$B$15,SampleCalc!$B$9*$Z193,SampleCalc!$B$9)+N193</f>
        <v>0.53107239894348002</v>
      </c>
      <c r="P193">
        <f ca="1">HYPGEOMDIST(P$50,SampleCalc!$B$15,SampleCalc!$B$9*$Z193,SampleCalc!$B$9)+O193</f>
        <v>0.6693515556685008</v>
      </c>
      <c r="Q193">
        <f ca="1">HYPGEOMDIST(Q$50,SampleCalc!$B$15,SampleCalc!$B$9*$Z193,SampleCalc!$B$9)+P193</f>
        <v>0.78569831391664802</v>
      </c>
      <c r="R193">
        <f ca="1">HYPGEOMDIST(R$50,SampleCalc!$B$15,SampleCalc!$B$9*$Z193,SampleCalc!$B$9)+Q193</f>
        <v>0.87268101429797107</v>
      </c>
      <c r="S193">
        <f ca="1">HYPGEOMDIST(S$50,SampleCalc!$B$15,SampleCalc!$B$9*$Z193,SampleCalc!$B$9)+R193</f>
        <v>0.93076620452513781</v>
      </c>
      <c r="T193">
        <f ca="1">HYPGEOMDIST(T$50,SampleCalc!$B$15,SampleCalc!$B$9*$Z193,SampleCalc!$B$9)+S193</f>
        <v>0.96556427282561397</v>
      </c>
      <c r="U193">
        <f ca="1">HYPGEOMDIST(U$50,SampleCalc!$B$15,SampleCalc!$B$9*$Z193,SampleCalc!$B$9)+T193</f>
        <v>0.98433597667827866</v>
      </c>
      <c r="V193">
        <f ca="1">HYPGEOMDIST(V$50,SampleCalc!$B$15,SampleCalc!$B$9*$Z193,SampleCalc!$B$9)+U193</f>
        <v>0.99348263154477978</v>
      </c>
      <c r="W193">
        <f ca="1">HYPGEOMDIST(W$50,SampleCalc!$B$15,SampleCalc!$B$9*$Z193,SampleCalc!$B$9)+V193</f>
        <v>0.99751881393831587</v>
      </c>
      <c r="X193">
        <f ca="1">HYPGEOMDIST(X$50,SampleCalc!$B$15,SampleCalc!$B$9*$Z193,SampleCalc!$B$9)+W193</f>
        <v>0.99913535938989895</v>
      </c>
      <c r="Y193">
        <f ca="1">HYPGEOMDIST(Y$50,SampleCalc!$B$15,SampleCalc!$B$9*$Z193,SampleCalc!$B$9)+X193</f>
        <v>0.99972408776719845</v>
      </c>
      <c r="Z193">
        <v>0.108</v>
      </c>
    </row>
    <row r="194" spans="5:26">
      <c r="E194">
        <f ca="1">HYPGEOMDIST(E$50,SampleCalc!$B$15,SampleCalc!$B$9*$Z194,SampleCalc!$B$9)</f>
        <v>6.080443207982559E-6</v>
      </c>
      <c r="F194">
        <f ca="1">HYPGEOMDIST(F$50,SampleCalc!$B$15,SampleCalc!$B$9*$Z194,SampleCalc!$B$9)+E194</f>
        <v>9.3970485941548661E-5</v>
      </c>
      <c r="G194">
        <f ca="1">HYPGEOMDIST(G$50,SampleCalc!$B$15,SampleCalc!$B$9*$Z194,SampleCalc!$B$9)+F194</f>
        <v>7.0895180478548184E-4</v>
      </c>
      <c r="H194">
        <f ca="1">HYPGEOMDIST(H$50,SampleCalc!$B$15,SampleCalc!$B$9*$Z194,SampleCalc!$B$9)+G194</f>
        <v>3.4850539164030083E-3</v>
      </c>
      <c r="I194">
        <f ca="1">HYPGEOMDIST(I$50,SampleCalc!$B$15,SampleCalc!$B$9*$Z194,SampleCalc!$B$9)+H194</f>
        <v>1.2575810831206877E-2</v>
      </c>
      <c r="J194">
        <f ca="1">HYPGEOMDIST(J$50,SampleCalc!$B$15,SampleCalc!$B$9*$Z194,SampleCalc!$B$9)+I194</f>
        <v>3.5598918792968594E-2</v>
      </c>
      <c r="K194">
        <f ca="1">HYPGEOMDIST(K$50,SampleCalc!$B$15,SampleCalc!$B$9*$Z194,SampleCalc!$B$9)+J194</f>
        <v>8.2548001695384648E-2</v>
      </c>
      <c r="L194">
        <f ca="1">HYPGEOMDIST(L$50,SampleCalc!$B$15,SampleCalc!$B$9*$Z194,SampleCalc!$B$9)+K194</f>
        <v>0.16179565559690889</v>
      </c>
      <c r="M194">
        <f ca="1">HYPGEOMDIST(M$50,SampleCalc!$B$15,SampleCalc!$B$9*$Z194,SampleCalc!$B$9)+L194</f>
        <v>0.27476219287853854</v>
      </c>
      <c r="N194">
        <f ca="1">HYPGEOMDIST(N$50,SampleCalc!$B$15,SampleCalc!$B$9*$Z194,SampleCalc!$B$9)+M194</f>
        <v>0.41283240511164143</v>
      </c>
      <c r="O194">
        <f ca="1">HYPGEOMDIST(O$50,SampleCalc!$B$15,SampleCalc!$B$9*$Z194,SampleCalc!$B$9)+N194</f>
        <v>0.55924037531339144</v>
      </c>
      <c r="P194">
        <f ca="1">HYPGEOMDIST(P$50,SampleCalc!$B$15,SampleCalc!$B$9*$Z194,SampleCalc!$B$9)+O194</f>
        <v>0.69520639083475566</v>
      </c>
      <c r="Q194">
        <f ca="1">HYPGEOMDIST(Q$50,SampleCalc!$B$15,SampleCalc!$B$9*$Z194,SampleCalc!$B$9)+P194</f>
        <v>0.80663859363807766</v>
      </c>
      <c r="R194">
        <f ca="1">HYPGEOMDIST(R$50,SampleCalc!$B$15,SampleCalc!$B$9*$Z194,SampleCalc!$B$9)+Q194</f>
        <v>0.88774013769019944</v>
      </c>
      <c r="S194">
        <f ca="1">HYPGEOMDIST(S$50,SampleCalc!$B$15,SampleCalc!$B$9*$Z194,SampleCalc!$B$9)+R194</f>
        <v>0.94043233460860343</v>
      </c>
      <c r="T194">
        <f ca="1">HYPGEOMDIST(T$50,SampleCalc!$B$15,SampleCalc!$B$9*$Z194,SampleCalc!$B$9)+S194</f>
        <v>0.97112625915232942</v>
      </c>
      <c r="U194">
        <f ca="1">HYPGEOMDIST(U$50,SampleCalc!$B$15,SampleCalc!$B$9*$Z194,SampleCalc!$B$9)+T194</f>
        <v>0.98721547913625118</v>
      </c>
      <c r="V194">
        <f ca="1">HYPGEOMDIST(V$50,SampleCalc!$B$15,SampleCalc!$B$9*$Z194,SampleCalc!$B$9)+U194</f>
        <v>0.99482802567595841</v>
      </c>
      <c r="W194">
        <f ca="1">HYPGEOMDIST(W$50,SampleCalc!$B$15,SampleCalc!$B$9*$Z194,SampleCalc!$B$9)+V194</f>
        <v>0.99808759844905803</v>
      </c>
      <c r="X194">
        <f ca="1">HYPGEOMDIST(X$50,SampleCalc!$B$15,SampleCalc!$B$9*$Z194,SampleCalc!$B$9)+W194</f>
        <v>0.99935340693704688</v>
      </c>
      <c r="Y194">
        <f ca="1">HYPGEOMDIST(Y$50,SampleCalc!$B$15,SampleCalc!$B$9*$Z194,SampleCalc!$B$9)+X194</f>
        <v>0.99980002238469579</v>
      </c>
      <c r="Z194">
        <v>0.107</v>
      </c>
    </row>
    <row r="195" spans="5:26">
      <c r="E195">
        <f ca="1">HYPGEOMDIST(E$50,SampleCalc!$B$15,SampleCalc!$B$9*$Z195,SampleCalc!$B$9)</f>
        <v>6.080443207982559E-6</v>
      </c>
      <c r="F195">
        <f ca="1">HYPGEOMDIST(F$50,SampleCalc!$B$15,SampleCalc!$B$9*$Z195,SampleCalc!$B$9)+E195</f>
        <v>9.3970485941548661E-5</v>
      </c>
      <c r="G195">
        <f ca="1">HYPGEOMDIST(G$50,SampleCalc!$B$15,SampleCalc!$B$9*$Z195,SampleCalc!$B$9)+F195</f>
        <v>7.0895180478548184E-4</v>
      </c>
      <c r="H195">
        <f ca="1">HYPGEOMDIST(H$50,SampleCalc!$B$15,SampleCalc!$B$9*$Z195,SampleCalc!$B$9)+G195</f>
        <v>3.4850539164030083E-3</v>
      </c>
      <c r="I195">
        <f ca="1">HYPGEOMDIST(I$50,SampleCalc!$B$15,SampleCalc!$B$9*$Z195,SampleCalc!$B$9)+H195</f>
        <v>1.2575810831206877E-2</v>
      </c>
      <c r="J195">
        <f ca="1">HYPGEOMDIST(J$50,SampleCalc!$B$15,SampleCalc!$B$9*$Z195,SampleCalc!$B$9)+I195</f>
        <v>3.5598918792968594E-2</v>
      </c>
      <c r="K195">
        <f ca="1">HYPGEOMDIST(K$50,SampleCalc!$B$15,SampleCalc!$B$9*$Z195,SampleCalc!$B$9)+J195</f>
        <v>8.2548001695384648E-2</v>
      </c>
      <c r="L195">
        <f ca="1">HYPGEOMDIST(L$50,SampleCalc!$B$15,SampleCalc!$B$9*$Z195,SampleCalc!$B$9)+K195</f>
        <v>0.16179565559690889</v>
      </c>
      <c r="M195">
        <f ca="1">HYPGEOMDIST(M$50,SampleCalc!$B$15,SampleCalc!$B$9*$Z195,SampleCalc!$B$9)+L195</f>
        <v>0.27476219287853854</v>
      </c>
      <c r="N195">
        <f ca="1">HYPGEOMDIST(N$50,SampleCalc!$B$15,SampleCalc!$B$9*$Z195,SampleCalc!$B$9)+M195</f>
        <v>0.41283240511164143</v>
      </c>
      <c r="O195">
        <f ca="1">HYPGEOMDIST(O$50,SampleCalc!$B$15,SampleCalc!$B$9*$Z195,SampleCalc!$B$9)+N195</f>
        <v>0.55924037531339144</v>
      </c>
      <c r="P195">
        <f ca="1">HYPGEOMDIST(P$50,SampleCalc!$B$15,SampleCalc!$B$9*$Z195,SampleCalc!$B$9)+O195</f>
        <v>0.69520639083475566</v>
      </c>
      <c r="Q195">
        <f ca="1">HYPGEOMDIST(Q$50,SampleCalc!$B$15,SampleCalc!$B$9*$Z195,SampleCalc!$B$9)+P195</f>
        <v>0.80663859363807766</v>
      </c>
      <c r="R195">
        <f ca="1">HYPGEOMDIST(R$50,SampleCalc!$B$15,SampleCalc!$B$9*$Z195,SampleCalc!$B$9)+Q195</f>
        <v>0.88774013769019944</v>
      </c>
      <c r="S195">
        <f ca="1">HYPGEOMDIST(S$50,SampleCalc!$B$15,SampleCalc!$B$9*$Z195,SampleCalc!$B$9)+R195</f>
        <v>0.94043233460860343</v>
      </c>
      <c r="T195">
        <f ca="1">HYPGEOMDIST(T$50,SampleCalc!$B$15,SampleCalc!$B$9*$Z195,SampleCalc!$B$9)+S195</f>
        <v>0.97112625915232942</v>
      </c>
      <c r="U195">
        <f ca="1">HYPGEOMDIST(U$50,SampleCalc!$B$15,SampleCalc!$B$9*$Z195,SampleCalc!$B$9)+T195</f>
        <v>0.98721547913625118</v>
      </c>
      <c r="V195">
        <f ca="1">HYPGEOMDIST(V$50,SampleCalc!$B$15,SampleCalc!$B$9*$Z195,SampleCalc!$B$9)+U195</f>
        <v>0.99482802567595841</v>
      </c>
      <c r="W195">
        <f ca="1">HYPGEOMDIST(W$50,SampleCalc!$B$15,SampleCalc!$B$9*$Z195,SampleCalc!$B$9)+V195</f>
        <v>0.99808759844905803</v>
      </c>
      <c r="X195">
        <f ca="1">HYPGEOMDIST(X$50,SampleCalc!$B$15,SampleCalc!$B$9*$Z195,SampleCalc!$B$9)+W195</f>
        <v>0.99935340693704688</v>
      </c>
      <c r="Y195">
        <f ca="1">HYPGEOMDIST(Y$50,SampleCalc!$B$15,SampleCalc!$B$9*$Z195,SampleCalc!$B$9)+X195</f>
        <v>0.99980002238469579</v>
      </c>
      <c r="Z195">
        <v>0.106</v>
      </c>
    </row>
    <row r="196" spans="5:26">
      <c r="E196">
        <f ca="1">HYPGEOMDIST(E$50,SampleCalc!$B$15,SampleCalc!$B$9*$Z196,SampleCalc!$B$9)</f>
        <v>7.7387459010687135E-6</v>
      </c>
      <c r="F196">
        <f ca="1">HYPGEOMDIST(F$50,SampleCalc!$B$15,SampleCalc!$B$9*$Z196,SampleCalc!$B$9)+E196</f>
        <v>1.1717732816207449E-4</v>
      </c>
      <c r="G196">
        <f ca="1">HYPGEOMDIST(G$50,SampleCalc!$B$15,SampleCalc!$B$9*$Z196,SampleCalc!$B$9)+F196</f>
        <v>8.6608966016005857E-4</v>
      </c>
      <c r="H196">
        <f ca="1">HYPGEOMDIST(H$50,SampleCalc!$B$15,SampleCalc!$B$9*$Z196,SampleCalc!$B$9)+G196</f>
        <v>4.1711487778976391E-3</v>
      </c>
      <c r="I196">
        <f ca="1">HYPGEOMDIST(I$50,SampleCalc!$B$15,SampleCalc!$B$9*$Z196,SampleCalc!$B$9)+H196</f>
        <v>1.4747802148354212E-2</v>
      </c>
      <c r="J196">
        <f ca="1">HYPGEOMDIST(J$50,SampleCalc!$B$15,SampleCalc!$B$9*$Z196,SampleCalc!$B$9)+I196</f>
        <v>4.0913909310223248E-2</v>
      </c>
      <c r="K196">
        <f ca="1">HYPGEOMDIST(K$50,SampleCalc!$B$15,SampleCalc!$B$9*$Z196,SampleCalc!$B$9)+J196</f>
        <v>9.3014672965397255E-2</v>
      </c>
      <c r="L196">
        <f ca="1">HYPGEOMDIST(L$50,SampleCalc!$B$15,SampleCalc!$B$9*$Z196,SampleCalc!$B$9)+K196</f>
        <v>0.17884720839413601</v>
      </c>
      <c r="M196">
        <f ca="1">HYPGEOMDIST(M$50,SampleCalc!$B$15,SampleCalc!$B$9*$Z196,SampleCalc!$B$9)+L196</f>
        <v>0.29820807797472582</v>
      </c>
      <c r="N196">
        <f ca="1">HYPGEOMDIST(N$50,SampleCalc!$B$15,SampleCalc!$B$9*$Z196,SampleCalc!$B$9)+M196</f>
        <v>0.44045655043272625</v>
      </c>
      <c r="O196">
        <f ca="1">HYPGEOMDIST(O$50,SampleCalc!$B$15,SampleCalc!$B$9*$Z196,SampleCalc!$B$9)+N196</f>
        <v>0.58745973702537269</v>
      </c>
      <c r="P196">
        <f ca="1">HYPGEOMDIST(P$50,SampleCalc!$B$15,SampleCalc!$B$9*$Z196,SampleCalc!$B$9)+O196</f>
        <v>0.7204363235449418</v>
      </c>
      <c r="Q196">
        <f ca="1">HYPGEOMDIST(Q$50,SampleCalc!$B$15,SampleCalc!$B$9*$Z196,SampleCalc!$B$9)+P196</f>
        <v>0.82653142519803191</v>
      </c>
      <c r="R196">
        <f ca="1">HYPGEOMDIST(R$50,SampleCalc!$B$15,SampleCalc!$B$9*$Z196,SampleCalc!$B$9)+Q196</f>
        <v>0.90165883121581547</v>
      </c>
      <c r="S196">
        <f ca="1">HYPGEOMDIST(S$50,SampleCalc!$B$15,SampleCalc!$B$9*$Z196,SampleCalc!$B$9)+R196</f>
        <v>0.94911929438512954</v>
      </c>
      <c r="T196">
        <f ca="1">HYPGEOMDIST(T$50,SampleCalc!$B$15,SampleCalc!$B$9*$Z196,SampleCalc!$B$9)+S196</f>
        <v>0.9759833821663435</v>
      </c>
      <c r="U196">
        <f ca="1">HYPGEOMDIST(U$50,SampleCalc!$B$15,SampleCalc!$B$9*$Z196,SampleCalc!$B$9)+T196</f>
        <v>0.9896572393471007</v>
      </c>
      <c r="V196">
        <f ca="1">HYPGEOMDIST(V$50,SampleCalc!$B$15,SampleCalc!$B$9*$Z196,SampleCalc!$B$9)+U196</f>
        <v>0.99593505039135077</v>
      </c>
      <c r="W196">
        <f ca="1">HYPGEOMDIST(W$50,SampleCalc!$B$15,SampleCalc!$B$9*$Z196,SampleCalc!$B$9)+V196</f>
        <v>0.9985413788504125</v>
      </c>
      <c r="X196">
        <f ca="1">HYPGEOMDIST(X$50,SampleCalc!$B$15,SampleCalc!$B$9*$Z196,SampleCalc!$B$9)+W196</f>
        <v>0.99952194106823511</v>
      </c>
      <c r="Y196">
        <f ca="1">HYPGEOMDIST(Y$50,SampleCalc!$B$15,SampleCalc!$B$9*$Z196,SampleCalc!$B$9)+X196</f>
        <v>0.99985683469666087</v>
      </c>
      <c r="Z196">
        <v>0.105</v>
      </c>
    </row>
    <row r="197" spans="5:26">
      <c r="E197">
        <f ca="1">HYPGEOMDIST(E$50,SampleCalc!$B$15,SampleCalc!$B$9*$Z197,SampleCalc!$B$9)</f>
        <v>7.7387459010687135E-6</v>
      </c>
      <c r="F197">
        <f ca="1">HYPGEOMDIST(F$50,SampleCalc!$B$15,SampleCalc!$B$9*$Z197,SampleCalc!$B$9)+E197</f>
        <v>1.1717732816207449E-4</v>
      </c>
      <c r="G197">
        <f ca="1">HYPGEOMDIST(G$50,SampleCalc!$B$15,SampleCalc!$B$9*$Z197,SampleCalc!$B$9)+F197</f>
        <v>8.6608966016005857E-4</v>
      </c>
      <c r="H197">
        <f ca="1">HYPGEOMDIST(H$50,SampleCalc!$B$15,SampleCalc!$B$9*$Z197,SampleCalc!$B$9)+G197</f>
        <v>4.1711487778976391E-3</v>
      </c>
      <c r="I197">
        <f ca="1">HYPGEOMDIST(I$50,SampleCalc!$B$15,SampleCalc!$B$9*$Z197,SampleCalc!$B$9)+H197</f>
        <v>1.4747802148354212E-2</v>
      </c>
      <c r="J197">
        <f ca="1">HYPGEOMDIST(J$50,SampleCalc!$B$15,SampleCalc!$B$9*$Z197,SampleCalc!$B$9)+I197</f>
        <v>4.0913909310223248E-2</v>
      </c>
      <c r="K197">
        <f ca="1">HYPGEOMDIST(K$50,SampleCalc!$B$15,SampleCalc!$B$9*$Z197,SampleCalc!$B$9)+J197</f>
        <v>9.3014672965397255E-2</v>
      </c>
      <c r="L197">
        <f ca="1">HYPGEOMDIST(L$50,SampleCalc!$B$15,SampleCalc!$B$9*$Z197,SampleCalc!$B$9)+K197</f>
        <v>0.17884720839413601</v>
      </c>
      <c r="M197">
        <f ca="1">HYPGEOMDIST(M$50,SampleCalc!$B$15,SampleCalc!$B$9*$Z197,SampleCalc!$B$9)+L197</f>
        <v>0.29820807797472582</v>
      </c>
      <c r="N197">
        <f ca="1">HYPGEOMDIST(N$50,SampleCalc!$B$15,SampleCalc!$B$9*$Z197,SampleCalc!$B$9)+M197</f>
        <v>0.44045655043272625</v>
      </c>
      <c r="O197">
        <f ca="1">HYPGEOMDIST(O$50,SampleCalc!$B$15,SampleCalc!$B$9*$Z197,SampleCalc!$B$9)+N197</f>
        <v>0.58745973702537269</v>
      </c>
      <c r="P197">
        <f ca="1">HYPGEOMDIST(P$50,SampleCalc!$B$15,SampleCalc!$B$9*$Z197,SampleCalc!$B$9)+O197</f>
        <v>0.7204363235449418</v>
      </c>
      <c r="Q197">
        <f ca="1">HYPGEOMDIST(Q$50,SampleCalc!$B$15,SampleCalc!$B$9*$Z197,SampleCalc!$B$9)+P197</f>
        <v>0.82653142519803191</v>
      </c>
      <c r="R197">
        <f ca="1">HYPGEOMDIST(R$50,SampleCalc!$B$15,SampleCalc!$B$9*$Z197,SampleCalc!$B$9)+Q197</f>
        <v>0.90165883121581547</v>
      </c>
      <c r="S197">
        <f ca="1">HYPGEOMDIST(S$50,SampleCalc!$B$15,SampleCalc!$B$9*$Z197,SampleCalc!$B$9)+R197</f>
        <v>0.94911929438512954</v>
      </c>
      <c r="T197">
        <f ca="1">HYPGEOMDIST(T$50,SampleCalc!$B$15,SampleCalc!$B$9*$Z197,SampleCalc!$B$9)+S197</f>
        <v>0.9759833821663435</v>
      </c>
      <c r="U197">
        <f ca="1">HYPGEOMDIST(U$50,SampleCalc!$B$15,SampleCalc!$B$9*$Z197,SampleCalc!$B$9)+T197</f>
        <v>0.9896572393471007</v>
      </c>
      <c r="V197">
        <f ca="1">HYPGEOMDIST(V$50,SampleCalc!$B$15,SampleCalc!$B$9*$Z197,SampleCalc!$B$9)+U197</f>
        <v>0.99593505039135077</v>
      </c>
      <c r="W197">
        <f ca="1">HYPGEOMDIST(W$50,SampleCalc!$B$15,SampleCalc!$B$9*$Z197,SampleCalc!$B$9)+V197</f>
        <v>0.9985413788504125</v>
      </c>
      <c r="X197">
        <f ca="1">HYPGEOMDIST(X$50,SampleCalc!$B$15,SampleCalc!$B$9*$Z197,SampleCalc!$B$9)+W197</f>
        <v>0.99952194106823511</v>
      </c>
      <c r="Y197">
        <f ca="1">HYPGEOMDIST(Y$50,SampleCalc!$B$15,SampleCalc!$B$9*$Z197,SampleCalc!$B$9)+X197</f>
        <v>0.99985683469666087</v>
      </c>
      <c r="Z197">
        <v>0.104</v>
      </c>
    </row>
    <row r="198" spans="5:26">
      <c r="E198">
        <f ca="1">HYPGEOMDIST(E$50,SampleCalc!$B$15,SampleCalc!$B$9*$Z198,SampleCalc!$B$9)</f>
        <v>9.8433340214726756E-6</v>
      </c>
      <c r="F198">
        <f ca="1">HYPGEOMDIST(F$50,SampleCalc!$B$15,SampleCalc!$B$9*$Z198,SampleCalc!$B$9)+E198</f>
        <v>1.4598164862353533E-4</v>
      </c>
      <c r="G198">
        <f ca="1">HYPGEOMDIST(G$50,SampleCalc!$B$15,SampleCalc!$B$9*$Z198,SampleCalc!$B$9)+F198</f>
        <v>1.0567661477218413E-3</v>
      </c>
      <c r="H198">
        <f ca="1">HYPGEOMDIST(H$50,SampleCalc!$B$15,SampleCalc!$B$9*$Z198,SampleCalc!$B$9)+G198</f>
        <v>4.9847374987019907E-3</v>
      </c>
      <c r="I198">
        <f ca="1">HYPGEOMDIST(I$50,SampleCalc!$B$15,SampleCalc!$B$9*$Z198,SampleCalc!$B$9)+H198</f>
        <v>1.7263773990841627E-2</v>
      </c>
      <c r="J198">
        <f ca="1">HYPGEOMDIST(J$50,SampleCalc!$B$15,SampleCalc!$B$9*$Z198,SampleCalc!$B$9)+I198</f>
        <v>4.6925535885820241E-2</v>
      </c>
      <c r="K198">
        <f ca="1">HYPGEOMDIST(K$50,SampleCalc!$B$15,SampleCalc!$B$9*$Z198,SampleCalc!$B$9)+J198</f>
        <v>0.10456905273465056</v>
      </c>
      <c r="L198">
        <f ca="1">HYPGEOMDIST(L$50,SampleCalc!$B$15,SampleCalc!$B$9*$Z198,SampleCalc!$B$9)+K198</f>
        <v>0.1972104190988421</v>
      </c>
      <c r="M198">
        <f ca="1">HYPGEOMDIST(M$50,SampleCalc!$B$15,SampleCalc!$B$9*$Z198,SampleCalc!$B$9)+L198</f>
        <v>0.32282800590014887</v>
      </c>
      <c r="N198">
        <f ca="1">HYPGEOMDIST(N$50,SampleCalc!$B$15,SampleCalc!$B$9*$Z198,SampleCalc!$B$9)+M198</f>
        <v>0.46872639400823524</v>
      </c>
      <c r="O198">
        <f ca="1">HYPGEOMDIST(O$50,SampleCalc!$B$15,SampleCalc!$B$9*$Z198,SampleCalc!$B$9)+N198</f>
        <v>0.61558939955835856</v>
      </c>
      <c r="P198">
        <f ca="1">HYPGEOMDIST(P$50,SampleCalc!$B$15,SampleCalc!$B$9*$Z198,SampleCalc!$B$9)+O198</f>
        <v>0.74491980854180873</v>
      </c>
      <c r="Q198">
        <f ca="1">HYPGEOMDIST(Q$50,SampleCalc!$B$15,SampleCalc!$B$9*$Z198,SampleCalc!$B$9)+P198</f>
        <v>0.8453132767024778</v>
      </c>
      <c r="R198">
        <f ca="1">HYPGEOMDIST(R$50,SampleCalc!$B$15,SampleCalc!$B$9*$Z198,SampleCalc!$B$9)+Q198</f>
        <v>0.91443664822293846</v>
      </c>
      <c r="S198">
        <f ca="1">HYPGEOMDIST(S$50,SampleCalc!$B$15,SampleCalc!$B$9*$Z198,SampleCalc!$B$9)+R198</f>
        <v>0.95686855047586428</v>
      </c>
      <c r="T198">
        <f ca="1">HYPGEOMDIST(T$50,SampleCalc!$B$15,SampleCalc!$B$9*$Z198,SampleCalc!$B$9)+S198</f>
        <v>0.98019072283734565</v>
      </c>
      <c r="U198">
        <f ca="1">HYPGEOMDIST(U$50,SampleCalc!$B$15,SampleCalc!$B$9*$Z198,SampleCalc!$B$9)+T198</f>
        <v>0.99170960065002856</v>
      </c>
      <c r="V198">
        <f ca="1">HYPGEOMDIST(V$50,SampleCalc!$B$15,SampleCalc!$B$9*$Z198,SampleCalc!$B$9)+U198</f>
        <v>0.99683724101179516</v>
      </c>
      <c r="W198">
        <f ca="1">HYPGEOMDIST(W$50,SampleCalc!$B$15,SampleCalc!$B$9*$Z198,SampleCalc!$B$9)+V198</f>
        <v>0.99889966119923224</v>
      </c>
      <c r="X198">
        <f ca="1">HYPGEOMDIST(X$50,SampleCalc!$B$15,SampleCalc!$B$9*$Z198,SampleCalc!$B$9)+W198</f>
        <v>0.99965074630993722</v>
      </c>
      <c r="Y198">
        <f ca="1">HYPGEOMDIST(Y$50,SampleCalc!$B$15,SampleCalc!$B$9*$Z198,SampleCalc!$B$9)+X198</f>
        <v>0.99989882589610035</v>
      </c>
      <c r="Z198">
        <v>0.10299999999999999</v>
      </c>
    </row>
    <row r="199" spans="5:26">
      <c r="E199">
        <f ca="1">HYPGEOMDIST(E$50,SampleCalc!$B$15,SampleCalc!$B$9*$Z199,SampleCalc!$B$9)</f>
        <v>9.8433340214726756E-6</v>
      </c>
      <c r="F199">
        <f ca="1">HYPGEOMDIST(F$50,SampleCalc!$B$15,SampleCalc!$B$9*$Z199,SampleCalc!$B$9)+E199</f>
        <v>1.4598164862353533E-4</v>
      </c>
      <c r="G199">
        <f ca="1">HYPGEOMDIST(G$50,SampleCalc!$B$15,SampleCalc!$B$9*$Z199,SampleCalc!$B$9)+F199</f>
        <v>1.0567661477218413E-3</v>
      </c>
      <c r="H199">
        <f ca="1">HYPGEOMDIST(H$50,SampleCalc!$B$15,SampleCalc!$B$9*$Z199,SampleCalc!$B$9)+G199</f>
        <v>4.9847374987019907E-3</v>
      </c>
      <c r="I199">
        <f ca="1">HYPGEOMDIST(I$50,SampleCalc!$B$15,SampleCalc!$B$9*$Z199,SampleCalc!$B$9)+H199</f>
        <v>1.7263773990841627E-2</v>
      </c>
      <c r="J199">
        <f ca="1">HYPGEOMDIST(J$50,SampleCalc!$B$15,SampleCalc!$B$9*$Z199,SampleCalc!$B$9)+I199</f>
        <v>4.6925535885820241E-2</v>
      </c>
      <c r="K199">
        <f ca="1">HYPGEOMDIST(K$50,SampleCalc!$B$15,SampleCalc!$B$9*$Z199,SampleCalc!$B$9)+J199</f>
        <v>0.10456905273465056</v>
      </c>
      <c r="L199">
        <f ca="1">HYPGEOMDIST(L$50,SampleCalc!$B$15,SampleCalc!$B$9*$Z199,SampleCalc!$B$9)+K199</f>
        <v>0.1972104190988421</v>
      </c>
      <c r="M199">
        <f ca="1">HYPGEOMDIST(M$50,SampleCalc!$B$15,SampleCalc!$B$9*$Z199,SampleCalc!$B$9)+L199</f>
        <v>0.32282800590014887</v>
      </c>
      <c r="N199">
        <f ca="1">HYPGEOMDIST(N$50,SampleCalc!$B$15,SampleCalc!$B$9*$Z199,SampleCalc!$B$9)+M199</f>
        <v>0.46872639400823524</v>
      </c>
      <c r="O199">
        <f ca="1">HYPGEOMDIST(O$50,SampleCalc!$B$15,SampleCalc!$B$9*$Z199,SampleCalc!$B$9)+N199</f>
        <v>0.61558939955835856</v>
      </c>
      <c r="P199">
        <f ca="1">HYPGEOMDIST(P$50,SampleCalc!$B$15,SampleCalc!$B$9*$Z199,SampleCalc!$B$9)+O199</f>
        <v>0.74491980854180873</v>
      </c>
      <c r="Q199">
        <f ca="1">HYPGEOMDIST(Q$50,SampleCalc!$B$15,SampleCalc!$B$9*$Z199,SampleCalc!$B$9)+P199</f>
        <v>0.8453132767024778</v>
      </c>
      <c r="R199">
        <f ca="1">HYPGEOMDIST(R$50,SampleCalc!$B$15,SampleCalc!$B$9*$Z199,SampleCalc!$B$9)+Q199</f>
        <v>0.91443664822293846</v>
      </c>
      <c r="S199">
        <f ca="1">HYPGEOMDIST(S$50,SampleCalc!$B$15,SampleCalc!$B$9*$Z199,SampleCalc!$B$9)+R199</f>
        <v>0.95686855047586428</v>
      </c>
      <c r="T199">
        <f ca="1">HYPGEOMDIST(T$50,SampleCalc!$B$15,SampleCalc!$B$9*$Z199,SampleCalc!$B$9)+S199</f>
        <v>0.98019072283734565</v>
      </c>
      <c r="U199">
        <f ca="1">HYPGEOMDIST(U$50,SampleCalc!$B$15,SampleCalc!$B$9*$Z199,SampleCalc!$B$9)+T199</f>
        <v>0.99170960065002856</v>
      </c>
      <c r="V199">
        <f ca="1">HYPGEOMDIST(V$50,SampleCalc!$B$15,SampleCalc!$B$9*$Z199,SampleCalc!$B$9)+U199</f>
        <v>0.99683724101179516</v>
      </c>
      <c r="W199">
        <f ca="1">HYPGEOMDIST(W$50,SampleCalc!$B$15,SampleCalc!$B$9*$Z199,SampleCalc!$B$9)+V199</f>
        <v>0.99889966119923224</v>
      </c>
      <c r="X199">
        <f ca="1">HYPGEOMDIST(X$50,SampleCalc!$B$15,SampleCalc!$B$9*$Z199,SampleCalc!$B$9)+W199</f>
        <v>0.99965074630993722</v>
      </c>
      <c r="Y199">
        <f ca="1">HYPGEOMDIST(Y$50,SampleCalc!$B$15,SampleCalc!$B$9*$Z199,SampleCalc!$B$9)+X199</f>
        <v>0.99989882589610035</v>
      </c>
      <c r="Z199">
        <v>0.10199999999999999</v>
      </c>
    </row>
    <row r="200" spans="5:26">
      <c r="E200">
        <f ca="1">HYPGEOMDIST(E$50,SampleCalc!$B$15,SampleCalc!$B$9*$Z200,SampleCalc!$B$9)</f>
        <v>1.251271273916017E-5</v>
      </c>
      <c r="F200">
        <f ca="1">HYPGEOMDIST(F$50,SampleCalc!$B$15,SampleCalc!$B$9*$Z200,SampleCalc!$B$9)+E200</f>
        <v>1.8169868780386101E-4</v>
      </c>
      <c r="G200">
        <f ca="1">HYPGEOMDIST(G$50,SampleCalc!$B$15,SampleCalc!$B$9*$Z200,SampleCalc!$B$9)+F200</f>
        <v>1.2878232860147915E-3</v>
      </c>
      <c r="H200">
        <f ca="1">HYPGEOMDIST(H$50,SampleCalc!$B$15,SampleCalc!$B$9*$Z200,SampleCalc!$B$9)+G200</f>
        <v>5.947799184360004E-3</v>
      </c>
      <c r="I200">
        <f ca="1">HYPGEOMDIST(I$50,SampleCalc!$B$15,SampleCalc!$B$9*$Z200,SampleCalc!$B$9)+H200</f>
        <v>2.0171789862898339E-2</v>
      </c>
      <c r="J200">
        <f ca="1">HYPGEOMDIST(J$50,SampleCalc!$B$15,SampleCalc!$B$9*$Z200,SampleCalc!$B$9)+I200</f>
        <v>5.3707126103329679E-2</v>
      </c>
      <c r="K200">
        <f ca="1">HYPGEOMDIST(K$50,SampleCalc!$B$15,SampleCalc!$B$9*$Z200,SampleCalc!$B$9)+J200</f>
        <v>0.11728453439248074</v>
      </c>
      <c r="L200">
        <f ca="1">HYPGEOMDIST(L$50,SampleCalc!$B$15,SampleCalc!$B$9*$Z200,SampleCalc!$B$9)+K200</f>
        <v>0.21691513859708628</v>
      </c>
      <c r="M200">
        <f ca="1">HYPGEOMDIST(M$50,SampleCalc!$B$15,SampleCalc!$B$9*$Z200,SampleCalc!$B$9)+L200</f>
        <v>0.34857478027216421</v>
      </c>
      <c r="N200">
        <f ca="1">HYPGEOMDIST(N$50,SampleCalc!$B$15,SampleCalc!$B$9*$Z200,SampleCalc!$B$9)+M200</f>
        <v>0.49752306176316152</v>
      </c>
      <c r="O200">
        <f ca="1">HYPGEOMDIST(O$50,SampleCalc!$B$15,SampleCalc!$B$9*$Z200,SampleCalc!$B$9)+N200</f>
        <v>0.64348419365282816</v>
      </c>
      <c r="P200">
        <f ca="1">HYPGEOMDIST(P$50,SampleCalc!$B$15,SampleCalc!$B$9*$Z200,SampleCalc!$B$9)+O200</f>
        <v>0.76854180105020142</v>
      </c>
      <c r="Q200">
        <f ca="1">HYPGEOMDIST(Q$50,SampleCalc!$B$15,SampleCalc!$B$9*$Z200,SampleCalc!$B$9)+P200</f>
        <v>0.86293295963906569</v>
      </c>
      <c r="R200">
        <f ca="1">HYPGEOMDIST(R$50,SampleCalc!$B$15,SampleCalc!$B$9*$Z200,SampleCalc!$B$9)+Q200</f>
        <v>0.92608462139040815</v>
      </c>
      <c r="S200">
        <f ca="1">HYPGEOMDIST(S$50,SampleCalc!$B$15,SampleCalc!$B$9*$Z200,SampleCalc!$B$9)+R200</f>
        <v>0.96372801293512333</v>
      </c>
      <c r="T200">
        <f ca="1">HYPGEOMDIST(T$50,SampleCalc!$B$15,SampleCalc!$B$9*$Z200,SampleCalc!$B$9)+S200</f>
        <v>0.98380448842563817</v>
      </c>
      <c r="U200">
        <f ca="1">HYPGEOMDIST(U$50,SampleCalc!$B$15,SampleCalc!$B$9*$Z200,SampleCalc!$B$9)+T200</f>
        <v>0.99341881410395061</v>
      </c>
      <c r="V200">
        <f ca="1">HYPGEOMDIST(V$50,SampleCalc!$B$15,SampleCalc!$B$9*$Z200,SampleCalc!$B$9)+U200</f>
        <v>0.99756515401912582</v>
      </c>
      <c r="W200">
        <f ca="1">HYPGEOMDIST(W$50,SampleCalc!$B$15,SampleCalc!$B$9*$Z200,SampleCalc!$B$9)+V200</f>
        <v>0.99917947722086742</v>
      </c>
      <c r="X200">
        <f ca="1">HYPGEOMDIST(X$50,SampleCalc!$B$15,SampleCalc!$B$9*$Z200,SampleCalc!$B$9)+W200</f>
        <v>0.99974803242215804</v>
      </c>
      <c r="Y200">
        <f ca="1">HYPGEOMDIST(Y$50,SampleCalc!$B$15,SampleCalc!$B$9*$Z200,SampleCalc!$B$9)+X200</f>
        <v>0.99992946842021702</v>
      </c>
      <c r="Z200">
        <v>0.10100000000000001</v>
      </c>
    </row>
    <row r="201" spans="5:26">
      <c r="E201">
        <f ca="1">HYPGEOMDIST(E$50,SampleCalc!$B$15,SampleCalc!$B$9*$Z201,SampleCalc!$B$9)</f>
        <v>1.251271273916017E-5</v>
      </c>
      <c r="F201">
        <f ca="1">HYPGEOMDIST(F$50,SampleCalc!$B$15,SampleCalc!$B$9*$Z201,SampleCalc!$B$9)+E201</f>
        <v>1.8169868780386101E-4</v>
      </c>
      <c r="G201">
        <f ca="1">HYPGEOMDIST(G$50,SampleCalc!$B$15,SampleCalc!$B$9*$Z201,SampleCalc!$B$9)+F201</f>
        <v>1.2878232860147915E-3</v>
      </c>
      <c r="H201">
        <f ca="1">HYPGEOMDIST(H$50,SampleCalc!$B$15,SampleCalc!$B$9*$Z201,SampleCalc!$B$9)+G201</f>
        <v>5.947799184360004E-3</v>
      </c>
      <c r="I201">
        <f ca="1">HYPGEOMDIST(I$50,SampleCalc!$B$15,SampleCalc!$B$9*$Z201,SampleCalc!$B$9)+H201</f>
        <v>2.0171789862898339E-2</v>
      </c>
      <c r="J201">
        <f ca="1">HYPGEOMDIST(J$50,SampleCalc!$B$15,SampleCalc!$B$9*$Z201,SampleCalc!$B$9)+I201</f>
        <v>5.3707126103329679E-2</v>
      </c>
      <c r="K201">
        <f ca="1">HYPGEOMDIST(K$50,SampleCalc!$B$15,SampleCalc!$B$9*$Z201,SampleCalc!$B$9)+J201</f>
        <v>0.11728453439248074</v>
      </c>
      <c r="L201">
        <f ca="1">HYPGEOMDIST(L$50,SampleCalc!$B$15,SampleCalc!$B$9*$Z201,SampleCalc!$B$9)+K201</f>
        <v>0.21691513859708628</v>
      </c>
      <c r="M201">
        <f ca="1">HYPGEOMDIST(M$50,SampleCalc!$B$15,SampleCalc!$B$9*$Z201,SampleCalc!$B$9)+L201</f>
        <v>0.34857478027216421</v>
      </c>
      <c r="N201">
        <f ca="1">HYPGEOMDIST(N$50,SampleCalc!$B$15,SampleCalc!$B$9*$Z201,SampleCalc!$B$9)+M201</f>
        <v>0.49752306176316152</v>
      </c>
      <c r="O201">
        <f ca="1">HYPGEOMDIST(O$50,SampleCalc!$B$15,SampleCalc!$B$9*$Z201,SampleCalc!$B$9)+N201</f>
        <v>0.64348419365282816</v>
      </c>
      <c r="P201">
        <f ca="1">HYPGEOMDIST(P$50,SampleCalc!$B$15,SampleCalc!$B$9*$Z201,SampleCalc!$B$9)+O201</f>
        <v>0.76854180105020142</v>
      </c>
      <c r="Q201">
        <f ca="1">HYPGEOMDIST(Q$50,SampleCalc!$B$15,SampleCalc!$B$9*$Z201,SampleCalc!$B$9)+P201</f>
        <v>0.86293295963906569</v>
      </c>
      <c r="R201">
        <f ca="1">HYPGEOMDIST(R$50,SampleCalc!$B$15,SampleCalc!$B$9*$Z201,SampleCalc!$B$9)+Q201</f>
        <v>0.92608462139040815</v>
      </c>
      <c r="S201">
        <f ca="1">HYPGEOMDIST(S$50,SampleCalc!$B$15,SampleCalc!$B$9*$Z201,SampleCalc!$B$9)+R201</f>
        <v>0.96372801293512333</v>
      </c>
      <c r="T201">
        <f ca="1">HYPGEOMDIST(T$50,SampleCalc!$B$15,SampleCalc!$B$9*$Z201,SampleCalc!$B$9)+S201</f>
        <v>0.98380448842563817</v>
      </c>
      <c r="U201">
        <f ca="1">HYPGEOMDIST(U$50,SampleCalc!$B$15,SampleCalc!$B$9*$Z201,SampleCalc!$B$9)+T201</f>
        <v>0.99341881410395061</v>
      </c>
      <c r="V201">
        <f ca="1">HYPGEOMDIST(V$50,SampleCalc!$B$15,SampleCalc!$B$9*$Z201,SampleCalc!$B$9)+U201</f>
        <v>0.99756515401912582</v>
      </c>
      <c r="W201">
        <f ca="1">HYPGEOMDIST(W$50,SampleCalc!$B$15,SampleCalc!$B$9*$Z201,SampleCalc!$B$9)+V201</f>
        <v>0.99917947722086742</v>
      </c>
      <c r="X201">
        <f ca="1">HYPGEOMDIST(X$50,SampleCalc!$B$15,SampleCalc!$B$9*$Z201,SampleCalc!$B$9)+W201</f>
        <v>0.99974803242215804</v>
      </c>
      <c r="Y201">
        <f ca="1">HYPGEOMDIST(Y$50,SampleCalc!$B$15,SampleCalc!$B$9*$Z201,SampleCalc!$B$9)+X201</f>
        <v>0.99992946842021702</v>
      </c>
      <c r="Z201">
        <v>0.1</v>
      </c>
    </row>
    <row r="202" spans="5:26">
      <c r="E202">
        <f ca="1">HYPGEOMDIST(E$50,SampleCalc!$B$15,SampleCalc!$B$9*$Z202,SampleCalc!$B$9)</f>
        <v>1.5896432240454182E-5</v>
      </c>
      <c r="F202">
        <f ca="1">HYPGEOMDIST(F$50,SampleCalc!$B$15,SampleCalc!$B$9*$Z202,SampleCalc!$B$9)+E202</f>
        <v>2.2594367173229819E-4</v>
      </c>
      <c r="G202">
        <f ca="1">HYPGEOMDIST(G$50,SampleCalc!$B$15,SampleCalc!$B$9*$Z202,SampleCalc!$B$9)+F202</f>
        <v>1.567421839915505E-3</v>
      </c>
      <c r="H202">
        <f ca="1">HYPGEOMDIST(H$50,SampleCalc!$B$15,SampleCalc!$B$9*$Z202,SampleCalc!$B$9)+G202</f>
        <v>7.0857184386430658E-3</v>
      </c>
      <c r="I202">
        <f ca="1">HYPGEOMDIST(I$50,SampleCalc!$B$15,SampleCalc!$B$9*$Z202,SampleCalc!$B$9)+H202</f>
        <v>2.3525323486941474E-2</v>
      </c>
      <c r="J202">
        <f ca="1">HYPGEOMDIST(J$50,SampleCalc!$B$15,SampleCalc!$B$9*$Z202,SampleCalc!$B$9)+I202</f>
        <v>6.1336415098027799E-2</v>
      </c>
      <c r="K202">
        <f ca="1">HYPGEOMDIST(K$50,SampleCalc!$B$15,SampleCalc!$B$9*$Z202,SampleCalc!$B$9)+J202</f>
        <v>0.13123281898112549</v>
      </c>
      <c r="L202">
        <f ca="1">HYPGEOMDIST(L$50,SampleCalc!$B$15,SampleCalc!$B$9*$Z202,SampleCalc!$B$9)+K202</f>
        <v>0.2379806812650988</v>
      </c>
      <c r="M202">
        <f ca="1">HYPGEOMDIST(M$50,SampleCalc!$B$15,SampleCalc!$B$9*$Z202,SampleCalc!$B$9)+L202</f>
        <v>0.37538547094054386</v>
      </c>
      <c r="N202">
        <f ca="1">HYPGEOMDIST(N$50,SampleCalc!$B$15,SampleCalc!$B$9*$Z202,SampleCalc!$B$9)+M202</f>
        <v>0.52671528814109481</v>
      </c>
      <c r="O202">
        <f ca="1">HYPGEOMDIST(O$50,SampleCalc!$B$15,SampleCalc!$B$9*$Z202,SampleCalc!$B$9)+N202</f>
        <v>0.67099686728025032</v>
      </c>
      <c r="P202">
        <f ca="1">HYPGEOMDIST(P$50,SampleCalc!$B$15,SampleCalc!$B$9*$Z202,SampleCalc!$B$9)+O202</f>
        <v>0.79119567911152877</v>
      </c>
      <c r="Q202">
        <f ca="1">HYPGEOMDIST(Q$50,SampleCalc!$B$15,SampleCalc!$B$9*$Z202,SampleCalc!$B$9)+P202</f>
        <v>0.8793523916944147</v>
      </c>
      <c r="R202">
        <f ca="1">HYPGEOMDIST(R$50,SampleCalc!$B$15,SampleCalc!$B$9*$Z202,SampleCalc!$B$9)+Q202</f>
        <v>0.9366247710229284</v>
      </c>
      <c r="S202">
        <f ca="1">HYPGEOMDIST(S$50,SampleCalc!$B$15,SampleCalc!$B$9*$Z202,SampleCalc!$B$9)+R202</f>
        <v>0.96975095558227786</v>
      </c>
      <c r="T202">
        <f ca="1">HYPGEOMDIST(T$50,SampleCalc!$B$15,SampleCalc!$B$9*$Z202,SampleCalc!$B$9)+S202</f>
        <v>0.9868810726426982</v>
      </c>
      <c r="U202">
        <f ca="1">HYPGEOMDIST(U$50,SampleCalc!$B$15,SampleCalc!$B$9*$Z202,SampleCalc!$B$9)+T202</f>
        <v>0.99482856967511024</v>
      </c>
      <c r="V202">
        <f ca="1">HYPGEOMDIST(V$50,SampleCalc!$B$15,SampleCalc!$B$9*$Z202,SampleCalc!$B$9)+U202</f>
        <v>0.99814631037175283</v>
      </c>
      <c r="W202">
        <f ca="1">HYPGEOMDIST(W$50,SampleCalc!$B$15,SampleCalc!$B$9*$Z202,SampleCalc!$B$9)+V202</f>
        <v>0.99939552819735789</v>
      </c>
      <c r="X202">
        <f ca="1">HYPGEOMDIST(X$50,SampleCalc!$B$15,SampleCalc!$B$9*$Z202,SampleCalc!$B$9)+W202</f>
        <v>0.99982060682138163</v>
      </c>
      <c r="Y202">
        <f ca="1">HYPGEOMDIST(Y$50,SampleCalc!$B$15,SampleCalc!$B$9*$Z202,SampleCalc!$B$9)+X202</f>
        <v>0.99995153103758094</v>
      </c>
      <c r="Z202">
        <v>9.9000000000000005E-2</v>
      </c>
    </row>
    <row r="203" spans="5:26">
      <c r="E203">
        <f ca="1">HYPGEOMDIST(E$50,SampleCalc!$B$15,SampleCalc!$B$9*$Z203,SampleCalc!$B$9)</f>
        <v>1.5896432240454182E-5</v>
      </c>
      <c r="F203">
        <f ca="1">HYPGEOMDIST(F$50,SampleCalc!$B$15,SampleCalc!$B$9*$Z203,SampleCalc!$B$9)+E203</f>
        <v>2.2594367173229819E-4</v>
      </c>
      <c r="G203">
        <f ca="1">HYPGEOMDIST(G$50,SampleCalc!$B$15,SampleCalc!$B$9*$Z203,SampleCalc!$B$9)+F203</f>
        <v>1.567421839915505E-3</v>
      </c>
      <c r="H203">
        <f ca="1">HYPGEOMDIST(H$50,SampleCalc!$B$15,SampleCalc!$B$9*$Z203,SampleCalc!$B$9)+G203</f>
        <v>7.0857184386430658E-3</v>
      </c>
      <c r="I203">
        <f ca="1">HYPGEOMDIST(I$50,SampleCalc!$B$15,SampleCalc!$B$9*$Z203,SampleCalc!$B$9)+H203</f>
        <v>2.3525323486941474E-2</v>
      </c>
      <c r="J203">
        <f ca="1">HYPGEOMDIST(J$50,SampleCalc!$B$15,SampleCalc!$B$9*$Z203,SampleCalc!$B$9)+I203</f>
        <v>6.1336415098027799E-2</v>
      </c>
      <c r="K203">
        <f ca="1">HYPGEOMDIST(K$50,SampleCalc!$B$15,SampleCalc!$B$9*$Z203,SampleCalc!$B$9)+J203</f>
        <v>0.13123281898112549</v>
      </c>
      <c r="L203">
        <f ca="1">HYPGEOMDIST(L$50,SampleCalc!$B$15,SampleCalc!$B$9*$Z203,SampleCalc!$B$9)+K203</f>
        <v>0.2379806812650988</v>
      </c>
      <c r="M203">
        <f ca="1">HYPGEOMDIST(M$50,SampleCalc!$B$15,SampleCalc!$B$9*$Z203,SampleCalc!$B$9)+L203</f>
        <v>0.37538547094054386</v>
      </c>
      <c r="N203">
        <f ca="1">HYPGEOMDIST(N$50,SampleCalc!$B$15,SampleCalc!$B$9*$Z203,SampleCalc!$B$9)+M203</f>
        <v>0.52671528814109481</v>
      </c>
      <c r="O203">
        <f ca="1">HYPGEOMDIST(O$50,SampleCalc!$B$15,SampleCalc!$B$9*$Z203,SampleCalc!$B$9)+N203</f>
        <v>0.67099686728025032</v>
      </c>
      <c r="P203">
        <f ca="1">HYPGEOMDIST(P$50,SampleCalc!$B$15,SampleCalc!$B$9*$Z203,SampleCalc!$B$9)+O203</f>
        <v>0.79119567911152877</v>
      </c>
      <c r="Q203">
        <f ca="1">HYPGEOMDIST(Q$50,SampleCalc!$B$15,SampleCalc!$B$9*$Z203,SampleCalc!$B$9)+P203</f>
        <v>0.8793523916944147</v>
      </c>
      <c r="R203">
        <f ca="1">HYPGEOMDIST(R$50,SampleCalc!$B$15,SampleCalc!$B$9*$Z203,SampleCalc!$B$9)+Q203</f>
        <v>0.9366247710229284</v>
      </c>
      <c r="S203">
        <f ca="1">HYPGEOMDIST(S$50,SampleCalc!$B$15,SampleCalc!$B$9*$Z203,SampleCalc!$B$9)+R203</f>
        <v>0.96975095558227786</v>
      </c>
      <c r="T203">
        <f ca="1">HYPGEOMDIST(T$50,SampleCalc!$B$15,SampleCalc!$B$9*$Z203,SampleCalc!$B$9)+S203</f>
        <v>0.9868810726426982</v>
      </c>
      <c r="U203">
        <f ca="1">HYPGEOMDIST(U$50,SampleCalc!$B$15,SampleCalc!$B$9*$Z203,SampleCalc!$B$9)+T203</f>
        <v>0.99482856967511024</v>
      </c>
      <c r="V203">
        <f ca="1">HYPGEOMDIST(V$50,SampleCalc!$B$15,SampleCalc!$B$9*$Z203,SampleCalc!$B$9)+U203</f>
        <v>0.99814631037175283</v>
      </c>
      <c r="W203">
        <f ca="1">HYPGEOMDIST(W$50,SampleCalc!$B$15,SampleCalc!$B$9*$Z203,SampleCalc!$B$9)+V203</f>
        <v>0.99939552819735789</v>
      </c>
      <c r="X203">
        <f ca="1">HYPGEOMDIST(X$50,SampleCalc!$B$15,SampleCalc!$B$9*$Z203,SampleCalc!$B$9)+W203</f>
        <v>0.99982060682138163</v>
      </c>
      <c r="Y203">
        <f ca="1">HYPGEOMDIST(Y$50,SampleCalc!$B$15,SampleCalc!$B$9*$Z203,SampleCalc!$B$9)+X203</f>
        <v>0.99995153103758094</v>
      </c>
      <c r="Z203">
        <v>9.8000000000000004E-2</v>
      </c>
    </row>
    <row r="204" spans="5:26">
      <c r="E204">
        <f ca="1">HYPGEOMDIST(E$50,SampleCalc!$B$15,SampleCalc!$B$9*$Z204,SampleCalc!$B$9)</f>
        <v>2.018311059743059E-5</v>
      </c>
      <c r="F204">
        <f ca="1">HYPGEOMDIST(F$50,SampleCalc!$B$15,SampleCalc!$B$9*$Z204,SampleCalc!$B$9)+E204</f>
        <v>2.8069788267855178E-4</v>
      </c>
      <c r="G204">
        <f ca="1">HYPGEOMDIST(G$50,SampleCalc!$B$15,SampleCalc!$B$9*$Z204,SampleCalc!$B$9)+F204</f>
        <v>1.9052767337151503E-3</v>
      </c>
      <c r="H204">
        <f ca="1">HYPGEOMDIST(H$50,SampleCalc!$B$15,SampleCalc!$B$9*$Z204,SampleCalc!$B$9)+G204</f>
        <v>8.4277270140143655E-3</v>
      </c>
      <c r="I204">
        <f ca="1">HYPGEOMDIST(I$50,SampleCalc!$B$15,SampleCalc!$B$9*$Z204,SampleCalc!$B$9)+H204</f>
        <v>2.7383598141133954E-2</v>
      </c>
      <c r="J204">
        <f ca="1">HYPGEOMDIST(J$50,SampleCalc!$B$15,SampleCalc!$B$9*$Z204,SampleCalc!$B$9)+I204</f>
        <v>6.9895158430651999E-2</v>
      </c>
      <c r="K204">
        <f ca="1">HYPGEOMDIST(K$50,SampleCalc!$B$15,SampleCalc!$B$9*$Z204,SampleCalc!$B$9)+J204</f>
        <v>0.14648251359312175</v>
      </c>
      <c r="L204">
        <f ca="1">HYPGEOMDIST(L$50,SampleCalc!$B$15,SampleCalc!$B$9*$Z204,SampleCalc!$B$9)+K204</f>
        <v>0.26041411631415112</v>
      </c>
      <c r="M204">
        <f ca="1">HYPGEOMDIST(M$50,SampleCalc!$B$15,SampleCalc!$B$9*$Z204,SampleCalc!$B$9)+L204</f>
        <v>0.4031807434875837</v>
      </c>
      <c r="N204">
        <f ca="1">HYPGEOMDIST(N$50,SampleCalc!$B$15,SampleCalc!$B$9*$Z204,SampleCalc!$B$9)+M204</f>
        <v>0.55616050837357556</v>
      </c>
      <c r="O204">
        <f ca="1">HYPGEOMDIST(O$50,SampleCalc!$B$15,SampleCalc!$B$9*$Z204,SampleCalc!$B$9)+N204</f>
        <v>0.69798027401788421</v>
      </c>
      <c r="P204">
        <f ca="1">HYPGEOMDIST(P$50,SampleCalc!$B$15,SampleCalc!$B$9*$Z204,SampleCalc!$B$9)+O204</f>
        <v>0.8127850781114192</v>
      </c>
      <c r="Q204">
        <f ca="1">HYPGEOMDIST(Q$50,SampleCalc!$B$15,SampleCalc!$B$9*$Z204,SampleCalc!$B$9)+P204</f>
        <v>0.89454710457748976</v>
      </c>
      <c r="R204">
        <f ca="1">HYPGEOMDIST(R$50,SampleCalc!$B$15,SampleCalc!$B$9*$Z204,SampleCalc!$B$9)+Q204</f>
        <v>0.9460893951827426</v>
      </c>
      <c r="S204">
        <f ca="1">HYPGEOMDIST(S$50,SampleCalc!$B$15,SampleCalc!$B$9*$Z204,SampleCalc!$B$9)+R204</f>
        <v>0.97499486896812082</v>
      </c>
      <c r="T204">
        <f ca="1">HYPGEOMDIST(T$50,SampleCalc!$B$15,SampleCalc!$B$9*$Z204,SampleCalc!$B$9)+S204</f>
        <v>0.98947617371450614</v>
      </c>
      <c r="U204">
        <f ca="1">HYPGEOMDIST(U$50,SampleCalc!$B$15,SampleCalc!$B$9*$Z204,SampleCalc!$B$9)+T204</f>
        <v>0.99597962256986372</v>
      </c>
      <c r="V204">
        <f ca="1">HYPGEOMDIST(V$50,SampleCalc!$B$15,SampleCalc!$B$9*$Z204,SampleCalc!$B$9)+U204</f>
        <v>0.99860520671585262</v>
      </c>
      <c r="W204">
        <f ca="1">HYPGEOMDIST(W$50,SampleCalc!$B$15,SampleCalc!$B$9*$Z204,SampleCalc!$B$9)+V204</f>
        <v>0.99956035460259163</v>
      </c>
      <c r="X204">
        <f ca="1">HYPGEOMDIST(X$50,SampleCalc!$B$15,SampleCalc!$B$9*$Z204,SampleCalc!$B$9)+W204</f>
        <v>0.99987404527697321</v>
      </c>
      <c r="Y204">
        <f ca="1">HYPGEOMDIST(Y$50,SampleCalc!$B$15,SampleCalc!$B$9*$Z204,SampleCalc!$B$9)+X204</f>
        <v>0.99996719305302295</v>
      </c>
      <c r="Z204">
        <v>9.7000000000000003E-2</v>
      </c>
    </row>
    <row r="205" spans="5:26">
      <c r="E205">
        <f ca="1">HYPGEOMDIST(E$50,SampleCalc!$B$15,SampleCalc!$B$9*$Z205,SampleCalc!$B$9)</f>
        <v>2.018311059743059E-5</v>
      </c>
      <c r="F205">
        <f ca="1">HYPGEOMDIST(F$50,SampleCalc!$B$15,SampleCalc!$B$9*$Z205,SampleCalc!$B$9)+E205</f>
        <v>2.8069788267855178E-4</v>
      </c>
      <c r="G205">
        <f ca="1">HYPGEOMDIST(G$50,SampleCalc!$B$15,SampleCalc!$B$9*$Z205,SampleCalc!$B$9)+F205</f>
        <v>1.9052767337151503E-3</v>
      </c>
      <c r="H205">
        <f ca="1">HYPGEOMDIST(H$50,SampleCalc!$B$15,SampleCalc!$B$9*$Z205,SampleCalc!$B$9)+G205</f>
        <v>8.4277270140143655E-3</v>
      </c>
      <c r="I205">
        <f ca="1">HYPGEOMDIST(I$50,SampleCalc!$B$15,SampleCalc!$B$9*$Z205,SampleCalc!$B$9)+H205</f>
        <v>2.7383598141133954E-2</v>
      </c>
      <c r="J205">
        <f ca="1">HYPGEOMDIST(J$50,SampleCalc!$B$15,SampleCalc!$B$9*$Z205,SampleCalc!$B$9)+I205</f>
        <v>6.9895158430651999E-2</v>
      </c>
      <c r="K205">
        <f ca="1">HYPGEOMDIST(K$50,SampleCalc!$B$15,SampleCalc!$B$9*$Z205,SampleCalc!$B$9)+J205</f>
        <v>0.14648251359312175</v>
      </c>
      <c r="L205">
        <f ca="1">HYPGEOMDIST(L$50,SampleCalc!$B$15,SampleCalc!$B$9*$Z205,SampleCalc!$B$9)+K205</f>
        <v>0.26041411631415112</v>
      </c>
      <c r="M205">
        <f ca="1">HYPGEOMDIST(M$50,SampleCalc!$B$15,SampleCalc!$B$9*$Z205,SampleCalc!$B$9)+L205</f>
        <v>0.4031807434875837</v>
      </c>
      <c r="N205">
        <f ca="1">HYPGEOMDIST(N$50,SampleCalc!$B$15,SampleCalc!$B$9*$Z205,SampleCalc!$B$9)+M205</f>
        <v>0.55616050837357556</v>
      </c>
      <c r="O205">
        <f ca="1">HYPGEOMDIST(O$50,SampleCalc!$B$15,SampleCalc!$B$9*$Z205,SampleCalc!$B$9)+N205</f>
        <v>0.69798027401788421</v>
      </c>
      <c r="P205">
        <f ca="1">HYPGEOMDIST(P$50,SampleCalc!$B$15,SampleCalc!$B$9*$Z205,SampleCalc!$B$9)+O205</f>
        <v>0.8127850781114192</v>
      </c>
      <c r="Q205">
        <f ca="1">HYPGEOMDIST(Q$50,SampleCalc!$B$15,SampleCalc!$B$9*$Z205,SampleCalc!$B$9)+P205</f>
        <v>0.89454710457748976</v>
      </c>
      <c r="R205">
        <f ca="1">HYPGEOMDIST(R$50,SampleCalc!$B$15,SampleCalc!$B$9*$Z205,SampleCalc!$B$9)+Q205</f>
        <v>0.9460893951827426</v>
      </c>
      <c r="S205">
        <f ca="1">HYPGEOMDIST(S$50,SampleCalc!$B$15,SampleCalc!$B$9*$Z205,SampleCalc!$B$9)+R205</f>
        <v>0.97499486896812082</v>
      </c>
      <c r="T205">
        <f ca="1">HYPGEOMDIST(T$50,SampleCalc!$B$15,SampleCalc!$B$9*$Z205,SampleCalc!$B$9)+S205</f>
        <v>0.98947617371450614</v>
      </c>
      <c r="U205">
        <f ca="1">HYPGEOMDIST(U$50,SampleCalc!$B$15,SampleCalc!$B$9*$Z205,SampleCalc!$B$9)+T205</f>
        <v>0.99597962256986372</v>
      </c>
      <c r="V205">
        <f ca="1">HYPGEOMDIST(V$50,SampleCalc!$B$15,SampleCalc!$B$9*$Z205,SampleCalc!$B$9)+U205</f>
        <v>0.99860520671585262</v>
      </c>
      <c r="W205">
        <f ca="1">HYPGEOMDIST(W$50,SampleCalc!$B$15,SampleCalc!$B$9*$Z205,SampleCalc!$B$9)+V205</f>
        <v>0.99956035460259163</v>
      </c>
      <c r="X205">
        <f ca="1">HYPGEOMDIST(X$50,SampleCalc!$B$15,SampleCalc!$B$9*$Z205,SampleCalc!$B$9)+W205</f>
        <v>0.99987404527697321</v>
      </c>
      <c r="Y205">
        <f ca="1">HYPGEOMDIST(Y$50,SampleCalc!$B$15,SampleCalc!$B$9*$Z205,SampleCalc!$B$9)+X205</f>
        <v>0.99996719305302295</v>
      </c>
      <c r="Z205">
        <v>9.6000000000000002E-2</v>
      </c>
    </row>
    <row r="206" spans="5:26">
      <c r="E206">
        <f ca="1">HYPGEOMDIST(E$50,SampleCalc!$B$15,SampleCalc!$B$9*$Z206,SampleCalc!$B$9)</f>
        <v>2.5610501682453969E-5</v>
      </c>
      <c r="F206">
        <f ca="1">HYPGEOMDIST(F$50,SampleCalc!$B$15,SampleCalc!$B$9*$Z206,SampleCalc!$B$9)+E206</f>
        <v>3.4838866813840966E-4</v>
      </c>
      <c r="G206">
        <f ca="1">HYPGEOMDIST(G$50,SampleCalc!$B$15,SampleCalc!$B$9*$Z206,SampleCalc!$B$9)+F206</f>
        <v>2.3129298762338511E-3</v>
      </c>
      <c r="H206">
        <f ca="1">HYPGEOMDIST(H$50,SampleCalc!$B$15,SampleCalc!$B$9*$Z206,SampleCalc!$B$9)+G206</f>
        <v>1.0007382941274331E-2</v>
      </c>
      <c r="I206">
        <f ca="1">HYPGEOMDIST(I$50,SampleCalc!$B$15,SampleCalc!$B$9*$Z206,SampleCalc!$B$9)+H206</f>
        <v>3.1811885671292076E-2</v>
      </c>
      <c r="J206">
        <f ca="1">HYPGEOMDIST(J$50,SampleCalc!$B$15,SampleCalc!$B$9*$Z206,SampleCalc!$B$9)+I206</f>
        <v>7.9468577825960757E-2</v>
      </c>
      <c r="K206">
        <f ca="1">HYPGEOMDIST(K$50,SampleCalc!$B$15,SampleCalc!$B$9*$Z206,SampleCalc!$B$9)+J206</f>
        <v>0.16309753898993859</v>
      </c>
      <c r="L206">
        <f ca="1">HYPGEOMDIST(L$50,SampleCalc!$B$15,SampleCalc!$B$9*$Z206,SampleCalc!$B$9)+K206</f>
        <v>0.28420855417638979</v>
      </c>
      <c r="M206">
        <f ca="1">HYPGEOMDIST(M$50,SampleCalc!$B$15,SampleCalc!$B$9*$Z206,SampleCalc!$B$9)+L206</f>
        <v>0.43186444940370716</v>
      </c>
      <c r="N206">
        <f ca="1">HYPGEOMDIST(N$50,SampleCalc!$B$15,SampleCalc!$B$9*$Z206,SampleCalc!$B$9)+M206</f>
        <v>0.58570629288280629</v>
      </c>
      <c r="O206">
        <f ca="1">HYPGEOMDIST(O$50,SampleCalc!$B$15,SampleCalc!$B$9*$Z206,SampleCalc!$B$9)+N206</f>
        <v>0.72428970828931916</v>
      </c>
      <c r="P206">
        <f ca="1">HYPGEOMDIST(P$50,SampleCalc!$B$15,SampleCalc!$B$9*$Z206,SampleCalc!$B$9)+O206</f>
        <v>0.83322558472793673</v>
      </c>
      <c r="Q206">
        <f ca="1">HYPGEOMDIST(Q$50,SampleCalc!$B$15,SampleCalc!$B$9*$Z206,SampleCalc!$B$9)+P206</f>
        <v>0.90850647494974568</v>
      </c>
      <c r="R206">
        <f ca="1">HYPGEOMDIST(R$50,SampleCalc!$B$15,SampleCalc!$B$9*$Z206,SampleCalc!$B$9)+Q206</f>
        <v>0.95452015837014448</v>
      </c>
      <c r="S206">
        <f ca="1">HYPGEOMDIST(S$50,SampleCalc!$B$15,SampleCalc!$B$9*$Z206,SampleCalc!$B$9)+R206</f>
        <v>0.97952027670136621</v>
      </c>
      <c r="T206">
        <f ca="1">HYPGEOMDIST(T$50,SampleCalc!$B$15,SampleCalc!$B$9*$Z206,SampleCalc!$B$9)+S206</f>
        <v>0.99164398999962533</v>
      </c>
      <c r="U206">
        <f ca="1">HYPGEOMDIST(U$50,SampleCalc!$B$15,SampleCalc!$B$9*$Z206,SampleCalc!$B$9)+T206</f>
        <v>0.99690951695490138</v>
      </c>
      <c r="V206">
        <f ca="1">HYPGEOMDIST(V$50,SampleCalc!$B$15,SampleCalc!$B$9*$Z206,SampleCalc!$B$9)+U206</f>
        <v>0.99896338717337962</v>
      </c>
      <c r="W206">
        <f ca="1">HYPGEOMDIST(W$50,SampleCalc!$B$15,SampleCalc!$B$9*$Z206,SampleCalc!$B$9)+V206</f>
        <v>0.99968452382786754</v>
      </c>
      <c r="X206">
        <f ca="1">HYPGEOMDIST(X$50,SampleCalc!$B$15,SampleCalc!$B$9*$Z206,SampleCalc!$B$9)+W206</f>
        <v>0.99991285685032716</v>
      </c>
      <c r="Y206">
        <f ca="1">HYPGEOMDIST(Y$50,SampleCalc!$B$15,SampleCalc!$B$9*$Z206,SampleCalc!$B$9)+X206</f>
        <v>0.99997814677027719</v>
      </c>
      <c r="Z206">
        <v>9.5000000000000001E-2</v>
      </c>
    </row>
    <row r="207" spans="5:26">
      <c r="E207">
        <f ca="1">HYPGEOMDIST(E$50,SampleCalc!$B$15,SampleCalc!$B$9*$Z207,SampleCalc!$B$9)</f>
        <v>2.5610501682453969E-5</v>
      </c>
      <c r="F207">
        <f ca="1">HYPGEOMDIST(F$50,SampleCalc!$B$15,SampleCalc!$B$9*$Z207,SampleCalc!$B$9)+E207</f>
        <v>3.4838866813840966E-4</v>
      </c>
      <c r="G207">
        <f ca="1">HYPGEOMDIST(G$50,SampleCalc!$B$15,SampleCalc!$B$9*$Z207,SampleCalc!$B$9)+F207</f>
        <v>2.3129298762338511E-3</v>
      </c>
      <c r="H207">
        <f ca="1">HYPGEOMDIST(H$50,SampleCalc!$B$15,SampleCalc!$B$9*$Z207,SampleCalc!$B$9)+G207</f>
        <v>1.0007382941274331E-2</v>
      </c>
      <c r="I207">
        <f ca="1">HYPGEOMDIST(I$50,SampleCalc!$B$15,SampleCalc!$B$9*$Z207,SampleCalc!$B$9)+H207</f>
        <v>3.1811885671292076E-2</v>
      </c>
      <c r="J207">
        <f ca="1">HYPGEOMDIST(J$50,SampleCalc!$B$15,SampleCalc!$B$9*$Z207,SampleCalc!$B$9)+I207</f>
        <v>7.9468577825960757E-2</v>
      </c>
      <c r="K207">
        <f ca="1">HYPGEOMDIST(K$50,SampleCalc!$B$15,SampleCalc!$B$9*$Z207,SampleCalc!$B$9)+J207</f>
        <v>0.16309753898993859</v>
      </c>
      <c r="L207">
        <f ca="1">HYPGEOMDIST(L$50,SampleCalc!$B$15,SampleCalc!$B$9*$Z207,SampleCalc!$B$9)+K207</f>
        <v>0.28420855417638979</v>
      </c>
      <c r="M207">
        <f ca="1">HYPGEOMDIST(M$50,SampleCalc!$B$15,SampleCalc!$B$9*$Z207,SampleCalc!$B$9)+L207</f>
        <v>0.43186444940370716</v>
      </c>
      <c r="N207">
        <f ca="1">HYPGEOMDIST(N$50,SampleCalc!$B$15,SampleCalc!$B$9*$Z207,SampleCalc!$B$9)+M207</f>
        <v>0.58570629288280629</v>
      </c>
      <c r="O207">
        <f ca="1">HYPGEOMDIST(O$50,SampleCalc!$B$15,SampleCalc!$B$9*$Z207,SampleCalc!$B$9)+N207</f>
        <v>0.72428970828931916</v>
      </c>
      <c r="P207">
        <f ca="1">HYPGEOMDIST(P$50,SampleCalc!$B$15,SampleCalc!$B$9*$Z207,SampleCalc!$B$9)+O207</f>
        <v>0.83322558472793673</v>
      </c>
      <c r="Q207">
        <f ca="1">HYPGEOMDIST(Q$50,SampleCalc!$B$15,SampleCalc!$B$9*$Z207,SampleCalc!$B$9)+P207</f>
        <v>0.90850647494974568</v>
      </c>
      <c r="R207">
        <f ca="1">HYPGEOMDIST(R$50,SampleCalc!$B$15,SampleCalc!$B$9*$Z207,SampleCalc!$B$9)+Q207</f>
        <v>0.95452015837014448</v>
      </c>
      <c r="S207">
        <f ca="1">HYPGEOMDIST(S$50,SampleCalc!$B$15,SampleCalc!$B$9*$Z207,SampleCalc!$B$9)+R207</f>
        <v>0.97952027670136621</v>
      </c>
      <c r="T207">
        <f ca="1">HYPGEOMDIST(T$50,SampleCalc!$B$15,SampleCalc!$B$9*$Z207,SampleCalc!$B$9)+S207</f>
        <v>0.99164398999962533</v>
      </c>
      <c r="U207">
        <f ca="1">HYPGEOMDIST(U$50,SampleCalc!$B$15,SampleCalc!$B$9*$Z207,SampleCalc!$B$9)+T207</f>
        <v>0.99690951695490138</v>
      </c>
      <c r="V207">
        <f ca="1">HYPGEOMDIST(V$50,SampleCalc!$B$15,SampleCalc!$B$9*$Z207,SampleCalc!$B$9)+U207</f>
        <v>0.99896338717337962</v>
      </c>
      <c r="W207">
        <f ca="1">HYPGEOMDIST(W$50,SampleCalc!$B$15,SampleCalc!$B$9*$Z207,SampleCalc!$B$9)+V207</f>
        <v>0.99968452382786754</v>
      </c>
      <c r="X207">
        <f ca="1">HYPGEOMDIST(X$50,SampleCalc!$B$15,SampleCalc!$B$9*$Z207,SampleCalc!$B$9)+W207</f>
        <v>0.99991285685032716</v>
      </c>
      <c r="Y207">
        <f ca="1">HYPGEOMDIST(Y$50,SampleCalc!$B$15,SampleCalc!$B$9*$Z207,SampleCalc!$B$9)+X207</f>
        <v>0.99997814677027719</v>
      </c>
      <c r="Z207">
        <v>9.4E-2</v>
      </c>
    </row>
    <row r="208" spans="5:26">
      <c r="E208">
        <f ca="1">HYPGEOMDIST(E$50,SampleCalc!$B$15,SampleCalc!$B$9*$Z208,SampleCalc!$B$9)</f>
        <v>3.2478122245346607E-5</v>
      </c>
      <c r="F208">
        <f ca="1">HYPGEOMDIST(F$50,SampleCalc!$B$15,SampleCalc!$B$9*$Z208,SampleCalc!$B$9)+E208</f>
        <v>4.3198616635523707E-4</v>
      </c>
      <c r="G208">
        <f ca="1">HYPGEOMDIST(G$50,SampleCalc!$B$15,SampleCalc!$B$9*$Z208,SampleCalc!$B$9)+F208</f>
        <v>2.8040651782577117E-3</v>
      </c>
      <c r="H208">
        <f ca="1">HYPGEOMDIST(H$50,SampleCalc!$B$15,SampleCalc!$B$9*$Z208,SampleCalc!$B$9)+G208</f>
        <v>1.1863085301275838E-2</v>
      </c>
      <c r="I208">
        <f ca="1">HYPGEOMDIST(I$50,SampleCalc!$B$15,SampleCalc!$B$9*$Z208,SampleCalc!$B$9)+H208</f>
        <v>3.6881746538810052E-2</v>
      </c>
      <c r="J208">
        <f ca="1">HYPGEOMDIST(J$50,SampleCalc!$B$15,SampleCalc!$B$9*$Z208,SampleCalc!$B$9)+I208</f>
        <v>9.014461542136222E-2</v>
      </c>
      <c r="K208">
        <f ca="1">HYPGEOMDIST(K$50,SampleCalc!$B$15,SampleCalc!$B$9*$Z208,SampleCalc!$B$9)+J208</f>
        <v>0.18113534976238871</v>
      </c>
      <c r="L208">
        <f ca="1">HYPGEOMDIST(L$50,SampleCalc!$B$15,SampleCalc!$B$9*$Z208,SampleCalc!$B$9)+K208</f>
        <v>0.30934147251295452</v>
      </c>
      <c r="M208">
        <f ca="1">HYPGEOMDIST(M$50,SampleCalc!$B$15,SampleCalc!$B$9*$Z208,SampleCalc!$B$9)+L208</f>
        <v>0.46132352581459846</v>
      </c>
      <c r="N208">
        <f ca="1">HYPGEOMDIST(N$50,SampleCalc!$B$15,SampleCalc!$B$9*$Z208,SampleCalc!$B$9)+M208</f>
        <v>0.61519212594802186</v>
      </c>
      <c r="O208">
        <f ca="1">HYPGEOMDIST(O$50,SampleCalc!$B$15,SampleCalc!$B$9*$Z208,SampleCalc!$B$9)+N208</f>
        <v>0.74978533894516586</v>
      </c>
      <c r="P208">
        <f ca="1">HYPGEOMDIST(P$50,SampleCalc!$B$15,SampleCalc!$B$9*$Z208,SampleCalc!$B$9)+O208</f>
        <v>0.8524462375505264</v>
      </c>
      <c r="Q208">
        <f ca="1">HYPGEOMDIST(Q$50,SampleCalc!$B$15,SampleCalc!$B$9*$Z208,SampleCalc!$B$9)+P208</f>
        <v>0.92123366398091999</v>
      </c>
      <c r="R208">
        <f ca="1">HYPGEOMDIST(R$50,SampleCalc!$B$15,SampleCalc!$B$9*$Z208,SampleCalc!$B$9)+Q208</f>
        <v>0.96196700212838093</v>
      </c>
      <c r="S208">
        <f ca="1">HYPGEOMDIST(S$50,SampleCalc!$B$15,SampleCalc!$B$9*$Z208,SampleCalc!$B$9)+R208</f>
        <v>0.98338954690293845</v>
      </c>
      <c r="T208">
        <f ca="1">HYPGEOMDIST(T$50,SampleCalc!$B$15,SampleCalc!$B$9*$Z208,SampleCalc!$B$9)+S208</f>
        <v>0.99343650981418763</v>
      </c>
      <c r="U208">
        <f ca="1">HYPGEOMDIST(U$50,SampleCalc!$B$15,SampleCalc!$B$9*$Z208,SampleCalc!$B$9)+T208</f>
        <v>0.99765240618286188</v>
      </c>
      <c r="V208">
        <f ca="1">HYPGEOMDIST(V$50,SampleCalc!$B$15,SampleCalc!$B$9*$Z208,SampleCalc!$B$9)+U208</f>
        <v>0.99923956716871576</v>
      </c>
      <c r="W208">
        <f ca="1">HYPGEOMDIST(W$50,SampleCalc!$B$15,SampleCalc!$B$9*$Z208,SampleCalc!$B$9)+V208</f>
        <v>0.99977682866673456</v>
      </c>
      <c r="X208">
        <f ca="1">HYPGEOMDIST(X$50,SampleCalc!$B$15,SampleCalc!$B$9*$Z208,SampleCalc!$B$9)+W208</f>
        <v>0.99994063979498715</v>
      </c>
      <c r="Y208">
        <f ca="1">HYPGEOMDIST(Y$50,SampleCalc!$B$15,SampleCalc!$B$9*$Z208,SampleCalc!$B$9)+X208</f>
        <v>0.99998568785525666</v>
      </c>
      <c r="Z208">
        <v>9.2999999999999999E-2</v>
      </c>
    </row>
    <row r="209" spans="5:26">
      <c r="E209">
        <f ca="1">HYPGEOMDIST(E$50,SampleCalc!$B$15,SampleCalc!$B$9*$Z209,SampleCalc!$B$9)</f>
        <v>3.2478122245346607E-5</v>
      </c>
      <c r="F209">
        <f ca="1">HYPGEOMDIST(F$50,SampleCalc!$B$15,SampleCalc!$B$9*$Z209,SampleCalc!$B$9)+E209</f>
        <v>4.3198616635523707E-4</v>
      </c>
      <c r="G209">
        <f ca="1">HYPGEOMDIST(G$50,SampleCalc!$B$15,SampleCalc!$B$9*$Z209,SampleCalc!$B$9)+F209</f>
        <v>2.8040651782577117E-3</v>
      </c>
      <c r="H209">
        <f ca="1">HYPGEOMDIST(H$50,SampleCalc!$B$15,SampleCalc!$B$9*$Z209,SampleCalc!$B$9)+G209</f>
        <v>1.1863085301275838E-2</v>
      </c>
      <c r="I209">
        <f ca="1">HYPGEOMDIST(I$50,SampleCalc!$B$15,SampleCalc!$B$9*$Z209,SampleCalc!$B$9)+H209</f>
        <v>3.6881746538810052E-2</v>
      </c>
      <c r="J209">
        <f ca="1">HYPGEOMDIST(J$50,SampleCalc!$B$15,SampleCalc!$B$9*$Z209,SampleCalc!$B$9)+I209</f>
        <v>9.014461542136222E-2</v>
      </c>
      <c r="K209">
        <f ca="1">HYPGEOMDIST(K$50,SampleCalc!$B$15,SampleCalc!$B$9*$Z209,SampleCalc!$B$9)+J209</f>
        <v>0.18113534976238871</v>
      </c>
      <c r="L209">
        <f ca="1">HYPGEOMDIST(L$50,SampleCalc!$B$15,SampleCalc!$B$9*$Z209,SampleCalc!$B$9)+K209</f>
        <v>0.30934147251295452</v>
      </c>
      <c r="M209">
        <f ca="1">HYPGEOMDIST(M$50,SampleCalc!$B$15,SampleCalc!$B$9*$Z209,SampleCalc!$B$9)+L209</f>
        <v>0.46132352581459846</v>
      </c>
      <c r="N209">
        <f ca="1">HYPGEOMDIST(N$50,SampleCalc!$B$15,SampleCalc!$B$9*$Z209,SampleCalc!$B$9)+M209</f>
        <v>0.61519212594802186</v>
      </c>
      <c r="O209">
        <f ca="1">HYPGEOMDIST(O$50,SampleCalc!$B$15,SampleCalc!$B$9*$Z209,SampleCalc!$B$9)+N209</f>
        <v>0.74978533894516586</v>
      </c>
      <c r="P209">
        <f ca="1">HYPGEOMDIST(P$50,SampleCalc!$B$15,SampleCalc!$B$9*$Z209,SampleCalc!$B$9)+O209</f>
        <v>0.8524462375505264</v>
      </c>
      <c r="Q209">
        <f ca="1">HYPGEOMDIST(Q$50,SampleCalc!$B$15,SampleCalc!$B$9*$Z209,SampleCalc!$B$9)+P209</f>
        <v>0.92123366398091999</v>
      </c>
      <c r="R209">
        <f ca="1">HYPGEOMDIST(R$50,SampleCalc!$B$15,SampleCalc!$B$9*$Z209,SampleCalc!$B$9)+Q209</f>
        <v>0.96196700212838093</v>
      </c>
      <c r="S209">
        <f ca="1">HYPGEOMDIST(S$50,SampleCalc!$B$15,SampleCalc!$B$9*$Z209,SampleCalc!$B$9)+R209</f>
        <v>0.98338954690293845</v>
      </c>
      <c r="T209">
        <f ca="1">HYPGEOMDIST(T$50,SampleCalc!$B$15,SampleCalc!$B$9*$Z209,SampleCalc!$B$9)+S209</f>
        <v>0.99343650981418763</v>
      </c>
      <c r="U209">
        <f ca="1">HYPGEOMDIST(U$50,SampleCalc!$B$15,SampleCalc!$B$9*$Z209,SampleCalc!$B$9)+T209</f>
        <v>0.99765240618286188</v>
      </c>
      <c r="V209">
        <f ca="1">HYPGEOMDIST(V$50,SampleCalc!$B$15,SampleCalc!$B$9*$Z209,SampleCalc!$B$9)+U209</f>
        <v>0.99923956716871576</v>
      </c>
      <c r="W209">
        <f ca="1">HYPGEOMDIST(W$50,SampleCalc!$B$15,SampleCalc!$B$9*$Z209,SampleCalc!$B$9)+V209</f>
        <v>0.99977682866673456</v>
      </c>
      <c r="X209">
        <f ca="1">HYPGEOMDIST(X$50,SampleCalc!$B$15,SampleCalc!$B$9*$Z209,SampleCalc!$B$9)+W209</f>
        <v>0.99994063979498715</v>
      </c>
      <c r="Y209">
        <f ca="1">HYPGEOMDIST(Y$50,SampleCalc!$B$15,SampleCalc!$B$9*$Z209,SampleCalc!$B$9)+X209</f>
        <v>0.99998568785525666</v>
      </c>
      <c r="Z209">
        <v>9.1999999999999998E-2</v>
      </c>
    </row>
    <row r="210" spans="5:26">
      <c r="E210">
        <f ca="1">HYPGEOMDIST(E$50,SampleCalc!$B$15,SampleCalc!$B$9*$Z210,SampleCalc!$B$9)</f>
        <v>4.116307972599642E-5</v>
      </c>
      <c r="F210">
        <f ca="1">HYPGEOMDIST(F$50,SampleCalc!$B$15,SampleCalc!$B$9*$Z210,SampleCalc!$B$9)+E210</f>
        <v>5.3512003643795328E-4</v>
      </c>
      <c r="G210">
        <f ca="1">HYPGEOMDIST(G$50,SampleCalc!$B$15,SampleCalc!$B$9*$Z210,SampleCalc!$B$9)+F210</f>
        <v>3.3948708384545449E-3</v>
      </c>
      <c r="H210">
        <f ca="1">HYPGEOMDIST(H$50,SampleCalc!$B$15,SampleCalc!$B$9*$Z210,SampleCalc!$B$9)+G210</f>
        <v>1.4038621061061431E-2</v>
      </c>
      <c r="I210">
        <f ca="1">HYPGEOMDIST(I$50,SampleCalc!$B$15,SampleCalc!$B$9*$Z210,SampleCalc!$B$9)+H210</f>
        <v>4.2671188808652685E-2</v>
      </c>
      <c r="J210">
        <f ca="1">HYPGEOMDIST(J$50,SampleCalc!$B$15,SampleCalc!$B$9*$Z210,SampleCalc!$B$9)+I210</f>
        <v>0.10201297207453952</v>
      </c>
      <c r="K210">
        <f ca="1">HYPGEOMDIST(K$50,SampleCalc!$B$15,SampleCalc!$B$9*$Z210,SampleCalc!$B$9)+J210</f>
        <v>0.20064497713747478</v>
      </c>
      <c r="L210">
        <f ca="1">HYPGEOMDIST(L$50,SampleCalc!$B$15,SampleCalc!$B$9*$Z210,SampleCalc!$B$9)+K210</f>
        <v>0.33577313395671848</v>
      </c>
      <c r="M210">
        <f ca="1">HYPGEOMDIST(M$50,SampleCalc!$B$15,SampleCalc!$B$9*$Z210,SampleCalc!$B$9)+L210</f>
        <v>0.49142825192765938</v>
      </c>
      <c r="N210">
        <f ca="1">HYPGEOMDIST(N$50,SampleCalc!$B$15,SampleCalc!$B$9*$Z210,SampleCalc!$B$9)+M210</f>
        <v>0.64445152007783557</v>
      </c>
      <c r="O210">
        <f ca="1">HYPGEOMDIST(O$50,SampleCalc!$B$15,SampleCalc!$B$9*$Z210,SampleCalc!$B$9)+N210</f>
        <v>0.77433468426383889</v>
      </c>
      <c r="P210">
        <f ca="1">HYPGEOMDIST(P$50,SampleCalc!$B$15,SampleCalc!$B$9*$Z210,SampleCalc!$B$9)+O210</f>
        <v>0.87039078357584632</v>
      </c>
      <c r="Q210">
        <f ca="1">HYPGEOMDIST(Q$50,SampleCalc!$B$15,SampleCalc!$B$9*$Z210,SampleCalc!$B$9)+P210</f>
        <v>0.93274525954433263</v>
      </c>
      <c r="R210">
        <f ca="1">HYPGEOMDIST(R$50,SampleCalc!$B$15,SampleCalc!$B$9*$Z210,SampleCalc!$B$9)+Q210</f>
        <v>0.9684869070597677</v>
      </c>
      <c r="S210">
        <f ca="1">HYPGEOMDIST(S$50,SampleCalc!$B$15,SampleCalc!$B$9*$Z210,SampleCalc!$B$9)+R210</f>
        <v>0.98666573046095418</v>
      </c>
      <c r="T210">
        <f ca="1">HYPGEOMDIST(T$50,SampleCalc!$B$15,SampleCalc!$B$9*$Z210,SampleCalc!$B$9)+S210</f>
        <v>0.9949029085511174</v>
      </c>
      <c r="U210">
        <f ca="1">HYPGEOMDIST(U$50,SampleCalc!$B$15,SampleCalc!$B$9*$Z210,SampleCalc!$B$9)+T210</f>
        <v>0.99823896567763348</v>
      </c>
      <c r="V210">
        <f ca="1">HYPGEOMDIST(V$50,SampleCalc!$B$15,SampleCalc!$B$9*$Z210,SampleCalc!$B$9)+U210</f>
        <v>0.99944979992880956</v>
      </c>
      <c r="W210">
        <f ca="1">HYPGEOMDIST(W$50,SampleCalc!$B$15,SampleCalc!$B$9*$Z210,SampleCalc!$B$9)+V210</f>
        <v>0.99984448978492535</v>
      </c>
      <c r="X210">
        <f ca="1">HYPGEOMDIST(X$50,SampleCalc!$B$15,SampleCalc!$B$9*$Z210,SampleCalc!$B$9)+W210</f>
        <v>0.99996022590814726</v>
      </c>
      <c r="Y210">
        <f ca="1">HYPGEOMDIST(Y$50,SampleCalc!$B$15,SampleCalc!$B$9*$Z210,SampleCalc!$B$9)+X210</f>
        <v>0.99999079368106158</v>
      </c>
      <c r="Z210">
        <v>9.0999999999999998E-2</v>
      </c>
    </row>
    <row r="211" spans="5:26">
      <c r="E211">
        <f ca="1">HYPGEOMDIST(E$50,SampleCalc!$B$15,SampleCalc!$B$9*$Z211,SampleCalc!$B$9)</f>
        <v>4.116307972599642E-5</v>
      </c>
      <c r="F211">
        <f ca="1">HYPGEOMDIST(F$50,SampleCalc!$B$15,SampleCalc!$B$9*$Z211,SampleCalc!$B$9)+E211</f>
        <v>5.3512003643795328E-4</v>
      </c>
      <c r="G211">
        <f ca="1">HYPGEOMDIST(G$50,SampleCalc!$B$15,SampleCalc!$B$9*$Z211,SampleCalc!$B$9)+F211</f>
        <v>3.3948708384545449E-3</v>
      </c>
      <c r="H211">
        <f ca="1">HYPGEOMDIST(H$50,SampleCalc!$B$15,SampleCalc!$B$9*$Z211,SampleCalc!$B$9)+G211</f>
        <v>1.4038621061061431E-2</v>
      </c>
      <c r="I211">
        <f ca="1">HYPGEOMDIST(I$50,SampleCalc!$B$15,SampleCalc!$B$9*$Z211,SampleCalc!$B$9)+H211</f>
        <v>4.2671188808652685E-2</v>
      </c>
      <c r="J211">
        <f ca="1">HYPGEOMDIST(J$50,SampleCalc!$B$15,SampleCalc!$B$9*$Z211,SampleCalc!$B$9)+I211</f>
        <v>0.10201297207453952</v>
      </c>
      <c r="K211">
        <f ca="1">HYPGEOMDIST(K$50,SampleCalc!$B$15,SampleCalc!$B$9*$Z211,SampleCalc!$B$9)+J211</f>
        <v>0.20064497713747478</v>
      </c>
      <c r="L211">
        <f ca="1">HYPGEOMDIST(L$50,SampleCalc!$B$15,SampleCalc!$B$9*$Z211,SampleCalc!$B$9)+K211</f>
        <v>0.33577313395671848</v>
      </c>
      <c r="M211">
        <f ca="1">HYPGEOMDIST(M$50,SampleCalc!$B$15,SampleCalc!$B$9*$Z211,SampleCalc!$B$9)+L211</f>
        <v>0.49142825192765938</v>
      </c>
      <c r="N211">
        <f ca="1">HYPGEOMDIST(N$50,SampleCalc!$B$15,SampleCalc!$B$9*$Z211,SampleCalc!$B$9)+M211</f>
        <v>0.64445152007783557</v>
      </c>
      <c r="O211">
        <f ca="1">HYPGEOMDIST(O$50,SampleCalc!$B$15,SampleCalc!$B$9*$Z211,SampleCalc!$B$9)+N211</f>
        <v>0.77433468426383889</v>
      </c>
      <c r="P211">
        <f ca="1">HYPGEOMDIST(P$50,SampleCalc!$B$15,SampleCalc!$B$9*$Z211,SampleCalc!$B$9)+O211</f>
        <v>0.87039078357584632</v>
      </c>
      <c r="Q211">
        <f ca="1">HYPGEOMDIST(Q$50,SampleCalc!$B$15,SampleCalc!$B$9*$Z211,SampleCalc!$B$9)+P211</f>
        <v>0.93274525954433263</v>
      </c>
      <c r="R211">
        <f ca="1">HYPGEOMDIST(R$50,SampleCalc!$B$15,SampleCalc!$B$9*$Z211,SampleCalc!$B$9)+Q211</f>
        <v>0.9684869070597677</v>
      </c>
      <c r="S211">
        <f ca="1">HYPGEOMDIST(S$50,SampleCalc!$B$15,SampleCalc!$B$9*$Z211,SampleCalc!$B$9)+R211</f>
        <v>0.98666573046095418</v>
      </c>
      <c r="T211">
        <f ca="1">HYPGEOMDIST(T$50,SampleCalc!$B$15,SampleCalc!$B$9*$Z211,SampleCalc!$B$9)+S211</f>
        <v>0.9949029085511174</v>
      </c>
      <c r="U211">
        <f ca="1">HYPGEOMDIST(U$50,SampleCalc!$B$15,SampleCalc!$B$9*$Z211,SampleCalc!$B$9)+T211</f>
        <v>0.99823896567763348</v>
      </c>
      <c r="V211">
        <f ca="1">HYPGEOMDIST(V$50,SampleCalc!$B$15,SampleCalc!$B$9*$Z211,SampleCalc!$B$9)+U211</f>
        <v>0.99944979992880956</v>
      </c>
      <c r="W211">
        <f ca="1">HYPGEOMDIST(W$50,SampleCalc!$B$15,SampleCalc!$B$9*$Z211,SampleCalc!$B$9)+V211</f>
        <v>0.99984448978492535</v>
      </c>
      <c r="X211">
        <f ca="1">HYPGEOMDIST(X$50,SampleCalc!$B$15,SampleCalc!$B$9*$Z211,SampleCalc!$B$9)+W211</f>
        <v>0.99996022590814726</v>
      </c>
      <c r="Y211">
        <f ca="1">HYPGEOMDIST(Y$50,SampleCalc!$B$15,SampleCalc!$B$9*$Z211,SampleCalc!$B$9)+X211</f>
        <v>0.99999079368106158</v>
      </c>
      <c r="Z211">
        <v>0.09</v>
      </c>
    </row>
    <row r="212" spans="5:26">
      <c r="E212">
        <f ca="1">HYPGEOMDIST(E$50,SampleCalc!$B$15,SampleCalc!$B$9*$Z212,SampleCalc!$B$9)</f>
        <v>5.2139900986262116E-5</v>
      </c>
      <c r="F212">
        <f ca="1">HYPGEOMDIST(F$50,SampleCalc!$B$15,SampleCalc!$B$9*$Z212,SampleCalc!$B$9)+E212</f>
        <v>6.6222007208313496E-4</v>
      </c>
      <c r="G212">
        <f ca="1">HYPGEOMDIST(G$50,SampleCalc!$B$15,SampleCalc!$B$9*$Z212,SampleCalc!$B$9)+F212</f>
        <v>4.1044541866283408E-3</v>
      </c>
      <c r="H212">
        <f ca="1">HYPGEOMDIST(H$50,SampleCalc!$B$15,SampleCalc!$B$9*$Z212,SampleCalc!$B$9)+G212</f>
        <v>1.6583738194180655E-2</v>
      </c>
      <c r="I212">
        <f ca="1">HYPGEOMDIST(I$50,SampleCalc!$B$15,SampleCalc!$B$9*$Z212,SampleCalc!$B$9)+H212</f>
        <v>4.9264720282640076E-2</v>
      </c>
      <c r="J212">
        <f ca="1">HYPGEOMDIST(J$50,SampleCalc!$B$15,SampleCalc!$B$9*$Z212,SampleCalc!$B$9)+I212</f>
        <v>0.11516390608293092</v>
      </c>
      <c r="K212">
        <f ca="1">HYPGEOMDIST(K$50,SampleCalc!$B$15,SampleCalc!$B$9*$Z212,SampleCalc!$B$9)+J212</f>
        <v>0.22166491264269045</v>
      </c>
      <c r="L212">
        <f ca="1">HYPGEOMDIST(L$50,SampleCalc!$B$15,SampleCalc!$B$9*$Z212,SampleCalc!$B$9)+K212</f>
        <v>0.36344515492933027</v>
      </c>
      <c r="M212">
        <f ca="1">HYPGEOMDIST(M$50,SampleCalc!$B$15,SampleCalc!$B$9*$Z212,SampleCalc!$B$9)+L212</f>
        <v>0.52203290555769466</v>
      </c>
      <c r="N212">
        <f ca="1">HYPGEOMDIST(N$50,SampleCalc!$B$15,SampleCalc!$B$9*$Z212,SampleCalc!$B$9)+M212</f>
        <v>0.67331444545250319</v>
      </c>
      <c r="O212">
        <f ca="1">HYPGEOMDIST(O$50,SampleCalc!$B$15,SampleCalc!$B$9*$Z212,SampleCalc!$B$9)+N212</f>
        <v>0.79781506409566316</v>
      </c>
      <c r="P212">
        <f ca="1">HYPGEOMDIST(P$50,SampleCalc!$B$15,SampleCalc!$B$9*$Z212,SampleCalc!$B$9)+O212</f>
        <v>0.88701864383410955</v>
      </c>
      <c r="Q212">
        <f ca="1">HYPGEOMDIST(Q$50,SampleCalc!$B$15,SampleCalc!$B$9*$Z212,SampleCalc!$B$9)+P212</f>
        <v>0.94307062438212519</v>
      </c>
      <c r="R212">
        <f ca="1">HYPGEOMDIST(R$50,SampleCalc!$B$15,SampleCalc!$B$9*$Z212,SampleCalc!$B$9)+Q212</f>
        <v>0.97414254100680375</v>
      </c>
      <c r="S212">
        <f ca="1">HYPGEOMDIST(S$50,SampleCalc!$B$15,SampleCalc!$B$9*$Z212,SampleCalc!$B$9)+R212</f>
        <v>0.98941145649100881</v>
      </c>
      <c r="T212">
        <f ca="1">HYPGEOMDIST(T$50,SampleCalc!$B$15,SampleCalc!$B$9*$Z212,SampleCalc!$B$9)+S212</f>
        <v>0.99608906219610116</v>
      </c>
      <c r="U212">
        <f ca="1">HYPGEOMDIST(U$50,SampleCalc!$B$15,SampleCalc!$B$9*$Z212,SampleCalc!$B$9)+T212</f>
        <v>0.99869639195030024</v>
      </c>
      <c r="V212">
        <f ca="1">HYPGEOMDIST(V$50,SampleCalc!$B$15,SampleCalc!$B$9*$Z212,SampleCalc!$B$9)+U212</f>
        <v>0.9996076758712561</v>
      </c>
      <c r="W212">
        <f ca="1">HYPGEOMDIST(W$50,SampleCalc!$B$15,SampleCalc!$B$9*$Z212,SampleCalc!$B$9)+V212</f>
        <v>0.99989335614806374</v>
      </c>
      <c r="X212">
        <f ca="1">HYPGEOMDIST(X$50,SampleCalc!$B$15,SampleCalc!$B$9*$Z212,SampleCalc!$B$9)+W212</f>
        <v>0.99997381158499832</v>
      </c>
      <c r="Y212">
        <f ca="1">HYPGEOMDIST(Y$50,SampleCalc!$B$15,SampleCalc!$B$9*$Z212,SampleCalc!$B$9)+X212</f>
        <v>0.99999419010027446</v>
      </c>
      <c r="Z212">
        <v>8.8999999999999996E-2</v>
      </c>
    </row>
    <row r="213" spans="5:26">
      <c r="E213">
        <f ca="1">HYPGEOMDIST(E$50,SampleCalc!$B$15,SampleCalc!$B$9*$Z213,SampleCalc!$B$9)</f>
        <v>5.2139900986262116E-5</v>
      </c>
      <c r="F213">
        <f ca="1">HYPGEOMDIST(F$50,SampleCalc!$B$15,SampleCalc!$B$9*$Z213,SampleCalc!$B$9)+E213</f>
        <v>6.6222007208313496E-4</v>
      </c>
      <c r="G213">
        <f ca="1">HYPGEOMDIST(G$50,SampleCalc!$B$15,SampleCalc!$B$9*$Z213,SampleCalc!$B$9)+F213</f>
        <v>4.1044541866283408E-3</v>
      </c>
      <c r="H213">
        <f ca="1">HYPGEOMDIST(H$50,SampleCalc!$B$15,SampleCalc!$B$9*$Z213,SampleCalc!$B$9)+G213</f>
        <v>1.6583738194180655E-2</v>
      </c>
      <c r="I213">
        <f ca="1">HYPGEOMDIST(I$50,SampleCalc!$B$15,SampleCalc!$B$9*$Z213,SampleCalc!$B$9)+H213</f>
        <v>4.9264720282640076E-2</v>
      </c>
      <c r="J213">
        <f ca="1">HYPGEOMDIST(J$50,SampleCalc!$B$15,SampleCalc!$B$9*$Z213,SampleCalc!$B$9)+I213</f>
        <v>0.11516390608293092</v>
      </c>
      <c r="K213">
        <f ca="1">HYPGEOMDIST(K$50,SampleCalc!$B$15,SampleCalc!$B$9*$Z213,SampleCalc!$B$9)+J213</f>
        <v>0.22166491264269045</v>
      </c>
      <c r="L213">
        <f ca="1">HYPGEOMDIST(L$50,SampleCalc!$B$15,SampleCalc!$B$9*$Z213,SampleCalc!$B$9)+K213</f>
        <v>0.36344515492933027</v>
      </c>
      <c r="M213">
        <f ca="1">HYPGEOMDIST(M$50,SampleCalc!$B$15,SampleCalc!$B$9*$Z213,SampleCalc!$B$9)+L213</f>
        <v>0.52203290555769466</v>
      </c>
      <c r="N213">
        <f ca="1">HYPGEOMDIST(N$50,SampleCalc!$B$15,SampleCalc!$B$9*$Z213,SampleCalc!$B$9)+M213</f>
        <v>0.67331444545250319</v>
      </c>
      <c r="O213">
        <f ca="1">HYPGEOMDIST(O$50,SampleCalc!$B$15,SampleCalc!$B$9*$Z213,SampleCalc!$B$9)+N213</f>
        <v>0.79781506409566316</v>
      </c>
      <c r="P213">
        <f ca="1">HYPGEOMDIST(P$50,SampleCalc!$B$15,SampleCalc!$B$9*$Z213,SampleCalc!$B$9)+O213</f>
        <v>0.88701864383410955</v>
      </c>
      <c r="Q213">
        <f ca="1">HYPGEOMDIST(Q$50,SampleCalc!$B$15,SampleCalc!$B$9*$Z213,SampleCalc!$B$9)+P213</f>
        <v>0.94307062438212519</v>
      </c>
      <c r="R213">
        <f ca="1">HYPGEOMDIST(R$50,SampleCalc!$B$15,SampleCalc!$B$9*$Z213,SampleCalc!$B$9)+Q213</f>
        <v>0.97414254100680375</v>
      </c>
      <c r="S213">
        <f ca="1">HYPGEOMDIST(S$50,SampleCalc!$B$15,SampleCalc!$B$9*$Z213,SampleCalc!$B$9)+R213</f>
        <v>0.98941145649100881</v>
      </c>
      <c r="T213">
        <f ca="1">HYPGEOMDIST(T$50,SampleCalc!$B$15,SampleCalc!$B$9*$Z213,SampleCalc!$B$9)+S213</f>
        <v>0.99608906219610116</v>
      </c>
      <c r="U213">
        <f ca="1">HYPGEOMDIST(U$50,SampleCalc!$B$15,SampleCalc!$B$9*$Z213,SampleCalc!$B$9)+T213</f>
        <v>0.99869639195030024</v>
      </c>
      <c r="V213">
        <f ca="1">HYPGEOMDIST(V$50,SampleCalc!$B$15,SampleCalc!$B$9*$Z213,SampleCalc!$B$9)+U213</f>
        <v>0.9996076758712561</v>
      </c>
      <c r="W213">
        <f ca="1">HYPGEOMDIST(W$50,SampleCalc!$B$15,SampleCalc!$B$9*$Z213,SampleCalc!$B$9)+V213</f>
        <v>0.99989335614806374</v>
      </c>
      <c r="X213">
        <f ca="1">HYPGEOMDIST(X$50,SampleCalc!$B$15,SampleCalc!$B$9*$Z213,SampleCalc!$B$9)+W213</f>
        <v>0.99997381158499832</v>
      </c>
      <c r="Y213">
        <f ca="1">HYPGEOMDIST(Y$50,SampleCalc!$B$15,SampleCalc!$B$9*$Z213,SampleCalc!$B$9)+X213</f>
        <v>0.99999419010027446</v>
      </c>
      <c r="Z213">
        <v>8.7999999999999995E-2</v>
      </c>
    </row>
    <row r="214" spans="5:26">
      <c r="E214">
        <f ca="1">HYPGEOMDIST(E$50,SampleCalc!$B$15,SampleCalc!$B$9*$Z214,SampleCalc!$B$9)</f>
        <v>6.6005359420281924E-5</v>
      </c>
      <c r="F214">
        <f ca="1">HYPGEOMDIST(F$50,SampleCalc!$B$15,SampleCalc!$B$9*$Z214,SampleCalc!$B$9)+E214</f>
        <v>8.1868525910791772E-4</v>
      </c>
      <c r="G214">
        <f ca="1">HYPGEOMDIST(G$50,SampleCalc!$B$15,SampleCalc!$B$9*$Z214,SampleCalc!$B$9)+F214</f>
        <v>4.955314459870545E-3</v>
      </c>
      <c r="H214">
        <f ca="1">HYPGEOMDIST(H$50,SampleCalc!$B$15,SampleCalc!$B$9*$Z214,SampleCalc!$B$9)+G214</f>
        <v>1.9554736565858766E-2</v>
      </c>
      <c r="I214">
        <f ca="1">HYPGEOMDIST(I$50,SampleCalc!$B$15,SampleCalc!$B$9*$Z214,SampleCalc!$B$9)+H214</f>
        <v>5.6753264123582219E-2</v>
      </c>
      <c r="J214">
        <f ca="1">HYPGEOMDIST(J$50,SampleCalc!$B$15,SampleCalc!$B$9*$Z214,SampleCalc!$B$9)+I214</f>
        <v>0.12968677061380712</v>
      </c>
      <c r="K214">
        <f ca="1">HYPGEOMDIST(K$50,SampleCalc!$B$15,SampleCalc!$B$9*$Z214,SampleCalc!$B$9)+J214</f>
        <v>0.2442208602792012</v>
      </c>
      <c r="L214">
        <f ca="1">HYPGEOMDIST(L$50,SampleCalc!$B$15,SampleCalc!$B$9*$Z214,SampleCalc!$B$9)+K214</f>
        <v>0.39227929140721451</v>
      </c>
      <c r="M214">
        <f ca="1">HYPGEOMDIST(M$50,SampleCalc!$B$15,SampleCalc!$B$9*$Z214,SampleCalc!$B$9)+L214</f>
        <v>0.55297685689981457</v>
      </c>
      <c r="N214">
        <f ca="1">HYPGEOMDIST(N$50,SampleCalc!$B$15,SampleCalc!$B$9*$Z214,SampleCalc!$B$9)+M214</f>
        <v>0.70161004059867582</v>
      </c>
      <c r="O214">
        <f ca="1">HYPGEOMDIST(O$50,SampleCalc!$B$15,SampleCalc!$B$9*$Z214,SampleCalc!$B$9)+N214</f>
        <v>0.82011595903027457</v>
      </c>
      <c r="P214">
        <f ca="1">HYPGEOMDIST(P$50,SampleCalc!$B$15,SampleCalc!$B$9*$Z214,SampleCalc!$B$9)+O214</f>
        <v>0.90230554761993176</v>
      </c>
      <c r="Q214">
        <f ca="1">HYPGEOMDIST(Q$50,SampleCalc!$B$15,SampleCalc!$B$9*$Z214,SampleCalc!$B$9)+P214</f>
        <v>0.95225096338487092</v>
      </c>
      <c r="R214">
        <f ca="1">HYPGEOMDIST(R$50,SampleCalc!$B$15,SampleCalc!$B$9*$Z214,SampleCalc!$B$9)+Q214</f>
        <v>0.97900083229723245</v>
      </c>
      <c r="S214">
        <f ca="1">HYPGEOMDIST(S$50,SampleCalc!$B$15,SampleCalc!$B$9*$Z214,SampleCalc!$B$9)+R214</f>
        <v>0.99168791298138104</v>
      </c>
      <c r="T214">
        <f ca="1">HYPGEOMDIST(T$50,SampleCalc!$B$15,SampleCalc!$B$9*$Z214,SampleCalc!$B$9)+S214</f>
        <v>0.99703718210671888</v>
      </c>
      <c r="U214">
        <f ca="1">HYPGEOMDIST(U$50,SampleCalc!$B$15,SampleCalc!$B$9*$Z214,SampleCalc!$B$9)+T214</f>
        <v>0.99904847891976034</v>
      </c>
      <c r="V214">
        <f ca="1">HYPGEOMDIST(V$50,SampleCalc!$B$15,SampleCalc!$B$9*$Z214,SampleCalc!$B$9)+U214</f>
        <v>0.99972454507540454</v>
      </c>
      <c r="W214">
        <f ca="1">HYPGEOMDIST(W$50,SampleCalc!$B$15,SampleCalc!$B$9*$Z214,SampleCalc!$B$9)+V214</f>
        <v>0.999928098268558</v>
      </c>
      <c r="X214">
        <f ca="1">HYPGEOMDIST(X$50,SampleCalc!$B$15,SampleCalc!$B$9*$Z214,SampleCalc!$B$9)+W214</f>
        <v>0.99998307454648727</v>
      </c>
      <c r="Y214">
        <f ca="1">HYPGEOMDIST(Y$50,SampleCalc!$B$15,SampleCalc!$B$9*$Z214,SampleCalc!$B$9)+X214</f>
        <v>0.9999964073760953</v>
      </c>
      <c r="Z214">
        <v>8.6999999999999994E-2</v>
      </c>
    </row>
    <row r="215" spans="5:26">
      <c r="E215">
        <f ca="1">HYPGEOMDIST(E$50,SampleCalc!$B$15,SampleCalc!$B$9*$Z215,SampleCalc!$B$9)</f>
        <v>6.6005359420281924E-5</v>
      </c>
      <c r="F215">
        <f ca="1">HYPGEOMDIST(F$50,SampleCalc!$B$15,SampleCalc!$B$9*$Z215,SampleCalc!$B$9)+E215</f>
        <v>8.1868525910791772E-4</v>
      </c>
      <c r="G215">
        <f ca="1">HYPGEOMDIST(G$50,SampleCalc!$B$15,SampleCalc!$B$9*$Z215,SampleCalc!$B$9)+F215</f>
        <v>4.955314459870545E-3</v>
      </c>
      <c r="H215">
        <f ca="1">HYPGEOMDIST(H$50,SampleCalc!$B$15,SampleCalc!$B$9*$Z215,SampleCalc!$B$9)+G215</f>
        <v>1.9554736565858766E-2</v>
      </c>
      <c r="I215">
        <f ca="1">HYPGEOMDIST(I$50,SampleCalc!$B$15,SampleCalc!$B$9*$Z215,SampleCalc!$B$9)+H215</f>
        <v>5.6753264123582219E-2</v>
      </c>
      <c r="J215">
        <f ca="1">HYPGEOMDIST(J$50,SampleCalc!$B$15,SampleCalc!$B$9*$Z215,SampleCalc!$B$9)+I215</f>
        <v>0.12968677061380712</v>
      </c>
      <c r="K215">
        <f ca="1">HYPGEOMDIST(K$50,SampleCalc!$B$15,SampleCalc!$B$9*$Z215,SampleCalc!$B$9)+J215</f>
        <v>0.2442208602792012</v>
      </c>
      <c r="L215">
        <f ca="1">HYPGEOMDIST(L$50,SampleCalc!$B$15,SampleCalc!$B$9*$Z215,SampleCalc!$B$9)+K215</f>
        <v>0.39227929140721451</v>
      </c>
      <c r="M215">
        <f ca="1">HYPGEOMDIST(M$50,SampleCalc!$B$15,SampleCalc!$B$9*$Z215,SampleCalc!$B$9)+L215</f>
        <v>0.55297685689981457</v>
      </c>
      <c r="N215">
        <f ca="1">HYPGEOMDIST(N$50,SampleCalc!$B$15,SampleCalc!$B$9*$Z215,SampleCalc!$B$9)+M215</f>
        <v>0.70161004059867582</v>
      </c>
      <c r="O215">
        <f ca="1">HYPGEOMDIST(O$50,SampleCalc!$B$15,SampleCalc!$B$9*$Z215,SampleCalc!$B$9)+N215</f>
        <v>0.82011595903027457</v>
      </c>
      <c r="P215">
        <f ca="1">HYPGEOMDIST(P$50,SampleCalc!$B$15,SampleCalc!$B$9*$Z215,SampleCalc!$B$9)+O215</f>
        <v>0.90230554761993176</v>
      </c>
      <c r="Q215">
        <f ca="1">HYPGEOMDIST(Q$50,SampleCalc!$B$15,SampleCalc!$B$9*$Z215,SampleCalc!$B$9)+P215</f>
        <v>0.95225096338487092</v>
      </c>
      <c r="R215">
        <f ca="1">HYPGEOMDIST(R$50,SampleCalc!$B$15,SampleCalc!$B$9*$Z215,SampleCalc!$B$9)+Q215</f>
        <v>0.97900083229723245</v>
      </c>
      <c r="S215">
        <f ca="1">HYPGEOMDIST(S$50,SampleCalc!$B$15,SampleCalc!$B$9*$Z215,SampleCalc!$B$9)+R215</f>
        <v>0.99168791298138104</v>
      </c>
      <c r="T215">
        <f ca="1">HYPGEOMDIST(T$50,SampleCalc!$B$15,SampleCalc!$B$9*$Z215,SampleCalc!$B$9)+S215</f>
        <v>0.99703718210671888</v>
      </c>
      <c r="U215">
        <f ca="1">HYPGEOMDIST(U$50,SampleCalc!$B$15,SampleCalc!$B$9*$Z215,SampleCalc!$B$9)+T215</f>
        <v>0.99904847891976034</v>
      </c>
      <c r="V215">
        <f ca="1">HYPGEOMDIST(V$50,SampleCalc!$B$15,SampleCalc!$B$9*$Z215,SampleCalc!$B$9)+U215</f>
        <v>0.99972454507540454</v>
      </c>
      <c r="W215">
        <f ca="1">HYPGEOMDIST(W$50,SampleCalc!$B$15,SampleCalc!$B$9*$Z215,SampleCalc!$B$9)+V215</f>
        <v>0.999928098268558</v>
      </c>
      <c r="X215">
        <f ca="1">HYPGEOMDIST(X$50,SampleCalc!$B$15,SampleCalc!$B$9*$Z215,SampleCalc!$B$9)+W215</f>
        <v>0.99998307454648727</v>
      </c>
      <c r="Y215">
        <f ca="1">HYPGEOMDIST(Y$50,SampleCalc!$B$15,SampleCalc!$B$9*$Z215,SampleCalc!$B$9)+X215</f>
        <v>0.9999964073760953</v>
      </c>
      <c r="Z215">
        <v>8.5999999999999993E-2</v>
      </c>
    </row>
    <row r="216" spans="5:26">
      <c r="E216">
        <f ca="1">HYPGEOMDIST(E$50,SampleCalc!$B$15,SampleCalc!$B$9*$Z216,SampleCalc!$B$9)</f>
        <v>8.3509543133947976E-5</v>
      </c>
      <c r="F216">
        <f ca="1">HYPGEOMDIST(F$50,SampleCalc!$B$15,SampleCalc!$B$9*$Z216,SampleCalc!$B$9)+E216</f>
        <v>1.011086617282924E-3</v>
      </c>
      <c r="G216">
        <f ca="1">HYPGEOMDIST(G$50,SampleCalc!$B$15,SampleCalc!$B$9*$Z216,SampleCalc!$B$9)+F216</f>
        <v>5.9738787928464614E-3</v>
      </c>
      <c r="H216">
        <f ca="1">HYPGEOMDIST(H$50,SampleCalc!$B$15,SampleCalc!$B$9*$Z216,SampleCalc!$B$9)+G216</f>
        <v>2.3015064710763283E-2</v>
      </c>
      <c r="I216">
        <f ca="1">HYPGEOMDIST(I$50,SampleCalc!$B$15,SampleCalc!$B$9*$Z216,SampleCalc!$B$9)+H216</f>
        <v>6.5233904413143223E-2</v>
      </c>
      <c r="J216">
        <f ca="1">HYPGEOMDIST(J$50,SampleCalc!$B$15,SampleCalc!$B$9*$Z216,SampleCalc!$B$9)+I216</f>
        <v>0.14566827149735045</v>
      </c>
      <c r="K216">
        <f ca="1">HYPGEOMDIST(K$50,SampleCalc!$B$15,SampleCalc!$B$9*$Z216,SampleCalc!$B$9)+J216</f>
        <v>0.26832339557911034</v>
      </c>
      <c r="L216">
        <f ca="1">HYPGEOMDIST(L$50,SampleCalc!$B$15,SampleCalc!$B$9*$Z216,SampleCalc!$B$9)+K216</f>
        <v>0.42217651289421004</v>
      </c>
      <c r="M216">
        <f ca="1">HYPGEOMDIST(M$50,SampleCalc!$B$15,SampleCalc!$B$9*$Z216,SampleCalc!$B$9)+L216</f>
        <v>0.58408612790655312</v>
      </c>
      <c r="N216">
        <f ca="1">HYPGEOMDIST(N$50,SampleCalc!$B$15,SampleCalc!$B$9*$Z216,SampleCalc!$B$9)+M216</f>
        <v>0.72916955651300119</v>
      </c>
      <c r="O216">
        <f ca="1">HYPGEOMDIST(O$50,SampleCalc!$B$15,SampleCalc!$B$9*$Z216,SampleCalc!$B$9)+N216</f>
        <v>0.84114120262297765</v>
      </c>
      <c r="P216">
        <f ca="1">HYPGEOMDIST(P$50,SampleCalc!$B$15,SampleCalc!$B$9*$Z216,SampleCalc!$B$9)+O216</f>
        <v>0.91624380318224052</v>
      </c>
      <c r="Q216">
        <f ca="1">HYPGEOMDIST(Q$50,SampleCalc!$B$15,SampleCalc!$B$9*$Z216,SampleCalc!$B$9)+P216</f>
        <v>0.9603381330560502</v>
      </c>
      <c r="R216">
        <f ca="1">HYPGEOMDIST(R$50,SampleCalc!$B$15,SampleCalc!$B$9*$Z216,SampleCalc!$B$9)+Q216</f>
        <v>0.98313150972928098</v>
      </c>
      <c r="S216">
        <f ca="1">HYPGEOMDIST(S$50,SampleCalc!$B$15,SampleCalc!$B$9*$Z216,SampleCalc!$B$9)+R216</f>
        <v>0.99355393709487116</v>
      </c>
      <c r="T216">
        <f ca="1">HYPGEOMDIST(T$50,SampleCalc!$B$15,SampleCalc!$B$9*$Z216,SampleCalc!$B$9)+S216</f>
        <v>0.99778557161854842</v>
      </c>
      <c r="U216">
        <f ca="1">HYPGEOMDIST(U$50,SampleCalc!$B$15,SampleCalc!$B$9*$Z216,SampleCalc!$B$9)+T216</f>
        <v>0.99931576088827101</v>
      </c>
      <c r="V216">
        <f ca="1">HYPGEOMDIST(V$50,SampleCalc!$B$15,SampleCalc!$B$9*$Z216,SampleCalc!$B$9)+U216</f>
        <v>0.99980975338881783</v>
      </c>
      <c r="W216">
        <f ca="1">HYPGEOMDIST(W$50,SampleCalc!$B$15,SampleCalc!$B$9*$Z216,SampleCalc!$B$9)+V216</f>
        <v>0.99995239011229442</v>
      </c>
      <c r="X216">
        <f ca="1">HYPGEOMDIST(X$50,SampleCalc!$B$15,SampleCalc!$B$9*$Z216,SampleCalc!$B$9)+W216</f>
        <v>0.99998927586258424</v>
      </c>
      <c r="Y216">
        <f ca="1">HYPGEOMDIST(Y$50,SampleCalc!$B$15,SampleCalc!$B$9*$Z216,SampleCalc!$B$9)+X216</f>
        <v>0.99999782621124433</v>
      </c>
      <c r="Z216">
        <v>8.5000000000000006E-2</v>
      </c>
    </row>
    <row r="217" spans="5:26">
      <c r="E217">
        <f ca="1">HYPGEOMDIST(E$50,SampleCalc!$B$15,SampleCalc!$B$9*$Z217,SampleCalc!$B$9)</f>
        <v>8.3509543133947976E-5</v>
      </c>
      <c r="F217">
        <f ca="1">HYPGEOMDIST(F$50,SampleCalc!$B$15,SampleCalc!$B$9*$Z217,SampleCalc!$B$9)+E217</f>
        <v>1.011086617282924E-3</v>
      </c>
      <c r="G217">
        <f ca="1">HYPGEOMDIST(G$50,SampleCalc!$B$15,SampleCalc!$B$9*$Z217,SampleCalc!$B$9)+F217</f>
        <v>5.9738787928464614E-3</v>
      </c>
      <c r="H217">
        <f ca="1">HYPGEOMDIST(H$50,SampleCalc!$B$15,SampleCalc!$B$9*$Z217,SampleCalc!$B$9)+G217</f>
        <v>2.3015064710763283E-2</v>
      </c>
      <c r="I217">
        <f ca="1">HYPGEOMDIST(I$50,SampleCalc!$B$15,SampleCalc!$B$9*$Z217,SampleCalc!$B$9)+H217</f>
        <v>6.5233904413143223E-2</v>
      </c>
      <c r="J217">
        <f ca="1">HYPGEOMDIST(J$50,SampleCalc!$B$15,SampleCalc!$B$9*$Z217,SampleCalc!$B$9)+I217</f>
        <v>0.14566827149735045</v>
      </c>
      <c r="K217">
        <f ca="1">HYPGEOMDIST(K$50,SampleCalc!$B$15,SampleCalc!$B$9*$Z217,SampleCalc!$B$9)+J217</f>
        <v>0.26832339557911034</v>
      </c>
      <c r="L217">
        <f ca="1">HYPGEOMDIST(L$50,SampleCalc!$B$15,SampleCalc!$B$9*$Z217,SampleCalc!$B$9)+K217</f>
        <v>0.42217651289421004</v>
      </c>
      <c r="M217">
        <f ca="1">HYPGEOMDIST(M$50,SampleCalc!$B$15,SampleCalc!$B$9*$Z217,SampleCalc!$B$9)+L217</f>
        <v>0.58408612790655312</v>
      </c>
      <c r="N217">
        <f ca="1">HYPGEOMDIST(N$50,SampleCalc!$B$15,SampleCalc!$B$9*$Z217,SampleCalc!$B$9)+M217</f>
        <v>0.72916955651300119</v>
      </c>
      <c r="O217">
        <f ca="1">HYPGEOMDIST(O$50,SampleCalc!$B$15,SampleCalc!$B$9*$Z217,SampleCalc!$B$9)+N217</f>
        <v>0.84114120262297765</v>
      </c>
      <c r="P217">
        <f ca="1">HYPGEOMDIST(P$50,SampleCalc!$B$15,SampleCalc!$B$9*$Z217,SampleCalc!$B$9)+O217</f>
        <v>0.91624380318224052</v>
      </c>
      <c r="Q217">
        <f ca="1">HYPGEOMDIST(Q$50,SampleCalc!$B$15,SampleCalc!$B$9*$Z217,SampleCalc!$B$9)+P217</f>
        <v>0.9603381330560502</v>
      </c>
      <c r="R217">
        <f ca="1">HYPGEOMDIST(R$50,SampleCalc!$B$15,SampleCalc!$B$9*$Z217,SampleCalc!$B$9)+Q217</f>
        <v>0.98313150972928098</v>
      </c>
      <c r="S217">
        <f ca="1">HYPGEOMDIST(S$50,SampleCalc!$B$15,SampleCalc!$B$9*$Z217,SampleCalc!$B$9)+R217</f>
        <v>0.99355393709487116</v>
      </c>
      <c r="T217">
        <f ca="1">HYPGEOMDIST(T$50,SampleCalc!$B$15,SampleCalc!$B$9*$Z217,SampleCalc!$B$9)+S217</f>
        <v>0.99778557161854842</v>
      </c>
      <c r="U217">
        <f ca="1">HYPGEOMDIST(U$50,SampleCalc!$B$15,SampleCalc!$B$9*$Z217,SampleCalc!$B$9)+T217</f>
        <v>0.99931576088827101</v>
      </c>
      <c r="V217">
        <f ca="1">HYPGEOMDIST(V$50,SampleCalc!$B$15,SampleCalc!$B$9*$Z217,SampleCalc!$B$9)+U217</f>
        <v>0.99980975338881783</v>
      </c>
      <c r="W217">
        <f ca="1">HYPGEOMDIST(W$50,SampleCalc!$B$15,SampleCalc!$B$9*$Z217,SampleCalc!$B$9)+V217</f>
        <v>0.99995239011229442</v>
      </c>
      <c r="X217">
        <f ca="1">HYPGEOMDIST(X$50,SampleCalc!$B$15,SampleCalc!$B$9*$Z217,SampleCalc!$B$9)+W217</f>
        <v>0.99998927586258424</v>
      </c>
      <c r="Y217">
        <f ca="1">HYPGEOMDIST(Y$50,SampleCalc!$B$15,SampleCalc!$B$9*$Z217,SampleCalc!$B$9)+X217</f>
        <v>0.99999782621124433</v>
      </c>
      <c r="Z217">
        <v>8.4000000000000005E-2</v>
      </c>
    </row>
    <row r="218" spans="5:26">
      <c r="E218">
        <f ca="1">HYPGEOMDIST(E$50,SampleCalc!$B$15,SampleCalc!$B$9*$Z218,SampleCalc!$B$9)</f>
        <v>1.0559471156606645E-4</v>
      </c>
      <c r="F218">
        <f ca="1">HYPGEOMDIST(F$50,SampleCalc!$B$15,SampleCalc!$B$9*$Z218,SampleCalc!$B$9)+E218</f>
        <v>1.2474100542145192E-3</v>
      </c>
      <c r="G218">
        <f ca="1">HYPGEOMDIST(G$50,SampleCalc!$B$15,SampleCalc!$B$9*$Z218,SampleCalc!$B$9)+F218</f>
        <v>7.1911063584119521E-3</v>
      </c>
      <c r="H218">
        <f ca="1">HYPGEOMDIST(H$50,SampleCalc!$B$15,SampleCalc!$B$9*$Z218,SampleCalc!$B$9)+G218</f>
        <v>2.7035906587180403E-2</v>
      </c>
      <c r="I218">
        <f ca="1">HYPGEOMDIST(I$50,SampleCalc!$B$15,SampleCalc!$B$9*$Z218,SampleCalc!$B$9)+H218</f>
        <v>7.480942430412027E-2</v>
      </c>
      <c r="J218">
        <f ca="1">HYPGEOMDIST(J$50,SampleCalc!$B$15,SampleCalc!$B$9*$Z218,SampleCalc!$B$9)+I218</f>
        <v>0.16319043208045902</v>
      </c>
      <c r="K218">
        <f ca="1">HYPGEOMDIST(K$50,SampleCalc!$B$15,SampleCalc!$B$9*$Z218,SampleCalc!$B$9)+J218</f>
        <v>0.2939655817982938</v>
      </c>
      <c r="L218">
        <f ca="1">HYPGEOMDIST(L$50,SampleCalc!$B$15,SampleCalc!$B$9*$Z218,SampleCalc!$B$9)+K218</f>
        <v>0.45301643956322796</v>
      </c>
      <c r="M218">
        <f ca="1">HYPGEOMDIST(M$50,SampleCalc!$B$15,SampleCalc!$B$9*$Z218,SampleCalc!$B$9)+L218</f>
        <v>0.61517543403650632</v>
      </c>
      <c r="N218">
        <f ca="1">HYPGEOMDIST(N$50,SampleCalc!$B$15,SampleCalc!$B$9*$Z218,SampleCalc!$B$9)+M218</f>
        <v>0.75582947225347175</v>
      </c>
      <c r="O218">
        <f ca="1">HYPGEOMDIST(O$50,SampleCalc!$B$15,SampleCalc!$B$9*$Z218,SampleCalc!$B$9)+N218</f>
        <v>0.86081093134087983</v>
      </c>
      <c r="P218">
        <f ca="1">HYPGEOMDIST(P$50,SampleCalc!$B$15,SampleCalc!$B$9*$Z218,SampleCalc!$B$9)+O218</f>
        <v>0.92884218314618616</v>
      </c>
      <c r="Q218">
        <f ca="1">HYPGEOMDIST(Q$50,SampleCalc!$B$15,SampleCalc!$B$9*$Z218,SampleCalc!$B$9)+P218</f>
        <v>0.96739322583585974</v>
      </c>
      <c r="R218">
        <f ca="1">HYPGEOMDIST(R$50,SampleCalc!$B$15,SampleCalc!$B$9*$Z218,SampleCalc!$B$9)+Q218</f>
        <v>0.98660565218447771</v>
      </c>
      <c r="S218">
        <f ca="1">HYPGEOMDIST(S$50,SampleCalc!$B$15,SampleCalc!$B$9*$Z218,SampleCalc!$B$9)+R218</f>
        <v>0.99506523513904155</v>
      </c>
      <c r="T218">
        <f ca="1">HYPGEOMDIST(T$50,SampleCalc!$B$15,SampleCalc!$B$9*$Z218,SampleCalc!$B$9)+S218</f>
        <v>0.99836850086415696</v>
      </c>
      <c r="U218">
        <f ca="1">HYPGEOMDIST(U$50,SampleCalc!$B$15,SampleCalc!$B$9*$Z218,SampleCalc!$B$9)+T218</f>
        <v>0.99951571023373031</v>
      </c>
      <c r="V218">
        <f ca="1">HYPGEOMDIST(V$50,SampleCalc!$B$15,SampleCalc!$B$9*$Z218,SampleCalc!$B$9)+U218</f>
        <v>0.99987088341316477</v>
      </c>
      <c r="W218">
        <f ca="1">HYPGEOMDIST(W$50,SampleCalc!$B$15,SampleCalc!$B$9*$Z218,SampleCalc!$B$9)+V218</f>
        <v>0.99996907652313971</v>
      </c>
      <c r="X218">
        <f ca="1">HYPGEOMDIST(X$50,SampleCalc!$B$15,SampleCalc!$B$9*$Z218,SampleCalc!$B$9)+W218</f>
        <v>0.99999334745718416</v>
      </c>
      <c r="Y218">
        <f ca="1">HYPGEOMDIST(Y$50,SampleCalc!$B$15,SampleCalc!$B$9*$Z218,SampleCalc!$B$9)+X218</f>
        <v>0.99999871494573134</v>
      </c>
      <c r="Z218">
        <v>8.3000000000000004E-2</v>
      </c>
    </row>
    <row r="219" spans="5:26">
      <c r="E219">
        <f ca="1">HYPGEOMDIST(E$50,SampleCalc!$B$15,SampleCalc!$B$9*$Z219,SampleCalc!$B$9)</f>
        <v>1.0559471156606645E-4</v>
      </c>
      <c r="F219">
        <f ca="1">HYPGEOMDIST(F$50,SampleCalc!$B$15,SampleCalc!$B$9*$Z219,SampleCalc!$B$9)+E219</f>
        <v>1.2474100542145192E-3</v>
      </c>
      <c r="G219">
        <f ca="1">HYPGEOMDIST(G$50,SampleCalc!$B$15,SampleCalc!$B$9*$Z219,SampleCalc!$B$9)+F219</f>
        <v>7.1911063584119521E-3</v>
      </c>
      <c r="H219">
        <f ca="1">HYPGEOMDIST(H$50,SampleCalc!$B$15,SampleCalc!$B$9*$Z219,SampleCalc!$B$9)+G219</f>
        <v>2.7035906587180403E-2</v>
      </c>
      <c r="I219">
        <f ca="1">HYPGEOMDIST(I$50,SampleCalc!$B$15,SampleCalc!$B$9*$Z219,SampleCalc!$B$9)+H219</f>
        <v>7.480942430412027E-2</v>
      </c>
      <c r="J219">
        <f ca="1">HYPGEOMDIST(J$50,SampleCalc!$B$15,SampleCalc!$B$9*$Z219,SampleCalc!$B$9)+I219</f>
        <v>0.16319043208045902</v>
      </c>
      <c r="K219">
        <f ca="1">HYPGEOMDIST(K$50,SampleCalc!$B$15,SampleCalc!$B$9*$Z219,SampleCalc!$B$9)+J219</f>
        <v>0.2939655817982938</v>
      </c>
      <c r="L219">
        <f ca="1">HYPGEOMDIST(L$50,SampleCalc!$B$15,SampleCalc!$B$9*$Z219,SampleCalc!$B$9)+K219</f>
        <v>0.45301643956322796</v>
      </c>
      <c r="M219">
        <f ca="1">HYPGEOMDIST(M$50,SampleCalc!$B$15,SampleCalc!$B$9*$Z219,SampleCalc!$B$9)+L219</f>
        <v>0.61517543403650632</v>
      </c>
      <c r="N219">
        <f ca="1">HYPGEOMDIST(N$50,SampleCalc!$B$15,SampleCalc!$B$9*$Z219,SampleCalc!$B$9)+M219</f>
        <v>0.75582947225347175</v>
      </c>
      <c r="O219">
        <f ca="1">HYPGEOMDIST(O$50,SampleCalc!$B$15,SampleCalc!$B$9*$Z219,SampleCalc!$B$9)+N219</f>
        <v>0.86081093134087983</v>
      </c>
      <c r="P219">
        <f ca="1">HYPGEOMDIST(P$50,SampleCalc!$B$15,SampleCalc!$B$9*$Z219,SampleCalc!$B$9)+O219</f>
        <v>0.92884218314618616</v>
      </c>
      <c r="Q219">
        <f ca="1">HYPGEOMDIST(Q$50,SampleCalc!$B$15,SampleCalc!$B$9*$Z219,SampleCalc!$B$9)+P219</f>
        <v>0.96739322583585974</v>
      </c>
      <c r="R219">
        <f ca="1">HYPGEOMDIST(R$50,SampleCalc!$B$15,SampleCalc!$B$9*$Z219,SampleCalc!$B$9)+Q219</f>
        <v>0.98660565218447771</v>
      </c>
      <c r="S219">
        <f ca="1">HYPGEOMDIST(S$50,SampleCalc!$B$15,SampleCalc!$B$9*$Z219,SampleCalc!$B$9)+R219</f>
        <v>0.99506523513904155</v>
      </c>
      <c r="T219">
        <f ca="1">HYPGEOMDIST(T$50,SampleCalc!$B$15,SampleCalc!$B$9*$Z219,SampleCalc!$B$9)+S219</f>
        <v>0.99836850086415696</v>
      </c>
      <c r="U219">
        <f ca="1">HYPGEOMDIST(U$50,SampleCalc!$B$15,SampleCalc!$B$9*$Z219,SampleCalc!$B$9)+T219</f>
        <v>0.99951571023373031</v>
      </c>
      <c r="V219">
        <f ca="1">HYPGEOMDIST(V$50,SampleCalc!$B$15,SampleCalc!$B$9*$Z219,SampleCalc!$B$9)+U219</f>
        <v>0.99987088341316477</v>
      </c>
      <c r="W219">
        <f ca="1">HYPGEOMDIST(W$50,SampleCalc!$B$15,SampleCalc!$B$9*$Z219,SampleCalc!$B$9)+V219</f>
        <v>0.99996907652313971</v>
      </c>
      <c r="X219">
        <f ca="1">HYPGEOMDIST(X$50,SampleCalc!$B$15,SampleCalc!$B$9*$Z219,SampleCalc!$B$9)+W219</f>
        <v>0.99999334745718416</v>
      </c>
      <c r="Y219">
        <f ca="1">HYPGEOMDIST(Y$50,SampleCalc!$B$15,SampleCalc!$B$9*$Z219,SampleCalc!$B$9)+X219</f>
        <v>0.99999871494573134</v>
      </c>
      <c r="Z219">
        <v>8.2000000000000003E-2</v>
      </c>
    </row>
    <row r="220" spans="5:26">
      <c r="E220">
        <f ca="1">HYPGEOMDIST(E$50,SampleCalc!$B$15,SampleCalc!$B$9*$Z220,SampleCalc!$B$9)</f>
        <v>1.3344386626480903E-4</v>
      </c>
      <c r="F220">
        <f ca="1">HYPGEOMDIST(F$50,SampleCalc!$B$15,SampleCalc!$B$9*$Z220,SampleCalc!$B$9)+E220</f>
        <v>1.5373464592973224E-3</v>
      </c>
      <c r="G220">
        <f ca="1">HYPGEOMDIST(G$50,SampleCalc!$B$15,SampleCalc!$B$9*$Z220,SampleCalc!$B$9)+F220</f>
        <v>8.6431649117364676E-3</v>
      </c>
      <c r="H220">
        <f ca="1">HYPGEOMDIST(H$50,SampleCalc!$B$15,SampleCalc!$B$9*$Z220,SampleCalc!$B$9)+G220</f>
        <v>3.1696737583955026E-2</v>
      </c>
      <c r="I220">
        <f ca="1">HYPGEOMDIST(I$50,SampleCalc!$B$15,SampleCalc!$B$9*$Z220,SampleCalc!$B$9)+H220</f>
        <v>8.5587595984161574E-2</v>
      </c>
      <c r="J220">
        <f ca="1">HYPGEOMDIST(J$50,SampleCalc!$B$15,SampleCalc!$B$9*$Z220,SampleCalc!$B$9)+I220</f>
        <v>0.1823282588684349</v>
      </c>
      <c r="K220">
        <f ca="1">HYPGEOMDIST(K$50,SampleCalc!$B$15,SampleCalc!$B$9*$Z220,SampleCalc!$B$9)+J220</f>
        <v>0.32112060629474604</v>
      </c>
      <c r="L220">
        <f ca="1">HYPGEOMDIST(L$50,SampleCalc!$B$15,SampleCalc!$B$9*$Z220,SampleCalc!$B$9)+K220</f>
        <v>0.48465721897264807</v>
      </c>
      <c r="M220">
        <f ca="1">HYPGEOMDIST(M$50,SampleCalc!$B$15,SampleCalc!$B$9*$Z220,SampleCalc!$B$9)+L220</f>
        <v>0.64605071071827924</v>
      </c>
      <c r="N220">
        <f ca="1">HYPGEOMDIST(N$50,SampleCalc!$B$15,SampleCalc!$B$9*$Z220,SampleCalc!$B$9)+M220</f>
        <v>0.78143470617722999</v>
      </c>
      <c r="O220">
        <f ca="1">HYPGEOMDIST(O$50,SampleCalc!$B$15,SampleCalc!$B$9*$Z220,SampleCalc!$B$9)+N220</f>
        <v>0.87906321841059631</v>
      </c>
      <c r="P220">
        <f ca="1">HYPGEOMDIST(P$50,SampleCalc!$B$15,SampleCalc!$B$9*$Z220,SampleCalc!$B$9)+O220</f>
        <v>0.94012541515292003</v>
      </c>
      <c r="Q220">
        <f ca="1">HYPGEOMDIST(Q$50,SampleCalc!$B$15,SampleCalc!$B$9*$Z220,SampleCalc!$B$9)+P220</f>
        <v>0.97348497077566554</v>
      </c>
      <c r="R220">
        <f ca="1">HYPGEOMDIST(R$50,SampleCalc!$B$15,SampleCalc!$B$9*$Z220,SampleCalc!$B$9)+Q220</f>
        <v>0.98949429026652402</v>
      </c>
      <c r="S220">
        <f ca="1">HYPGEOMDIST(S$50,SampleCalc!$B$15,SampleCalc!$B$9*$Z220,SampleCalc!$B$9)+R220</f>
        <v>0.99627374698969373</v>
      </c>
      <c r="T220">
        <f ca="1">HYPGEOMDIST(T$50,SampleCalc!$B$15,SampleCalc!$B$9*$Z220,SampleCalc!$B$9)+S220</f>
        <v>0.99881619232545416</v>
      </c>
      <c r="U220">
        <f ca="1">HYPGEOMDIST(U$50,SampleCalc!$B$15,SampleCalc!$B$9*$Z220,SampleCalc!$B$9)+T220</f>
        <v>0.99966297716178887</v>
      </c>
      <c r="V220">
        <f ca="1">HYPGEOMDIST(V$50,SampleCalc!$B$15,SampleCalc!$B$9*$Z220,SampleCalc!$B$9)+U220</f>
        <v>0.99991399258339808</v>
      </c>
      <c r="W220">
        <f ca="1">HYPGEOMDIST(W$50,SampleCalc!$B$15,SampleCalc!$B$9*$Z220,SampleCalc!$B$9)+V220</f>
        <v>0.99998032402916071</v>
      </c>
      <c r="X220">
        <f ca="1">HYPGEOMDIST(X$50,SampleCalc!$B$15,SampleCalc!$B$9*$Z220,SampleCalc!$B$9)+W220</f>
        <v>0.99999596574428073</v>
      </c>
      <c r="Y220">
        <f ca="1">HYPGEOMDIST(Y$50,SampleCalc!$B$15,SampleCalc!$B$9*$Z220,SampleCalc!$B$9)+X220</f>
        <v>0.99999925905851894</v>
      </c>
      <c r="Z220">
        <v>8.1000000000000003E-2</v>
      </c>
    </row>
    <row r="221" spans="5:26">
      <c r="E221">
        <f ca="1">HYPGEOMDIST(E$50,SampleCalc!$B$15,SampleCalc!$B$9*$Z221,SampleCalc!$B$9)</f>
        <v>1.3344386626480903E-4</v>
      </c>
      <c r="F221">
        <f ca="1">HYPGEOMDIST(F$50,SampleCalc!$B$15,SampleCalc!$B$9*$Z221,SampleCalc!$B$9)+E221</f>
        <v>1.5373464592973224E-3</v>
      </c>
      <c r="G221">
        <f ca="1">HYPGEOMDIST(G$50,SampleCalc!$B$15,SampleCalc!$B$9*$Z221,SampleCalc!$B$9)+F221</f>
        <v>8.6431649117364676E-3</v>
      </c>
      <c r="H221">
        <f ca="1">HYPGEOMDIST(H$50,SampleCalc!$B$15,SampleCalc!$B$9*$Z221,SampleCalc!$B$9)+G221</f>
        <v>3.1696737583955026E-2</v>
      </c>
      <c r="I221">
        <f ca="1">HYPGEOMDIST(I$50,SampleCalc!$B$15,SampleCalc!$B$9*$Z221,SampleCalc!$B$9)+H221</f>
        <v>8.5587595984161574E-2</v>
      </c>
      <c r="J221">
        <f ca="1">HYPGEOMDIST(J$50,SampleCalc!$B$15,SampleCalc!$B$9*$Z221,SampleCalc!$B$9)+I221</f>
        <v>0.1823282588684349</v>
      </c>
      <c r="K221">
        <f ca="1">HYPGEOMDIST(K$50,SampleCalc!$B$15,SampleCalc!$B$9*$Z221,SampleCalc!$B$9)+J221</f>
        <v>0.32112060629474604</v>
      </c>
      <c r="L221">
        <f ca="1">HYPGEOMDIST(L$50,SampleCalc!$B$15,SampleCalc!$B$9*$Z221,SampleCalc!$B$9)+K221</f>
        <v>0.48465721897264807</v>
      </c>
      <c r="M221">
        <f ca="1">HYPGEOMDIST(M$50,SampleCalc!$B$15,SampleCalc!$B$9*$Z221,SampleCalc!$B$9)+L221</f>
        <v>0.64605071071827924</v>
      </c>
      <c r="N221">
        <f ca="1">HYPGEOMDIST(N$50,SampleCalc!$B$15,SampleCalc!$B$9*$Z221,SampleCalc!$B$9)+M221</f>
        <v>0.78143470617722999</v>
      </c>
      <c r="O221">
        <f ca="1">HYPGEOMDIST(O$50,SampleCalc!$B$15,SampleCalc!$B$9*$Z221,SampleCalc!$B$9)+N221</f>
        <v>0.87906321841059631</v>
      </c>
      <c r="P221">
        <f ca="1">HYPGEOMDIST(P$50,SampleCalc!$B$15,SampleCalc!$B$9*$Z221,SampleCalc!$B$9)+O221</f>
        <v>0.94012541515292003</v>
      </c>
      <c r="Q221">
        <f ca="1">HYPGEOMDIST(Q$50,SampleCalc!$B$15,SampleCalc!$B$9*$Z221,SampleCalc!$B$9)+P221</f>
        <v>0.97348497077566554</v>
      </c>
      <c r="R221">
        <f ca="1">HYPGEOMDIST(R$50,SampleCalc!$B$15,SampleCalc!$B$9*$Z221,SampleCalc!$B$9)+Q221</f>
        <v>0.98949429026652402</v>
      </c>
      <c r="S221">
        <f ca="1">HYPGEOMDIST(S$50,SampleCalc!$B$15,SampleCalc!$B$9*$Z221,SampleCalc!$B$9)+R221</f>
        <v>0.99627374698969373</v>
      </c>
      <c r="T221">
        <f ca="1">HYPGEOMDIST(T$50,SampleCalc!$B$15,SampleCalc!$B$9*$Z221,SampleCalc!$B$9)+S221</f>
        <v>0.99881619232545416</v>
      </c>
      <c r="U221">
        <f ca="1">HYPGEOMDIST(U$50,SampleCalc!$B$15,SampleCalc!$B$9*$Z221,SampleCalc!$B$9)+T221</f>
        <v>0.99966297716178887</v>
      </c>
      <c r="V221">
        <f ca="1">HYPGEOMDIST(V$50,SampleCalc!$B$15,SampleCalc!$B$9*$Z221,SampleCalc!$B$9)+U221</f>
        <v>0.99991399258339808</v>
      </c>
      <c r="W221">
        <f ca="1">HYPGEOMDIST(W$50,SampleCalc!$B$15,SampleCalc!$B$9*$Z221,SampleCalc!$B$9)+V221</f>
        <v>0.99998032402916071</v>
      </c>
      <c r="X221">
        <f ca="1">HYPGEOMDIST(X$50,SampleCalc!$B$15,SampleCalc!$B$9*$Z221,SampleCalc!$B$9)+W221</f>
        <v>0.99999596574428073</v>
      </c>
      <c r="Y221">
        <f ca="1">HYPGEOMDIST(Y$50,SampleCalc!$B$15,SampleCalc!$B$9*$Z221,SampleCalc!$B$9)+X221</f>
        <v>0.99999925905851894</v>
      </c>
      <c r="Z221">
        <v>0.08</v>
      </c>
    </row>
    <row r="222" spans="5:26">
      <c r="E222">
        <f ca="1">HYPGEOMDIST(E$50,SampleCalc!$B$15,SampleCalc!$B$9*$Z222,SampleCalc!$B$9)</f>
        <v>1.6854143109062205E-4</v>
      </c>
      <c r="F222">
        <f ca="1">HYPGEOMDIST(F$50,SampleCalc!$B$15,SampleCalc!$B$9*$Z222,SampleCalc!$B$9)+E222</f>
        <v>1.8926373819192776E-3</v>
      </c>
      <c r="G222">
        <f ca="1">HYPGEOMDIST(G$50,SampleCalc!$B$15,SampleCalc!$B$9*$Z222,SampleCalc!$B$9)+F222</f>
        <v>1.037218286215286E-2</v>
      </c>
      <c r="H222">
        <f ca="1">HYPGEOMDIST(H$50,SampleCalc!$B$15,SampleCalc!$B$9*$Z222,SampleCalc!$B$9)+G222</f>
        <v>3.7085823423975678E-2</v>
      </c>
      <c r="I222">
        <f ca="1">HYPGEOMDIST(I$50,SampleCalc!$B$15,SampleCalc!$B$9*$Z222,SampleCalc!$B$9)+H222</f>
        <v>9.7680178844695792E-2</v>
      </c>
      <c r="J222">
        <f ca="1">HYPGEOMDIST(J$50,SampleCalc!$B$15,SampleCalc!$B$9*$Z222,SampleCalc!$B$9)+I222</f>
        <v>0.20314711098238161</v>
      </c>
      <c r="K222">
        <f ca="1">HYPGEOMDIST(K$50,SampleCalc!$B$15,SampleCalc!$B$9*$Z222,SampleCalc!$B$9)+J222</f>
        <v>0.34973951351337884</v>
      </c>
      <c r="L222">
        <f ca="1">HYPGEOMDIST(L$50,SampleCalc!$B$15,SampleCalc!$B$9*$Z222,SampleCalc!$B$9)+K222</f>
        <v>0.51693591732177424</v>
      </c>
      <c r="M222">
        <f ca="1">HYPGEOMDIST(M$50,SampleCalc!$B$15,SampleCalc!$B$9*$Z222,SampleCalc!$B$9)+L222</f>
        <v>0.67651210969654318</v>
      </c>
      <c r="N222">
        <f ca="1">HYPGEOMDIST(N$50,SampleCalc!$B$15,SampleCalc!$B$9*$Z222,SampleCalc!$B$9)+M222</f>
        <v>0.80584183423557154</v>
      </c>
      <c r="O222">
        <f ca="1">HYPGEOMDIST(O$50,SampleCalc!$B$15,SampleCalc!$B$9*$Z222,SampleCalc!$B$9)+N222</f>
        <v>0.89585532251473532</v>
      </c>
      <c r="P222">
        <f ca="1">HYPGEOMDIST(P$50,SampleCalc!$B$15,SampleCalc!$B$9*$Z222,SampleCalc!$B$9)+O222</f>
        <v>0.95013328183974355</v>
      </c>
      <c r="Q222">
        <f ca="1">HYPGEOMDIST(Q$50,SampleCalc!$B$15,SampleCalc!$B$9*$Z222,SampleCalc!$B$9)+P222</f>
        <v>0.97868799961019437</v>
      </c>
      <c r="R222">
        <f ca="1">HYPGEOMDIST(R$50,SampleCalc!$B$15,SampleCalc!$B$9*$Z222,SampleCalc!$B$9)+Q222</f>
        <v>0.99186710011963319</v>
      </c>
      <c r="S222">
        <f ca="1">HYPGEOMDIST(S$50,SampleCalc!$B$15,SampleCalc!$B$9*$Z222,SampleCalc!$B$9)+R222</f>
        <v>0.99722716399060363</v>
      </c>
      <c r="T222">
        <f ca="1">HYPGEOMDIST(T$50,SampleCalc!$B$15,SampleCalc!$B$9*$Z222,SampleCalc!$B$9)+S222</f>
        <v>0.99915490625998771</v>
      </c>
      <c r="U222">
        <f ca="1">HYPGEOMDIST(U$50,SampleCalc!$B$15,SampleCalc!$B$9*$Z222,SampleCalc!$B$9)+T222</f>
        <v>0.99976965871597245</v>
      </c>
      <c r="V222">
        <f ca="1">HYPGEOMDIST(V$50,SampleCalc!$B$15,SampleCalc!$B$9*$Z222,SampleCalc!$B$9)+U222</f>
        <v>0.99994384173399087</v>
      </c>
      <c r="W222">
        <f ca="1">HYPGEOMDIST(W$50,SampleCalc!$B$15,SampleCalc!$B$9*$Z222,SampleCalc!$B$9)+V222</f>
        <v>0.99998775384384231</v>
      </c>
      <c r="X222">
        <f ca="1">HYPGEOMDIST(X$50,SampleCalc!$B$15,SampleCalc!$B$9*$Z222,SampleCalc!$B$9)+W222</f>
        <v>0.99999761240139939</v>
      </c>
      <c r="Y222">
        <f ca="1">HYPGEOMDIST(Y$50,SampleCalc!$B$15,SampleCalc!$B$9*$Z222,SampleCalc!$B$9)+X222</f>
        <v>0.99999958411291079</v>
      </c>
      <c r="Z222">
        <v>7.9000000000000001E-2</v>
      </c>
    </row>
    <row r="223" spans="5:26">
      <c r="E223">
        <f ca="1">HYPGEOMDIST(E$50,SampleCalc!$B$15,SampleCalc!$B$9*$Z223,SampleCalc!$B$9)</f>
        <v>1.6854143109062205E-4</v>
      </c>
      <c r="F223">
        <f ca="1">HYPGEOMDIST(F$50,SampleCalc!$B$15,SampleCalc!$B$9*$Z223,SampleCalc!$B$9)+E223</f>
        <v>1.8926373819192776E-3</v>
      </c>
      <c r="G223">
        <f ca="1">HYPGEOMDIST(G$50,SampleCalc!$B$15,SampleCalc!$B$9*$Z223,SampleCalc!$B$9)+F223</f>
        <v>1.037218286215286E-2</v>
      </c>
      <c r="H223">
        <f ca="1">HYPGEOMDIST(H$50,SampleCalc!$B$15,SampleCalc!$B$9*$Z223,SampleCalc!$B$9)+G223</f>
        <v>3.7085823423975678E-2</v>
      </c>
      <c r="I223">
        <f ca="1">HYPGEOMDIST(I$50,SampleCalc!$B$15,SampleCalc!$B$9*$Z223,SampleCalc!$B$9)+H223</f>
        <v>9.7680178844695792E-2</v>
      </c>
      <c r="J223">
        <f ca="1">HYPGEOMDIST(J$50,SampleCalc!$B$15,SampleCalc!$B$9*$Z223,SampleCalc!$B$9)+I223</f>
        <v>0.20314711098238161</v>
      </c>
      <c r="K223">
        <f ca="1">HYPGEOMDIST(K$50,SampleCalc!$B$15,SampleCalc!$B$9*$Z223,SampleCalc!$B$9)+J223</f>
        <v>0.34973951351337884</v>
      </c>
      <c r="L223">
        <f ca="1">HYPGEOMDIST(L$50,SampleCalc!$B$15,SampleCalc!$B$9*$Z223,SampleCalc!$B$9)+K223</f>
        <v>0.51693591732177424</v>
      </c>
      <c r="M223">
        <f ca="1">HYPGEOMDIST(M$50,SampleCalc!$B$15,SampleCalc!$B$9*$Z223,SampleCalc!$B$9)+L223</f>
        <v>0.67651210969654318</v>
      </c>
      <c r="N223">
        <f ca="1">HYPGEOMDIST(N$50,SampleCalc!$B$15,SampleCalc!$B$9*$Z223,SampleCalc!$B$9)+M223</f>
        <v>0.80584183423557154</v>
      </c>
      <c r="O223">
        <f ca="1">HYPGEOMDIST(O$50,SampleCalc!$B$15,SampleCalc!$B$9*$Z223,SampleCalc!$B$9)+N223</f>
        <v>0.89585532251473532</v>
      </c>
      <c r="P223">
        <f ca="1">HYPGEOMDIST(P$50,SampleCalc!$B$15,SampleCalc!$B$9*$Z223,SampleCalc!$B$9)+O223</f>
        <v>0.95013328183974355</v>
      </c>
      <c r="Q223">
        <f ca="1">HYPGEOMDIST(Q$50,SampleCalc!$B$15,SampleCalc!$B$9*$Z223,SampleCalc!$B$9)+P223</f>
        <v>0.97868799961019437</v>
      </c>
      <c r="R223">
        <f ca="1">HYPGEOMDIST(R$50,SampleCalc!$B$15,SampleCalc!$B$9*$Z223,SampleCalc!$B$9)+Q223</f>
        <v>0.99186710011963319</v>
      </c>
      <c r="S223">
        <f ca="1">HYPGEOMDIST(S$50,SampleCalc!$B$15,SampleCalc!$B$9*$Z223,SampleCalc!$B$9)+R223</f>
        <v>0.99722716399060363</v>
      </c>
      <c r="T223">
        <f ca="1">HYPGEOMDIST(T$50,SampleCalc!$B$15,SampleCalc!$B$9*$Z223,SampleCalc!$B$9)+S223</f>
        <v>0.99915490625998771</v>
      </c>
      <c r="U223">
        <f ca="1">HYPGEOMDIST(U$50,SampleCalc!$B$15,SampleCalc!$B$9*$Z223,SampleCalc!$B$9)+T223</f>
        <v>0.99976965871597245</v>
      </c>
      <c r="V223">
        <f ca="1">HYPGEOMDIST(V$50,SampleCalc!$B$15,SampleCalc!$B$9*$Z223,SampleCalc!$B$9)+U223</f>
        <v>0.99994384173399087</v>
      </c>
      <c r="W223">
        <f ca="1">HYPGEOMDIST(W$50,SampleCalc!$B$15,SampleCalc!$B$9*$Z223,SampleCalc!$B$9)+V223</f>
        <v>0.99998775384384231</v>
      </c>
      <c r="X223">
        <f ca="1">HYPGEOMDIST(X$50,SampleCalc!$B$15,SampleCalc!$B$9*$Z223,SampleCalc!$B$9)+W223</f>
        <v>0.99999761240139939</v>
      </c>
      <c r="Y223">
        <f ca="1">HYPGEOMDIST(Y$50,SampleCalc!$B$15,SampleCalc!$B$9*$Z223,SampleCalc!$B$9)+X223</f>
        <v>0.99999958411291079</v>
      </c>
      <c r="Z223">
        <v>7.8E-2</v>
      </c>
    </row>
    <row r="224" spans="5:26">
      <c r="E224">
        <f ca="1">HYPGEOMDIST(E$50,SampleCalc!$B$15,SampleCalc!$B$9*$Z224,SampleCalc!$B$9)</f>
        <v>2.1274901957340781E-4</v>
      </c>
      <c r="F224">
        <f ca="1">HYPGEOMDIST(F$50,SampleCalc!$B$15,SampleCalc!$B$9*$Z224,SampleCalc!$B$9)+E224</f>
        <v>2.3274858680851027E-3</v>
      </c>
      <c r="G224">
        <f ca="1">HYPGEOMDIST(G$50,SampleCalc!$B$15,SampleCalc!$B$9*$Z224,SampleCalc!$B$9)+F224</f>
        <v>1.2427078289985382E-2</v>
      </c>
      <c r="H224">
        <f ca="1">HYPGEOMDIST(H$50,SampleCalc!$B$15,SampleCalc!$B$9*$Z224,SampleCalc!$B$9)+G224</f>
        <v>4.3300629108152126E-2</v>
      </c>
      <c r="I224">
        <f ca="1">HYPGEOMDIST(I$50,SampleCalc!$B$15,SampleCalc!$B$9*$Z224,SampleCalc!$B$9)+H224</f>
        <v>0.11120158040080941</v>
      </c>
      <c r="J224">
        <f ca="1">HYPGEOMDIST(J$50,SampleCalc!$B$15,SampleCalc!$B$9*$Z224,SampleCalc!$B$9)+I224</f>
        <v>0.22569978829484272</v>
      </c>
      <c r="K224">
        <f ca="1">HYPGEOMDIST(K$50,SampleCalc!$B$15,SampleCalc!$B$9*$Z224,SampleCalc!$B$9)+J224</f>
        <v>0.37974912445334719</v>
      </c>
      <c r="L224">
        <f ca="1">HYPGEOMDIST(L$50,SampleCalc!$B$15,SampleCalc!$B$9*$Z224,SampleCalc!$B$9)+K224</f>
        <v>0.5496694952448038</v>
      </c>
      <c r="M224">
        <f ca="1">HYPGEOMDIST(M$50,SampleCalc!$B$15,SampleCalc!$B$9*$Z224,SampleCalc!$B$9)+L224</f>
        <v>0.70635743074401125</v>
      </c>
      <c r="N224">
        <f ca="1">HYPGEOMDIST(N$50,SampleCalc!$B$15,SampleCalc!$B$9*$Z224,SampleCalc!$B$9)+M224</f>
        <v>0.82892221584561354</v>
      </c>
      <c r="O224">
        <f ca="1">HYPGEOMDIST(O$50,SampleCalc!$B$15,SampleCalc!$B$9*$Z224,SampleCalc!$B$9)+N224</f>
        <v>0.91116449052948112</v>
      </c>
      <c r="P224">
        <f ca="1">HYPGEOMDIST(P$50,SampleCalc!$B$15,SampleCalc!$B$9*$Z224,SampleCalc!$B$9)+O224</f>
        <v>0.95891934884603602</v>
      </c>
      <c r="Q224">
        <f ca="1">HYPGEOMDIST(Q$50,SampleCalc!$B$15,SampleCalc!$B$9*$Z224,SampleCalc!$B$9)+P224</f>
        <v>0.98308103311334061</v>
      </c>
      <c r="R224">
        <f ca="1">HYPGEOMDIST(R$50,SampleCalc!$B$15,SampleCalc!$B$9*$Z224,SampleCalc!$B$9)+Q224</f>
        <v>0.99379122561177646</v>
      </c>
      <c r="S224">
        <f ca="1">HYPGEOMDIST(S$50,SampleCalc!$B$15,SampleCalc!$B$9*$Z224,SampleCalc!$B$9)+R224</f>
        <v>0.99796860332498216</v>
      </c>
      <c r="T224">
        <f ca="1">HYPGEOMDIST(T$50,SampleCalc!$B$15,SampleCalc!$B$9*$Z224,SampleCalc!$B$9)+S224</f>
        <v>0.9994071123957764</v>
      </c>
      <c r="U224">
        <f ca="1">HYPGEOMDIST(U$50,SampleCalc!$B$15,SampleCalc!$B$9*$Z224,SampleCalc!$B$9)+T224</f>
        <v>0.99984558464690365</v>
      </c>
      <c r="V224">
        <f ca="1">HYPGEOMDIST(V$50,SampleCalc!$B$15,SampleCalc!$B$9*$Z224,SampleCalc!$B$9)+U224</f>
        <v>0.99996410886161469</v>
      </c>
      <c r="W224">
        <f ca="1">HYPGEOMDIST(W$50,SampleCalc!$B$15,SampleCalc!$B$9*$Z224,SampleCalc!$B$9)+V224</f>
        <v>0.99999255673085741</v>
      </c>
      <c r="X224">
        <f ca="1">HYPGEOMDIST(X$50,SampleCalc!$B$15,SampleCalc!$B$9*$Z224,SampleCalc!$B$9)+W224</f>
        <v>0.99999862353550795</v>
      </c>
      <c r="Y224">
        <f ca="1">HYPGEOMDIST(Y$50,SampleCalc!$B$15,SampleCalc!$B$9*$Z224,SampleCalc!$B$9)+X224</f>
        <v>0.99999977324214051</v>
      </c>
      <c r="Z224">
        <v>7.6999999999999999E-2</v>
      </c>
    </row>
    <row r="225" spans="5:26">
      <c r="E225">
        <f ca="1">HYPGEOMDIST(E$50,SampleCalc!$B$15,SampleCalc!$B$9*$Z225,SampleCalc!$B$9)</f>
        <v>2.1274901957340781E-4</v>
      </c>
      <c r="F225">
        <f ca="1">HYPGEOMDIST(F$50,SampleCalc!$B$15,SampleCalc!$B$9*$Z225,SampleCalc!$B$9)+E225</f>
        <v>2.3274858680851027E-3</v>
      </c>
      <c r="G225">
        <f ca="1">HYPGEOMDIST(G$50,SampleCalc!$B$15,SampleCalc!$B$9*$Z225,SampleCalc!$B$9)+F225</f>
        <v>1.2427078289985382E-2</v>
      </c>
      <c r="H225">
        <f ca="1">HYPGEOMDIST(H$50,SampleCalc!$B$15,SampleCalc!$B$9*$Z225,SampleCalc!$B$9)+G225</f>
        <v>4.3300629108152126E-2</v>
      </c>
      <c r="I225">
        <f ca="1">HYPGEOMDIST(I$50,SampleCalc!$B$15,SampleCalc!$B$9*$Z225,SampleCalc!$B$9)+H225</f>
        <v>0.11120158040080941</v>
      </c>
      <c r="J225">
        <f ca="1">HYPGEOMDIST(J$50,SampleCalc!$B$15,SampleCalc!$B$9*$Z225,SampleCalc!$B$9)+I225</f>
        <v>0.22569978829484272</v>
      </c>
      <c r="K225">
        <f ca="1">HYPGEOMDIST(K$50,SampleCalc!$B$15,SampleCalc!$B$9*$Z225,SampleCalc!$B$9)+J225</f>
        <v>0.37974912445334719</v>
      </c>
      <c r="L225">
        <f ca="1">HYPGEOMDIST(L$50,SampleCalc!$B$15,SampleCalc!$B$9*$Z225,SampleCalc!$B$9)+K225</f>
        <v>0.5496694952448038</v>
      </c>
      <c r="M225">
        <f ca="1">HYPGEOMDIST(M$50,SampleCalc!$B$15,SampleCalc!$B$9*$Z225,SampleCalc!$B$9)+L225</f>
        <v>0.70635743074401125</v>
      </c>
      <c r="N225">
        <f ca="1">HYPGEOMDIST(N$50,SampleCalc!$B$15,SampleCalc!$B$9*$Z225,SampleCalc!$B$9)+M225</f>
        <v>0.82892221584561354</v>
      </c>
      <c r="O225">
        <f ca="1">HYPGEOMDIST(O$50,SampleCalc!$B$15,SampleCalc!$B$9*$Z225,SampleCalc!$B$9)+N225</f>
        <v>0.91116449052948112</v>
      </c>
      <c r="P225">
        <f ca="1">HYPGEOMDIST(P$50,SampleCalc!$B$15,SampleCalc!$B$9*$Z225,SampleCalc!$B$9)+O225</f>
        <v>0.95891934884603602</v>
      </c>
      <c r="Q225">
        <f ca="1">HYPGEOMDIST(Q$50,SampleCalc!$B$15,SampleCalc!$B$9*$Z225,SampleCalc!$B$9)+P225</f>
        <v>0.98308103311334061</v>
      </c>
      <c r="R225">
        <f ca="1">HYPGEOMDIST(R$50,SampleCalc!$B$15,SampleCalc!$B$9*$Z225,SampleCalc!$B$9)+Q225</f>
        <v>0.99379122561177646</v>
      </c>
      <c r="S225">
        <f ca="1">HYPGEOMDIST(S$50,SampleCalc!$B$15,SampleCalc!$B$9*$Z225,SampleCalc!$B$9)+R225</f>
        <v>0.99796860332498216</v>
      </c>
      <c r="T225">
        <f ca="1">HYPGEOMDIST(T$50,SampleCalc!$B$15,SampleCalc!$B$9*$Z225,SampleCalc!$B$9)+S225</f>
        <v>0.9994071123957764</v>
      </c>
      <c r="U225">
        <f ca="1">HYPGEOMDIST(U$50,SampleCalc!$B$15,SampleCalc!$B$9*$Z225,SampleCalc!$B$9)+T225</f>
        <v>0.99984558464690365</v>
      </c>
      <c r="V225">
        <f ca="1">HYPGEOMDIST(V$50,SampleCalc!$B$15,SampleCalc!$B$9*$Z225,SampleCalc!$B$9)+U225</f>
        <v>0.99996410886161469</v>
      </c>
      <c r="W225">
        <f ca="1">HYPGEOMDIST(W$50,SampleCalc!$B$15,SampleCalc!$B$9*$Z225,SampleCalc!$B$9)+V225</f>
        <v>0.99999255673085741</v>
      </c>
      <c r="X225">
        <f ca="1">HYPGEOMDIST(X$50,SampleCalc!$B$15,SampleCalc!$B$9*$Z225,SampleCalc!$B$9)+W225</f>
        <v>0.99999862353550795</v>
      </c>
      <c r="Y225">
        <f ca="1">HYPGEOMDIST(Y$50,SampleCalc!$B$15,SampleCalc!$B$9*$Z225,SampleCalc!$B$9)+X225</f>
        <v>0.99999977324214051</v>
      </c>
      <c r="Z225">
        <v>7.5999999999999998E-2</v>
      </c>
    </row>
    <row r="226" spans="5:26">
      <c r="E226">
        <f ca="1">HYPGEOMDIST(E$50,SampleCalc!$B$15,SampleCalc!$B$9*$Z226,SampleCalc!$B$9)</f>
        <v>2.6839998927108411E-4</v>
      </c>
      <c r="F226">
        <f ca="1">HYPGEOMDIST(F$50,SampleCalc!$B$15,SampleCalc!$B$9*$Z226,SampleCalc!$B$9)+E226</f>
        <v>2.8590433639745904E-3</v>
      </c>
      <c r="G226">
        <f ca="1">HYPGEOMDIST(G$50,SampleCalc!$B$15,SampleCalc!$B$9*$Z226,SampleCalc!$B$9)+F226</f>
        <v>1.4864463880893292E-2</v>
      </c>
      <c r="H226">
        <f ca="1">HYPGEOMDIST(H$50,SampleCalc!$B$15,SampleCalc!$B$9*$Z226,SampleCalc!$B$9)+G226</f>
        <v>5.0448097665273951E-2</v>
      </c>
      <c r="I226">
        <f ca="1">HYPGEOMDIST(I$50,SampleCalc!$B$15,SampleCalc!$B$9*$Z226,SampleCalc!$B$9)+H226</f>
        <v>0.1262671340710769</v>
      </c>
      <c r="J226">
        <f ca="1">HYPGEOMDIST(J$50,SampleCalc!$B$15,SampleCalc!$B$9*$Z226,SampleCalc!$B$9)+I226</f>
        <v>0.2500233676882907</v>
      </c>
      <c r="K226">
        <f ca="1">HYPGEOMDIST(K$50,SampleCalc!$B$15,SampleCalc!$B$9*$Z226,SampleCalc!$B$9)+J226</f>
        <v>0.41105024538861556</v>
      </c>
      <c r="L226">
        <f ca="1">HYPGEOMDIST(L$50,SampleCalc!$B$15,SampleCalc!$B$9*$Z226,SampleCalc!$B$9)+K226</f>
        <v>0.58265642903411075</v>
      </c>
      <c r="M226">
        <f ca="1">HYPGEOMDIST(M$50,SampleCalc!$B$15,SampleCalc!$B$9*$Z226,SampleCalc!$B$9)+L226</f>
        <v>0.7353859324786014</v>
      </c>
      <c r="N226">
        <f ca="1">HYPGEOMDIST(N$50,SampleCalc!$B$15,SampleCalc!$B$9*$Z226,SampleCalc!$B$9)+M226</f>
        <v>0.85056491970978931</v>
      </c>
      <c r="O226">
        <f ca="1">HYPGEOMDIST(O$50,SampleCalc!$B$15,SampleCalc!$B$9*$Z226,SampleCalc!$B$9)+N226</f>
        <v>0.92498826530532607</v>
      </c>
      <c r="P226">
        <f ca="1">HYPGEOMDIST(P$50,SampleCalc!$B$15,SampleCalc!$B$9*$Z226,SampleCalc!$B$9)+O226</f>
        <v>0.96654935440413237</v>
      </c>
      <c r="Q226">
        <f ca="1">HYPGEOMDIST(Q$50,SampleCalc!$B$15,SampleCalc!$B$9*$Z226,SampleCalc!$B$9)+P226</f>
        <v>0.98674504633648985</v>
      </c>
      <c r="R226">
        <f ca="1">HYPGEOMDIST(R$50,SampleCalc!$B$15,SampleCalc!$B$9*$Z226,SampleCalc!$B$9)+Q226</f>
        <v>0.99533025950611553</v>
      </c>
      <c r="S226">
        <f ca="1">HYPGEOMDIST(S$50,SampleCalc!$B$15,SampleCalc!$B$9*$Z226,SampleCalc!$B$9)+R226</f>
        <v>0.9985364358529274</v>
      </c>
      <c r="T226">
        <f ca="1">HYPGEOMDIST(T$50,SampleCalc!$B$15,SampleCalc!$B$9*$Z226,SampleCalc!$B$9)+S226</f>
        <v>0.99959173229098797</v>
      </c>
      <c r="U226">
        <f ca="1">HYPGEOMDIST(U$50,SampleCalc!$B$15,SampleCalc!$B$9*$Z226,SampleCalc!$B$9)+T226</f>
        <v>0.99989860863769553</v>
      </c>
      <c r="V226">
        <f ca="1">HYPGEOMDIST(V$50,SampleCalc!$B$15,SampleCalc!$B$9*$Z226,SampleCalc!$B$9)+U226</f>
        <v>0.99997758416809823</v>
      </c>
      <c r="W226">
        <f ca="1">HYPGEOMDIST(W$50,SampleCalc!$B$15,SampleCalc!$B$9*$Z226,SampleCalc!$B$9)+V226</f>
        <v>0.99999559013318284</v>
      </c>
      <c r="X226">
        <f ca="1">HYPGEOMDIST(X$50,SampleCalc!$B$15,SampleCalc!$B$9*$Z226,SampleCalc!$B$9)+W226</f>
        <v>0.99999922864426216</v>
      </c>
      <c r="Y226">
        <f ca="1">HYPGEOMDIST(Y$50,SampleCalc!$B$15,SampleCalc!$B$9*$Z226,SampleCalc!$B$9)+X226</f>
        <v>0.99999988019159491</v>
      </c>
      <c r="Z226">
        <v>7.4999999999999997E-2</v>
      </c>
    </row>
    <row r="227" spans="5:26">
      <c r="E227">
        <f ca="1">HYPGEOMDIST(E$50,SampleCalc!$B$15,SampleCalc!$B$9*$Z227,SampleCalc!$B$9)</f>
        <v>2.6839998927108411E-4</v>
      </c>
      <c r="F227">
        <f ca="1">HYPGEOMDIST(F$50,SampleCalc!$B$15,SampleCalc!$B$9*$Z227,SampleCalc!$B$9)+E227</f>
        <v>2.8590433639745904E-3</v>
      </c>
      <c r="G227">
        <f ca="1">HYPGEOMDIST(G$50,SampleCalc!$B$15,SampleCalc!$B$9*$Z227,SampleCalc!$B$9)+F227</f>
        <v>1.4864463880893292E-2</v>
      </c>
      <c r="H227">
        <f ca="1">HYPGEOMDIST(H$50,SampleCalc!$B$15,SampleCalc!$B$9*$Z227,SampleCalc!$B$9)+G227</f>
        <v>5.0448097665273951E-2</v>
      </c>
      <c r="I227">
        <f ca="1">HYPGEOMDIST(I$50,SampleCalc!$B$15,SampleCalc!$B$9*$Z227,SampleCalc!$B$9)+H227</f>
        <v>0.1262671340710769</v>
      </c>
      <c r="J227">
        <f ca="1">HYPGEOMDIST(J$50,SampleCalc!$B$15,SampleCalc!$B$9*$Z227,SampleCalc!$B$9)+I227</f>
        <v>0.2500233676882907</v>
      </c>
      <c r="K227">
        <f ca="1">HYPGEOMDIST(K$50,SampleCalc!$B$15,SampleCalc!$B$9*$Z227,SampleCalc!$B$9)+J227</f>
        <v>0.41105024538861556</v>
      </c>
      <c r="L227">
        <f ca="1">HYPGEOMDIST(L$50,SampleCalc!$B$15,SampleCalc!$B$9*$Z227,SampleCalc!$B$9)+K227</f>
        <v>0.58265642903411075</v>
      </c>
      <c r="M227">
        <f ca="1">HYPGEOMDIST(M$50,SampleCalc!$B$15,SampleCalc!$B$9*$Z227,SampleCalc!$B$9)+L227</f>
        <v>0.7353859324786014</v>
      </c>
      <c r="N227">
        <f ca="1">HYPGEOMDIST(N$50,SampleCalc!$B$15,SampleCalc!$B$9*$Z227,SampleCalc!$B$9)+M227</f>
        <v>0.85056491970978931</v>
      </c>
      <c r="O227">
        <f ca="1">HYPGEOMDIST(O$50,SampleCalc!$B$15,SampleCalc!$B$9*$Z227,SampleCalc!$B$9)+N227</f>
        <v>0.92498826530532607</v>
      </c>
      <c r="P227">
        <f ca="1">HYPGEOMDIST(P$50,SampleCalc!$B$15,SampleCalc!$B$9*$Z227,SampleCalc!$B$9)+O227</f>
        <v>0.96654935440413237</v>
      </c>
      <c r="Q227">
        <f ca="1">HYPGEOMDIST(Q$50,SampleCalc!$B$15,SampleCalc!$B$9*$Z227,SampleCalc!$B$9)+P227</f>
        <v>0.98674504633648985</v>
      </c>
      <c r="R227">
        <f ca="1">HYPGEOMDIST(R$50,SampleCalc!$B$15,SampleCalc!$B$9*$Z227,SampleCalc!$B$9)+Q227</f>
        <v>0.99533025950611553</v>
      </c>
      <c r="S227">
        <f ca="1">HYPGEOMDIST(S$50,SampleCalc!$B$15,SampleCalc!$B$9*$Z227,SampleCalc!$B$9)+R227</f>
        <v>0.9985364358529274</v>
      </c>
      <c r="T227">
        <f ca="1">HYPGEOMDIST(T$50,SampleCalc!$B$15,SampleCalc!$B$9*$Z227,SampleCalc!$B$9)+S227</f>
        <v>0.99959173229098797</v>
      </c>
      <c r="U227">
        <f ca="1">HYPGEOMDIST(U$50,SampleCalc!$B$15,SampleCalc!$B$9*$Z227,SampleCalc!$B$9)+T227</f>
        <v>0.99989860863769553</v>
      </c>
      <c r="V227">
        <f ca="1">HYPGEOMDIST(V$50,SampleCalc!$B$15,SampleCalc!$B$9*$Z227,SampleCalc!$B$9)+U227</f>
        <v>0.99997758416809823</v>
      </c>
      <c r="W227">
        <f ca="1">HYPGEOMDIST(W$50,SampleCalc!$B$15,SampleCalc!$B$9*$Z227,SampleCalc!$B$9)+V227</f>
        <v>0.99999559013318284</v>
      </c>
      <c r="X227">
        <f ca="1">HYPGEOMDIST(X$50,SampleCalc!$B$15,SampleCalc!$B$9*$Z227,SampleCalc!$B$9)+W227</f>
        <v>0.99999922864426216</v>
      </c>
      <c r="Y227">
        <f ca="1">HYPGEOMDIST(Y$50,SampleCalc!$B$15,SampleCalc!$B$9*$Z227,SampleCalc!$B$9)+X227</f>
        <v>0.99999988019159491</v>
      </c>
      <c r="Z227">
        <v>7.3999999999999996E-2</v>
      </c>
    </row>
    <row r="228" spans="5:26">
      <c r="E228">
        <f ca="1">HYPGEOMDIST(E$50,SampleCalc!$B$15,SampleCalc!$B$9*$Z228,SampleCalc!$B$9)</f>
        <v>3.3841737777658414E-4</v>
      </c>
      <c r="F228">
        <f ca="1">HYPGEOMDIST(F$50,SampleCalc!$B$15,SampleCalc!$B$9*$Z228,SampleCalc!$B$9)+E228</f>
        <v>3.5079850135377663E-3</v>
      </c>
      <c r="G228">
        <f ca="1">HYPGEOMDIST(G$50,SampleCalc!$B$15,SampleCalc!$B$9*$Z228,SampleCalc!$B$9)+F228</f>
        <v>1.7749623376924165E-2</v>
      </c>
      <c r="H228">
        <f ca="1">HYPGEOMDIST(H$50,SampleCalc!$B$15,SampleCalc!$B$9*$Z228,SampleCalc!$B$9)+G228</f>
        <v>5.8644750249685074E-2</v>
      </c>
      <c r="I228">
        <f ca="1">HYPGEOMDIST(I$50,SampleCalc!$B$15,SampleCalc!$B$9*$Z228,SampleCalc!$B$9)+H228</f>
        <v>0.14299094942475443</v>
      </c>
      <c r="J228">
        <f ca="1">HYPGEOMDIST(J$50,SampleCalc!$B$15,SampleCalc!$B$9*$Z228,SampleCalc!$B$9)+I228</f>
        <v>0.27613583434239758</v>
      </c>
      <c r="K228">
        <f ca="1">HYPGEOMDIST(K$50,SampleCalc!$B$15,SampleCalc!$B$9*$Z228,SampleCalc!$B$9)+J228</f>
        <v>0.443516280132358</v>
      </c>
      <c r="L228">
        <f ca="1">HYPGEOMDIST(L$50,SampleCalc!$B$15,SampleCalc!$B$9*$Z228,SampleCalc!$B$9)+K228</f>
        <v>0.61567902437346012</v>
      </c>
      <c r="M228">
        <f ca="1">HYPGEOMDIST(M$50,SampleCalc!$B$15,SampleCalc!$B$9*$Z228,SampleCalc!$B$9)+L228</f>
        <v>0.76340244288618764</v>
      </c>
      <c r="N228">
        <f ca="1">HYPGEOMDIST(N$50,SampleCalc!$B$15,SampleCalc!$B$9*$Z228,SampleCalc!$B$9)+M228</f>
        <v>0.87067933743831272</v>
      </c>
      <c r="O228">
        <f ca="1">HYPGEOMDIST(O$50,SampleCalc!$B$15,SampleCalc!$B$9*$Z228,SampleCalc!$B$9)+N228</f>
        <v>0.93734426476713328</v>
      </c>
      <c r="P228">
        <f ca="1">HYPGEOMDIST(P$50,SampleCalc!$B$15,SampleCalc!$B$9*$Z228,SampleCalc!$B$9)+O228</f>
        <v>0.97309930854435633</v>
      </c>
      <c r="Q228">
        <f ca="1">HYPGEOMDIST(Q$50,SampleCalc!$B$15,SampleCalc!$B$9*$Z228,SampleCalc!$B$9)+P228</f>
        <v>0.98976147258527714</v>
      </c>
      <c r="R228">
        <f ca="1">HYPGEOMDIST(R$50,SampleCalc!$B$15,SampleCalc!$B$9*$Z228,SampleCalc!$B$9)+Q228</f>
        <v>0.99654340731301716</v>
      </c>
      <c r="S228">
        <f ca="1">HYPGEOMDIST(S$50,SampleCalc!$B$15,SampleCalc!$B$9*$Z228,SampleCalc!$B$9)+R228</f>
        <v>0.99896425873322203</v>
      </c>
      <c r="T228">
        <f ca="1">HYPGEOMDIST(T$50,SampleCalc!$B$15,SampleCalc!$B$9*$Z228,SampleCalc!$B$9)+S228</f>
        <v>0.99972443557605051</v>
      </c>
      <c r="U228">
        <f ca="1">HYPGEOMDIST(U$50,SampleCalc!$B$15,SampleCalc!$B$9*$Z228,SampleCalc!$B$9)+T228</f>
        <v>0.99993489469220465</v>
      </c>
      <c r="V228">
        <f ca="1">HYPGEOMDIST(V$50,SampleCalc!$B$15,SampleCalc!$B$9*$Z228,SampleCalc!$B$9)+U228</f>
        <v>0.99998634382678775</v>
      </c>
      <c r="W228">
        <f ca="1">HYPGEOMDIST(W$50,SampleCalc!$B$15,SampleCalc!$B$9*$Z228,SampleCalc!$B$9)+V228</f>
        <v>0.99999745855779076</v>
      </c>
      <c r="X228">
        <f ca="1">HYPGEOMDIST(X$50,SampleCalc!$B$15,SampleCalc!$B$9*$Z228,SampleCalc!$B$9)+W228</f>
        <v>0.99999958083200924</v>
      </c>
      <c r="Y228">
        <f ca="1">HYPGEOMDIST(Y$50,SampleCalc!$B$15,SampleCalc!$B$9*$Z228,SampleCalc!$B$9)+X228</f>
        <v>0.99999993882903915</v>
      </c>
      <c r="Z228">
        <v>7.2999999999999995E-2</v>
      </c>
    </row>
    <row r="229" spans="5:26">
      <c r="E229">
        <f ca="1">HYPGEOMDIST(E$50,SampleCalc!$B$15,SampleCalc!$B$9*$Z229,SampleCalc!$B$9)</f>
        <v>3.3841737777658414E-4</v>
      </c>
      <c r="F229">
        <f ca="1">HYPGEOMDIST(F$50,SampleCalc!$B$15,SampleCalc!$B$9*$Z229,SampleCalc!$B$9)+E229</f>
        <v>3.5079850135377663E-3</v>
      </c>
      <c r="G229">
        <f ca="1">HYPGEOMDIST(G$50,SampleCalc!$B$15,SampleCalc!$B$9*$Z229,SampleCalc!$B$9)+F229</f>
        <v>1.7749623376924165E-2</v>
      </c>
      <c r="H229">
        <f ca="1">HYPGEOMDIST(H$50,SampleCalc!$B$15,SampleCalc!$B$9*$Z229,SampleCalc!$B$9)+G229</f>
        <v>5.8644750249685074E-2</v>
      </c>
      <c r="I229">
        <f ca="1">HYPGEOMDIST(I$50,SampleCalc!$B$15,SampleCalc!$B$9*$Z229,SampleCalc!$B$9)+H229</f>
        <v>0.14299094942475443</v>
      </c>
      <c r="J229">
        <f ca="1">HYPGEOMDIST(J$50,SampleCalc!$B$15,SampleCalc!$B$9*$Z229,SampleCalc!$B$9)+I229</f>
        <v>0.27613583434239758</v>
      </c>
      <c r="K229">
        <f ca="1">HYPGEOMDIST(K$50,SampleCalc!$B$15,SampleCalc!$B$9*$Z229,SampleCalc!$B$9)+J229</f>
        <v>0.443516280132358</v>
      </c>
      <c r="L229">
        <f ca="1">HYPGEOMDIST(L$50,SampleCalc!$B$15,SampleCalc!$B$9*$Z229,SampleCalc!$B$9)+K229</f>
        <v>0.61567902437346012</v>
      </c>
      <c r="M229">
        <f ca="1">HYPGEOMDIST(M$50,SampleCalc!$B$15,SampleCalc!$B$9*$Z229,SampleCalc!$B$9)+L229</f>
        <v>0.76340244288618764</v>
      </c>
      <c r="N229">
        <f ca="1">HYPGEOMDIST(N$50,SampleCalc!$B$15,SampleCalc!$B$9*$Z229,SampleCalc!$B$9)+M229</f>
        <v>0.87067933743831272</v>
      </c>
      <c r="O229">
        <f ca="1">HYPGEOMDIST(O$50,SampleCalc!$B$15,SampleCalc!$B$9*$Z229,SampleCalc!$B$9)+N229</f>
        <v>0.93734426476713328</v>
      </c>
      <c r="P229">
        <f ca="1">HYPGEOMDIST(P$50,SampleCalc!$B$15,SampleCalc!$B$9*$Z229,SampleCalc!$B$9)+O229</f>
        <v>0.97309930854435633</v>
      </c>
      <c r="Q229">
        <f ca="1">HYPGEOMDIST(Q$50,SampleCalc!$B$15,SampleCalc!$B$9*$Z229,SampleCalc!$B$9)+P229</f>
        <v>0.98976147258527714</v>
      </c>
      <c r="R229">
        <f ca="1">HYPGEOMDIST(R$50,SampleCalc!$B$15,SampleCalc!$B$9*$Z229,SampleCalc!$B$9)+Q229</f>
        <v>0.99654340731301716</v>
      </c>
      <c r="S229">
        <f ca="1">HYPGEOMDIST(S$50,SampleCalc!$B$15,SampleCalc!$B$9*$Z229,SampleCalc!$B$9)+R229</f>
        <v>0.99896425873322203</v>
      </c>
      <c r="T229">
        <f ca="1">HYPGEOMDIST(T$50,SampleCalc!$B$15,SampleCalc!$B$9*$Z229,SampleCalc!$B$9)+S229</f>
        <v>0.99972443557605051</v>
      </c>
      <c r="U229">
        <f ca="1">HYPGEOMDIST(U$50,SampleCalc!$B$15,SampleCalc!$B$9*$Z229,SampleCalc!$B$9)+T229</f>
        <v>0.99993489469220465</v>
      </c>
      <c r="V229">
        <f ca="1">HYPGEOMDIST(V$50,SampleCalc!$B$15,SampleCalc!$B$9*$Z229,SampleCalc!$B$9)+U229</f>
        <v>0.99998634382678775</v>
      </c>
      <c r="W229">
        <f ca="1">HYPGEOMDIST(W$50,SampleCalc!$B$15,SampleCalc!$B$9*$Z229,SampleCalc!$B$9)+V229</f>
        <v>0.99999745855779076</v>
      </c>
      <c r="X229">
        <f ca="1">HYPGEOMDIST(X$50,SampleCalc!$B$15,SampleCalc!$B$9*$Z229,SampleCalc!$B$9)+W229</f>
        <v>0.99999958083200924</v>
      </c>
      <c r="Y229">
        <f ca="1">HYPGEOMDIST(Y$50,SampleCalc!$B$15,SampleCalc!$B$9*$Z229,SampleCalc!$B$9)+X229</f>
        <v>0.99999993882903915</v>
      </c>
      <c r="Z229">
        <v>7.1999999999999995E-2</v>
      </c>
    </row>
    <row r="230" spans="5:26">
      <c r="E230">
        <f ca="1">HYPGEOMDIST(E$50,SampleCalc!$B$15,SampleCalc!$B$9*$Z230,SampleCalc!$B$9)</f>
        <v>4.264609232143951E-4</v>
      </c>
      <c r="F230">
        <f ca="1">HYPGEOMDIST(F$50,SampleCalc!$B$15,SampleCalc!$B$9*$Z230,SampleCalc!$B$9)+E230</f>
        <v>4.2991871448370116E-3</v>
      </c>
      <c r="G230">
        <f ca="1">HYPGEOMDIST(G$50,SampleCalc!$B$15,SampleCalc!$B$9*$Z230,SampleCalc!$B$9)+F230</f>
        <v>2.1157550616320901E-2</v>
      </c>
      <c r="H230">
        <f ca="1">HYPGEOMDIST(H$50,SampleCalc!$B$15,SampleCalc!$B$9*$Z230,SampleCalc!$B$9)+G230</f>
        <v>6.8016550158026087E-2</v>
      </c>
      <c r="I230">
        <f ca="1">HYPGEOMDIST(I$50,SampleCalc!$B$15,SampleCalc!$B$9*$Z230,SampleCalc!$B$9)+H230</f>
        <v>0.16148329455220495</v>
      </c>
      <c r="J230">
        <f ca="1">HYPGEOMDIST(J$50,SampleCalc!$B$15,SampleCalc!$B$9*$Z230,SampleCalc!$B$9)+I230</f>
        <v>0.30403257530739103</v>
      </c>
      <c r="K230">
        <f ca="1">HYPGEOMDIST(K$50,SampleCalc!$B$15,SampleCalc!$B$9*$Z230,SampleCalc!$B$9)+J230</f>
        <v>0.4769923692903501</v>
      </c>
      <c r="L230">
        <f ca="1">HYPGEOMDIST(L$50,SampleCalc!$B$15,SampleCalc!$B$9*$Z230,SampleCalc!$B$9)+K230</f>
        <v>0.64850645070962165</v>
      </c>
      <c r="M230">
        <f ca="1">HYPGEOMDIST(M$50,SampleCalc!$B$15,SampleCalc!$B$9*$Z230,SampleCalc!$B$9)+L230</f>
        <v>0.79022166652421877</v>
      </c>
      <c r="N230">
        <f ca="1">HYPGEOMDIST(N$50,SampleCalc!$B$15,SampleCalc!$B$9*$Z230,SampleCalc!$B$9)+M230</f>
        <v>0.88919737280742939</v>
      </c>
      <c r="O230">
        <f ca="1">HYPGEOMDIST(O$50,SampleCalc!$B$15,SampleCalc!$B$9*$Z230,SampleCalc!$B$9)+N230</f>
        <v>0.94826941703239576</v>
      </c>
      <c r="P230">
        <f ca="1">HYPGEOMDIST(P$50,SampleCalc!$B$15,SampleCalc!$B$9*$Z230,SampleCalc!$B$9)+O230</f>
        <v>0.97865336322466312</v>
      </c>
      <c r="Q230">
        <f ca="1">HYPGEOMDIST(Q$50,SampleCalc!$B$15,SampleCalc!$B$9*$Z230,SampleCalc!$B$9)+P230</f>
        <v>0.99221050457029425</v>
      </c>
      <c r="R230">
        <f ca="1">HYPGEOMDIST(R$50,SampleCalc!$B$15,SampleCalc!$B$9*$Z230,SampleCalc!$B$9)+Q230</f>
        <v>0.99748484953198557</v>
      </c>
      <c r="S230">
        <f ca="1">HYPGEOMDIST(S$50,SampleCalc!$B$15,SampleCalc!$B$9*$Z230,SampleCalc!$B$9)+R230</f>
        <v>0.99928099908440038</v>
      </c>
      <c r="T230">
        <f ca="1">HYPGEOMDIST(T$50,SampleCalc!$B$15,SampleCalc!$B$9*$Z230,SampleCalc!$B$9)+S230</f>
        <v>0.99981797296100772</v>
      </c>
      <c r="U230">
        <f ca="1">HYPGEOMDIST(U$50,SampleCalc!$B$15,SampleCalc!$B$9*$Z230,SampleCalc!$B$9)+T230</f>
        <v>0.99995919011686873</v>
      </c>
      <c r="V230">
        <f ca="1">HYPGEOMDIST(V$50,SampleCalc!$B$15,SampleCalc!$B$9*$Z230,SampleCalc!$B$9)+U230</f>
        <v>0.9999919011922892</v>
      </c>
      <c r="W230">
        <f ca="1">HYPGEOMDIST(W$50,SampleCalc!$B$15,SampleCalc!$B$9*$Z230,SampleCalc!$B$9)+V230</f>
        <v>0.99999857864696162</v>
      </c>
      <c r="X230">
        <f ca="1">HYPGEOMDIST(X$50,SampleCalc!$B$15,SampleCalc!$B$9*$Z230,SampleCalc!$B$9)+W230</f>
        <v>0.99999977971924803</v>
      </c>
      <c r="Y230">
        <f ca="1">HYPGEOMDIST(Y$50,SampleCalc!$B$15,SampleCalc!$B$9*$Z230,SampleCalc!$B$9)+X230</f>
        <v>0.99999996991475659</v>
      </c>
      <c r="Z230">
        <v>7.0999999999999994E-2</v>
      </c>
    </row>
    <row r="231" spans="5:26">
      <c r="E231">
        <f ca="1">HYPGEOMDIST(E$50,SampleCalc!$B$15,SampleCalc!$B$9*$Z231,SampleCalc!$B$9)</f>
        <v>4.264609232143951E-4</v>
      </c>
      <c r="F231">
        <f ca="1">HYPGEOMDIST(F$50,SampleCalc!$B$15,SampleCalc!$B$9*$Z231,SampleCalc!$B$9)+E231</f>
        <v>4.2991871448370116E-3</v>
      </c>
      <c r="G231">
        <f ca="1">HYPGEOMDIST(G$50,SampleCalc!$B$15,SampleCalc!$B$9*$Z231,SampleCalc!$B$9)+F231</f>
        <v>2.1157550616320901E-2</v>
      </c>
      <c r="H231">
        <f ca="1">HYPGEOMDIST(H$50,SampleCalc!$B$15,SampleCalc!$B$9*$Z231,SampleCalc!$B$9)+G231</f>
        <v>6.8016550158026087E-2</v>
      </c>
      <c r="I231">
        <f ca="1">HYPGEOMDIST(I$50,SampleCalc!$B$15,SampleCalc!$B$9*$Z231,SampleCalc!$B$9)+H231</f>
        <v>0.16148329455220495</v>
      </c>
      <c r="J231">
        <f ca="1">HYPGEOMDIST(J$50,SampleCalc!$B$15,SampleCalc!$B$9*$Z231,SampleCalc!$B$9)+I231</f>
        <v>0.30403257530739103</v>
      </c>
      <c r="K231">
        <f ca="1">HYPGEOMDIST(K$50,SampleCalc!$B$15,SampleCalc!$B$9*$Z231,SampleCalc!$B$9)+J231</f>
        <v>0.4769923692903501</v>
      </c>
      <c r="L231">
        <f ca="1">HYPGEOMDIST(L$50,SampleCalc!$B$15,SampleCalc!$B$9*$Z231,SampleCalc!$B$9)+K231</f>
        <v>0.64850645070962165</v>
      </c>
      <c r="M231">
        <f ca="1">HYPGEOMDIST(M$50,SampleCalc!$B$15,SampleCalc!$B$9*$Z231,SampleCalc!$B$9)+L231</f>
        <v>0.79022166652421877</v>
      </c>
      <c r="N231">
        <f ca="1">HYPGEOMDIST(N$50,SampleCalc!$B$15,SampleCalc!$B$9*$Z231,SampleCalc!$B$9)+M231</f>
        <v>0.88919737280742939</v>
      </c>
      <c r="O231">
        <f ca="1">HYPGEOMDIST(O$50,SampleCalc!$B$15,SampleCalc!$B$9*$Z231,SampleCalc!$B$9)+N231</f>
        <v>0.94826941703239576</v>
      </c>
      <c r="P231">
        <f ca="1">HYPGEOMDIST(P$50,SampleCalc!$B$15,SampleCalc!$B$9*$Z231,SampleCalc!$B$9)+O231</f>
        <v>0.97865336322466312</v>
      </c>
      <c r="Q231">
        <f ca="1">HYPGEOMDIST(Q$50,SampleCalc!$B$15,SampleCalc!$B$9*$Z231,SampleCalc!$B$9)+P231</f>
        <v>0.99221050457029425</v>
      </c>
      <c r="R231">
        <f ca="1">HYPGEOMDIST(R$50,SampleCalc!$B$15,SampleCalc!$B$9*$Z231,SampleCalc!$B$9)+Q231</f>
        <v>0.99748484953198557</v>
      </c>
      <c r="S231">
        <f ca="1">HYPGEOMDIST(S$50,SampleCalc!$B$15,SampleCalc!$B$9*$Z231,SampleCalc!$B$9)+R231</f>
        <v>0.99928099908440038</v>
      </c>
      <c r="T231">
        <f ca="1">HYPGEOMDIST(T$50,SampleCalc!$B$15,SampleCalc!$B$9*$Z231,SampleCalc!$B$9)+S231</f>
        <v>0.99981797296100772</v>
      </c>
      <c r="U231">
        <f ca="1">HYPGEOMDIST(U$50,SampleCalc!$B$15,SampleCalc!$B$9*$Z231,SampleCalc!$B$9)+T231</f>
        <v>0.99995919011686873</v>
      </c>
      <c r="V231">
        <f ca="1">HYPGEOMDIST(V$50,SampleCalc!$B$15,SampleCalc!$B$9*$Z231,SampleCalc!$B$9)+U231</f>
        <v>0.9999919011922892</v>
      </c>
      <c r="W231">
        <f ca="1">HYPGEOMDIST(W$50,SampleCalc!$B$15,SampleCalc!$B$9*$Z231,SampleCalc!$B$9)+V231</f>
        <v>0.99999857864696162</v>
      </c>
      <c r="X231">
        <f ca="1">HYPGEOMDIST(X$50,SampleCalc!$B$15,SampleCalc!$B$9*$Z231,SampleCalc!$B$9)+W231</f>
        <v>0.99999977971924803</v>
      </c>
      <c r="Y231">
        <f ca="1">HYPGEOMDIST(Y$50,SampleCalc!$B$15,SampleCalc!$B$9*$Z231,SampleCalc!$B$9)+X231</f>
        <v>0.99999996991475659</v>
      </c>
      <c r="Z231">
        <v>7.0000000000000007E-2</v>
      </c>
    </row>
    <row r="232" spans="5:26">
      <c r="E232">
        <f ca="1">HYPGEOMDIST(E$50,SampleCalc!$B$15,SampleCalc!$B$9*$Z232,SampleCalc!$B$9)</f>
        <v>5.371102438321843E-4</v>
      </c>
      <c r="F232">
        <f ca="1">HYPGEOMDIST(F$50,SampleCalc!$B$15,SampleCalc!$B$9*$Z232,SampleCalc!$B$9)+E232</f>
        <v>5.2625222003503738E-3</v>
      </c>
      <c r="G232">
        <f ca="1">HYPGEOMDIST(G$50,SampleCalc!$B$15,SampleCalc!$B$9*$Z232,SampleCalc!$B$9)+F232</f>
        <v>2.5174036291324187E-2</v>
      </c>
      <c r="H232">
        <f ca="1">HYPGEOMDIST(H$50,SampleCalc!$B$15,SampleCalc!$B$9*$Z232,SampleCalc!$B$9)+G232</f>
        <v>7.8698463803075158E-2</v>
      </c>
      <c r="I232">
        <f ca="1">HYPGEOMDIST(I$50,SampleCalc!$B$15,SampleCalc!$B$9*$Z232,SampleCalc!$B$9)+H232</f>
        <v>0.18184747751723154</v>
      </c>
      <c r="J232">
        <f ca="1">HYPGEOMDIST(J$50,SampleCalc!$B$15,SampleCalc!$B$9*$Z232,SampleCalc!$B$9)+I232</f>
        <v>0.33368282570446972</v>
      </c>
      <c r="K232">
        <f ca="1">HYPGEOMDIST(K$50,SampleCalc!$B$15,SampleCalc!$B$9*$Z232,SampleCalc!$B$9)+J232</f>
        <v>0.51129518557420439</v>
      </c>
      <c r="L232">
        <f ca="1">HYPGEOMDIST(L$50,SampleCalc!$B$15,SampleCalc!$B$9*$Z232,SampleCalc!$B$9)+K232</f>
        <v>0.68089850003867236</v>
      </c>
      <c r="M232">
        <f ca="1">HYPGEOMDIST(M$50,SampleCalc!$B$15,SampleCalc!$B$9*$Z232,SampleCalc!$B$9)+L232</f>
        <v>0.8156725624256157</v>
      </c>
      <c r="N232">
        <f ca="1">HYPGEOMDIST(N$50,SampleCalc!$B$15,SampleCalc!$B$9*$Z232,SampleCalc!$B$9)+M232</f>
        <v>0.90607509972884825</v>
      </c>
      <c r="O232">
        <f ca="1">HYPGEOMDIST(O$50,SampleCalc!$B$15,SampleCalc!$B$9*$Z232,SampleCalc!$B$9)+N232</f>
        <v>0.95781865726425119</v>
      </c>
      <c r="P232">
        <f ca="1">HYPGEOMDIST(P$50,SampleCalc!$B$15,SampleCalc!$B$9*$Z232,SampleCalc!$B$9)+O232</f>
        <v>0.98330152597173659</v>
      </c>
      <c r="Q232">
        <f ca="1">HYPGEOMDIST(Q$50,SampleCalc!$B$15,SampleCalc!$B$9*$Z232,SampleCalc!$B$9)+P232</f>
        <v>0.99416954698463667</v>
      </c>
      <c r="R232">
        <f ca="1">HYPGEOMDIST(R$50,SampleCalc!$B$15,SampleCalc!$B$9*$Z232,SampleCalc!$B$9)+Q232</f>
        <v>0.99820330935295143</v>
      </c>
      <c r="S232">
        <f ca="1">HYPGEOMDIST(S$50,SampleCalc!$B$15,SampleCalc!$B$9*$Z232,SampleCalc!$B$9)+R232</f>
        <v>0.99951113074580344</v>
      </c>
      <c r="T232">
        <f ca="1">HYPGEOMDIST(T$50,SampleCalc!$B$15,SampleCalc!$B$9*$Z232,SampleCalc!$B$9)+S232</f>
        <v>0.99988252937511557</v>
      </c>
      <c r="U232">
        <f ca="1">HYPGEOMDIST(U$50,SampleCalc!$B$15,SampleCalc!$B$9*$Z232,SampleCalc!$B$9)+T232</f>
        <v>0.99997507835350152</v>
      </c>
      <c r="V232">
        <f ca="1">HYPGEOMDIST(V$50,SampleCalc!$B$15,SampleCalc!$B$9*$Z232,SampleCalc!$B$9)+U232</f>
        <v>0.99999533531183493</v>
      </c>
      <c r="W232">
        <f ca="1">HYPGEOMDIST(W$50,SampleCalc!$B$15,SampleCalc!$B$9*$Z232,SampleCalc!$B$9)+V232</f>
        <v>0.9999992306576313</v>
      </c>
      <c r="X232">
        <f ca="1">HYPGEOMDIST(X$50,SampleCalc!$B$15,SampleCalc!$B$9*$Z232,SampleCalc!$B$9)+W232</f>
        <v>0.99999988840239573</v>
      </c>
      <c r="Y232">
        <f ca="1">HYPGEOMDIST(Y$50,SampleCalc!$B$15,SampleCalc!$B$9*$Z232,SampleCalc!$B$9)+X232</f>
        <v>0.99999998579921656</v>
      </c>
      <c r="Z232">
        <v>6.9000000000000006E-2</v>
      </c>
    </row>
    <row r="233" spans="5:26">
      <c r="E233">
        <f ca="1">HYPGEOMDIST(E$50,SampleCalc!$B$15,SampleCalc!$B$9*$Z233,SampleCalc!$B$9)</f>
        <v>5.371102438321843E-4</v>
      </c>
      <c r="F233">
        <f ca="1">HYPGEOMDIST(F$50,SampleCalc!$B$15,SampleCalc!$B$9*$Z233,SampleCalc!$B$9)+E233</f>
        <v>5.2625222003503738E-3</v>
      </c>
      <c r="G233">
        <f ca="1">HYPGEOMDIST(G$50,SampleCalc!$B$15,SampleCalc!$B$9*$Z233,SampleCalc!$B$9)+F233</f>
        <v>2.5174036291324187E-2</v>
      </c>
      <c r="H233">
        <f ca="1">HYPGEOMDIST(H$50,SampleCalc!$B$15,SampleCalc!$B$9*$Z233,SampleCalc!$B$9)+G233</f>
        <v>7.8698463803075158E-2</v>
      </c>
      <c r="I233">
        <f ca="1">HYPGEOMDIST(I$50,SampleCalc!$B$15,SampleCalc!$B$9*$Z233,SampleCalc!$B$9)+H233</f>
        <v>0.18184747751723154</v>
      </c>
      <c r="J233">
        <f ca="1">HYPGEOMDIST(J$50,SampleCalc!$B$15,SampleCalc!$B$9*$Z233,SampleCalc!$B$9)+I233</f>
        <v>0.33368282570446972</v>
      </c>
      <c r="K233">
        <f ca="1">HYPGEOMDIST(K$50,SampleCalc!$B$15,SampleCalc!$B$9*$Z233,SampleCalc!$B$9)+J233</f>
        <v>0.51129518557420439</v>
      </c>
      <c r="L233">
        <f ca="1">HYPGEOMDIST(L$50,SampleCalc!$B$15,SampleCalc!$B$9*$Z233,SampleCalc!$B$9)+K233</f>
        <v>0.68089850003867236</v>
      </c>
      <c r="M233">
        <f ca="1">HYPGEOMDIST(M$50,SampleCalc!$B$15,SampleCalc!$B$9*$Z233,SampleCalc!$B$9)+L233</f>
        <v>0.8156725624256157</v>
      </c>
      <c r="N233">
        <f ca="1">HYPGEOMDIST(N$50,SampleCalc!$B$15,SampleCalc!$B$9*$Z233,SampleCalc!$B$9)+M233</f>
        <v>0.90607509972884825</v>
      </c>
      <c r="O233">
        <f ca="1">HYPGEOMDIST(O$50,SampleCalc!$B$15,SampleCalc!$B$9*$Z233,SampleCalc!$B$9)+N233</f>
        <v>0.95781865726425119</v>
      </c>
      <c r="P233">
        <f ca="1">HYPGEOMDIST(P$50,SampleCalc!$B$15,SampleCalc!$B$9*$Z233,SampleCalc!$B$9)+O233</f>
        <v>0.98330152597173659</v>
      </c>
      <c r="Q233">
        <f ca="1">HYPGEOMDIST(Q$50,SampleCalc!$B$15,SampleCalc!$B$9*$Z233,SampleCalc!$B$9)+P233</f>
        <v>0.99416954698463667</v>
      </c>
      <c r="R233">
        <f ca="1">HYPGEOMDIST(R$50,SampleCalc!$B$15,SampleCalc!$B$9*$Z233,SampleCalc!$B$9)+Q233</f>
        <v>0.99820330935295143</v>
      </c>
      <c r="S233">
        <f ca="1">HYPGEOMDIST(S$50,SampleCalc!$B$15,SampleCalc!$B$9*$Z233,SampleCalc!$B$9)+R233</f>
        <v>0.99951113074580344</v>
      </c>
      <c r="T233">
        <f ca="1">HYPGEOMDIST(T$50,SampleCalc!$B$15,SampleCalc!$B$9*$Z233,SampleCalc!$B$9)+S233</f>
        <v>0.99988252937511557</v>
      </c>
      <c r="U233">
        <f ca="1">HYPGEOMDIST(U$50,SampleCalc!$B$15,SampleCalc!$B$9*$Z233,SampleCalc!$B$9)+T233</f>
        <v>0.99997507835350152</v>
      </c>
      <c r="V233">
        <f ca="1">HYPGEOMDIST(V$50,SampleCalc!$B$15,SampleCalc!$B$9*$Z233,SampleCalc!$B$9)+U233</f>
        <v>0.99999533531183493</v>
      </c>
      <c r="W233">
        <f ca="1">HYPGEOMDIST(W$50,SampleCalc!$B$15,SampleCalc!$B$9*$Z233,SampleCalc!$B$9)+V233</f>
        <v>0.9999992306576313</v>
      </c>
      <c r="X233">
        <f ca="1">HYPGEOMDIST(X$50,SampleCalc!$B$15,SampleCalc!$B$9*$Z233,SampleCalc!$B$9)+W233</f>
        <v>0.99999988840239573</v>
      </c>
      <c r="Y233">
        <f ca="1">HYPGEOMDIST(Y$50,SampleCalc!$B$15,SampleCalc!$B$9*$Z233,SampleCalc!$B$9)+X233</f>
        <v>0.99999998579921656</v>
      </c>
      <c r="Z233">
        <v>6.8000000000000005E-2</v>
      </c>
    </row>
    <row r="234" spans="5:26">
      <c r="E234">
        <f ca="1">HYPGEOMDIST(E$50,SampleCalc!$B$15,SampleCalc!$B$9*$Z234,SampleCalc!$B$9)</f>
        <v>6.7609294843566019E-4</v>
      </c>
      <c r="F234">
        <f ca="1">HYPGEOMDIST(F$50,SampleCalc!$B$15,SampleCalc!$B$9*$Z234,SampleCalc!$B$9)+E234</f>
        <v>6.4337877351135385E-3</v>
      </c>
      <c r="G234">
        <f ca="1">HYPGEOMDIST(G$50,SampleCalc!$B$15,SampleCalc!$B$9*$Z234,SampleCalc!$B$9)+F234</f>
        <v>2.989677989530224E-2</v>
      </c>
      <c r="H234">
        <f ca="1">HYPGEOMDIST(H$50,SampleCalc!$B$15,SampleCalc!$B$9*$Z234,SampleCalc!$B$9)+G234</f>
        <v>9.083364188709353E-2</v>
      </c>
      <c r="I234">
        <f ca="1">HYPGEOMDIST(I$50,SampleCalc!$B$15,SampleCalc!$B$9*$Z234,SampleCalc!$B$9)+H234</f>
        <v>0.20417620519182533</v>
      </c>
      <c r="J234">
        <f ca="1">HYPGEOMDIST(J$50,SampleCalc!$B$15,SampleCalc!$B$9*$Z234,SampleCalc!$B$9)+I234</f>
        <v>0.36502618332854042</v>
      </c>
      <c r="K234">
        <f ca="1">HYPGEOMDIST(K$50,SampleCalc!$B$15,SampleCalc!$B$9*$Z234,SampleCalc!$B$9)+J234</f>
        <v>0.54621351502277116</v>
      </c>
      <c r="L234">
        <f ca="1">HYPGEOMDIST(L$50,SampleCalc!$B$15,SampleCalc!$B$9*$Z234,SampleCalc!$B$9)+K234</f>
        <v>0.71261004412971773</v>
      </c>
      <c r="M234">
        <f ca="1">HYPGEOMDIST(M$50,SampleCalc!$B$15,SampleCalc!$B$9*$Z234,SampleCalc!$B$9)+L234</f>
        <v>0.83960264582941246</v>
      </c>
      <c r="N234">
        <f ca="1">HYPGEOMDIST(N$50,SampleCalc!$B$15,SampleCalc!$B$9*$Z234,SampleCalc!$B$9)+M234</f>
        <v>0.92129379312161375</v>
      </c>
      <c r="O234">
        <f ca="1">HYPGEOMDIST(O$50,SampleCalc!$B$15,SampleCalc!$B$9*$Z234,SampleCalc!$B$9)+N234</f>
        <v>0.96606311478726103</v>
      </c>
      <c r="P234">
        <f ca="1">HYPGEOMDIST(P$50,SampleCalc!$B$15,SampleCalc!$B$9*$Z234,SampleCalc!$B$9)+O234</f>
        <v>0.98713729809393658</v>
      </c>
      <c r="Q234">
        <f ca="1">HYPGEOMDIST(Q$50,SampleCalc!$B$15,SampleCalc!$B$9*$Z234,SampleCalc!$B$9)+P234</f>
        <v>0.99571186789016874</v>
      </c>
      <c r="R234">
        <f ca="1">HYPGEOMDIST(R$50,SampleCalc!$B$15,SampleCalc!$B$9*$Z234,SampleCalc!$B$9)+Q234</f>
        <v>0.99874182404412581</v>
      </c>
      <c r="S234">
        <f ca="1">HYPGEOMDIST(S$50,SampleCalc!$B$15,SampleCalc!$B$9*$Z234,SampleCalc!$B$9)+R234</f>
        <v>0.99967498308226477</v>
      </c>
      <c r="T234">
        <f ca="1">HYPGEOMDIST(T$50,SampleCalc!$B$15,SampleCalc!$B$9*$Z234,SampleCalc!$B$9)+S234</f>
        <v>0.99992608183553255</v>
      </c>
      <c r="U234">
        <f ca="1">HYPGEOMDIST(U$50,SampleCalc!$B$15,SampleCalc!$B$9*$Z234,SampleCalc!$B$9)+T234</f>
        <v>0.99998520683266823</v>
      </c>
      <c r="V234">
        <f ca="1">HYPGEOMDIST(V$50,SampleCalc!$B$15,SampleCalc!$B$9*$Z234,SampleCalc!$B$9)+U234</f>
        <v>0.99999739755372719</v>
      </c>
      <c r="W234">
        <f ca="1">HYPGEOMDIST(W$50,SampleCalc!$B$15,SampleCalc!$B$9*$Z234,SampleCalc!$B$9)+V234</f>
        <v>0.99999959822088202</v>
      </c>
      <c r="X234">
        <f ca="1">HYPGEOMDIST(X$50,SampleCalc!$B$15,SampleCalc!$B$9*$Z234,SampleCalc!$B$9)+W234</f>
        <v>0.99999994569464334</v>
      </c>
      <c r="Y234">
        <f ca="1">HYPGEOMDIST(Y$50,SampleCalc!$B$15,SampleCalc!$B$9*$Z234,SampleCalc!$B$9)+X234</f>
        <v>0.999999993594479</v>
      </c>
      <c r="Z234">
        <v>6.7000000000000004E-2</v>
      </c>
    </row>
    <row r="235" spans="5:26">
      <c r="E235">
        <f ca="1">HYPGEOMDIST(E$50,SampleCalc!$B$15,SampleCalc!$B$9*$Z235,SampleCalc!$B$9)</f>
        <v>6.7609294843566019E-4</v>
      </c>
      <c r="F235">
        <f ca="1">HYPGEOMDIST(F$50,SampleCalc!$B$15,SampleCalc!$B$9*$Z235,SampleCalc!$B$9)+E235</f>
        <v>6.4337877351135385E-3</v>
      </c>
      <c r="G235">
        <f ca="1">HYPGEOMDIST(G$50,SampleCalc!$B$15,SampleCalc!$B$9*$Z235,SampleCalc!$B$9)+F235</f>
        <v>2.989677989530224E-2</v>
      </c>
      <c r="H235">
        <f ca="1">HYPGEOMDIST(H$50,SampleCalc!$B$15,SampleCalc!$B$9*$Z235,SampleCalc!$B$9)+G235</f>
        <v>9.083364188709353E-2</v>
      </c>
      <c r="I235">
        <f ca="1">HYPGEOMDIST(I$50,SampleCalc!$B$15,SampleCalc!$B$9*$Z235,SampleCalc!$B$9)+H235</f>
        <v>0.20417620519182533</v>
      </c>
      <c r="J235">
        <f ca="1">HYPGEOMDIST(J$50,SampleCalc!$B$15,SampleCalc!$B$9*$Z235,SampleCalc!$B$9)+I235</f>
        <v>0.36502618332854042</v>
      </c>
      <c r="K235">
        <f ca="1">HYPGEOMDIST(K$50,SampleCalc!$B$15,SampleCalc!$B$9*$Z235,SampleCalc!$B$9)+J235</f>
        <v>0.54621351502277116</v>
      </c>
      <c r="L235">
        <f ca="1">HYPGEOMDIST(L$50,SampleCalc!$B$15,SampleCalc!$B$9*$Z235,SampleCalc!$B$9)+K235</f>
        <v>0.71261004412971773</v>
      </c>
      <c r="M235">
        <f ca="1">HYPGEOMDIST(M$50,SampleCalc!$B$15,SampleCalc!$B$9*$Z235,SampleCalc!$B$9)+L235</f>
        <v>0.83960264582941246</v>
      </c>
      <c r="N235">
        <f ca="1">HYPGEOMDIST(N$50,SampleCalc!$B$15,SampleCalc!$B$9*$Z235,SampleCalc!$B$9)+M235</f>
        <v>0.92129379312161375</v>
      </c>
      <c r="O235">
        <f ca="1">HYPGEOMDIST(O$50,SampleCalc!$B$15,SampleCalc!$B$9*$Z235,SampleCalc!$B$9)+N235</f>
        <v>0.96606311478726103</v>
      </c>
      <c r="P235">
        <f ca="1">HYPGEOMDIST(P$50,SampleCalc!$B$15,SampleCalc!$B$9*$Z235,SampleCalc!$B$9)+O235</f>
        <v>0.98713729809393658</v>
      </c>
      <c r="Q235">
        <f ca="1">HYPGEOMDIST(Q$50,SampleCalc!$B$15,SampleCalc!$B$9*$Z235,SampleCalc!$B$9)+P235</f>
        <v>0.99571186789016874</v>
      </c>
      <c r="R235">
        <f ca="1">HYPGEOMDIST(R$50,SampleCalc!$B$15,SampleCalc!$B$9*$Z235,SampleCalc!$B$9)+Q235</f>
        <v>0.99874182404412581</v>
      </c>
      <c r="S235">
        <f ca="1">HYPGEOMDIST(S$50,SampleCalc!$B$15,SampleCalc!$B$9*$Z235,SampleCalc!$B$9)+R235</f>
        <v>0.99967498308226477</v>
      </c>
      <c r="T235">
        <f ca="1">HYPGEOMDIST(T$50,SampleCalc!$B$15,SampleCalc!$B$9*$Z235,SampleCalc!$B$9)+S235</f>
        <v>0.99992608183553255</v>
      </c>
      <c r="U235">
        <f ca="1">HYPGEOMDIST(U$50,SampleCalc!$B$15,SampleCalc!$B$9*$Z235,SampleCalc!$B$9)+T235</f>
        <v>0.99998520683266823</v>
      </c>
      <c r="V235">
        <f ca="1">HYPGEOMDIST(V$50,SampleCalc!$B$15,SampleCalc!$B$9*$Z235,SampleCalc!$B$9)+U235</f>
        <v>0.99999739755372719</v>
      </c>
      <c r="W235">
        <f ca="1">HYPGEOMDIST(W$50,SampleCalc!$B$15,SampleCalc!$B$9*$Z235,SampleCalc!$B$9)+V235</f>
        <v>0.99999959822088202</v>
      </c>
      <c r="X235">
        <f ca="1">HYPGEOMDIST(X$50,SampleCalc!$B$15,SampleCalc!$B$9*$Z235,SampleCalc!$B$9)+W235</f>
        <v>0.99999994569464334</v>
      </c>
      <c r="Y235">
        <f ca="1">HYPGEOMDIST(Y$50,SampleCalc!$B$15,SampleCalc!$B$9*$Z235,SampleCalc!$B$9)+X235</f>
        <v>0.999999993594479</v>
      </c>
      <c r="Z235">
        <v>6.6000000000000003E-2</v>
      </c>
    </row>
    <row r="236" spans="5:26">
      <c r="E236">
        <f ca="1">HYPGEOMDIST(E$50,SampleCalc!$B$15,SampleCalc!$B$9*$Z236,SampleCalc!$B$9)</f>
        <v>8.5056854803195912E-4</v>
      </c>
      <c r="F236">
        <f ca="1">HYPGEOMDIST(F$50,SampleCalc!$B$15,SampleCalc!$B$9*$Z236,SampleCalc!$B$9)+E236</f>
        <v>7.8557872599734659E-3</v>
      </c>
      <c r="G236">
        <f ca="1">HYPGEOMDIST(G$50,SampleCalc!$B$15,SampleCalc!$B$9*$Z236,SampleCalc!$B$9)+F236</f>
        <v>3.5436494621828719E-2</v>
      </c>
      <c r="H236">
        <f ca="1">HYPGEOMDIST(H$50,SampleCalc!$B$15,SampleCalc!$B$9*$Z236,SampleCalc!$B$9)+G236</f>
        <v>0.10457213440887919</v>
      </c>
      <c r="I236">
        <f ca="1">HYPGEOMDIST(I$50,SampleCalc!$B$15,SampleCalc!$B$9*$Z236,SampleCalc!$B$9)+H236</f>
        <v>0.22854741400041848</v>
      </c>
      <c r="J236">
        <f ca="1">HYPGEOMDIST(J$50,SampleCalc!$B$15,SampleCalc!$B$9*$Z236,SampleCalc!$B$9)+I236</f>
        <v>0.39796933454567318</v>
      </c>
      <c r="K236">
        <f ca="1">HYPGEOMDIST(K$50,SampleCalc!$B$15,SampleCalc!$B$9*$Z236,SampleCalc!$B$9)+J236</f>
        <v>0.58150974846969916</v>
      </c>
      <c r="L236">
        <f ca="1">HYPGEOMDIST(L$50,SampleCalc!$B$15,SampleCalc!$B$9*$Z236,SampleCalc!$B$9)+K236</f>
        <v>0.74339612939024979</v>
      </c>
      <c r="M236">
        <f ca="1">HYPGEOMDIST(M$50,SampleCalc!$B$15,SampleCalc!$B$9*$Z236,SampleCalc!$B$9)+L236</f>
        <v>0.86188204963637649</v>
      </c>
      <c r="N236">
        <f ca="1">HYPGEOMDIST(N$50,SampleCalc!$B$15,SampleCalc!$B$9*$Z236,SampleCalc!$B$9)+M236</f>
        <v>0.93486025423241603</v>
      </c>
      <c r="O236">
        <f ca="1">HYPGEOMDIST(O$50,SampleCalc!$B$15,SampleCalc!$B$9*$Z236,SampleCalc!$B$9)+N236</f>
        <v>0.97308784255615299</v>
      </c>
      <c r="P236">
        <f ca="1">HYPGEOMDIST(P$50,SampleCalc!$B$15,SampleCalc!$B$9*$Z236,SampleCalc!$B$9)+O236</f>
        <v>0.99025532347438472</v>
      </c>
      <c r="Q236">
        <f ca="1">HYPGEOMDIST(Q$50,SampleCalc!$B$15,SampleCalc!$B$9*$Z236,SampleCalc!$B$9)+P236</f>
        <v>0.99690548698112158</v>
      </c>
      <c r="R236">
        <f ca="1">HYPGEOMDIST(R$50,SampleCalc!$B$15,SampleCalc!$B$9*$Z236,SampleCalc!$B$9)+Q236</f>
        <v>0.9991377096966696</v>
      </c>
      <c r="S236">
        <f ca="1">HYPGEOMDIST(S$50,SampleCalc!$B$15,SampleCalc!$B$9*$Z236,SampleCalc!$B$9)+R236</f>
        <v>0.99978911887920463</v>
      </c>
      <c r="T236">
        <f ca="1">HYPGEOMDIST(T$50,SampleCalc!$B$15,SampleCalc!$B$9*$Z236,SampleCalc!$B$9)+S236</f>
        <v>0.99995474850081045</v>
      </c>
      <c r="U236">
        <f ca="1">HYPGEOMDIST(U$50,SampleCalc!$B$15,SampleCalc!$B$9*$Z236,SampleCalc!$B$9)+T236</f>
        <v>0.99999148690109252</v>
      </c>
      <c r="V236">
        <f ca="1">HYPGEOMDIST(V$50,SampleCalc!$B$15,SampleCalc!$B$9*$Z236,SampleCalc!$B$9)+U236</f>
        <v>0.99999859791762979</v>
      </c>
      <c r="W236">
        <f ca="1">HYPGEOMDIST(W$50,SampleCalc!$B$15,SampleCalc!$B$9*$Z236,SampleCalc!$B$9)+V236</f>
        <v>0.9999997982815324</v>
      </c>
      <c r="X236">
        <f ca="1">HYPGEOMDIST(X$50,SampleCalc!$B$15,SampleCalc!$B$9*$Z236,SampleCalc!$B$9)+W236</f>
        <v>0.9999999747248467</v>
      </c>
      <c r="Y236">
        <f ca="1">HYPGEOMDIST(Y$50,SampleCalc!$B$15,SampleCalc!$B$9*$Z236,SampleCalc!$B$9)+X236</f>
        <v>0.99999999725287703</v>
      </c>
      <c r="Z236">
        <v>6.5000000000000002E-2</v>
      </c>
    </row>
    <row r="237" spans="5:26">
      <c r="E237">
        <f ca="1">HYPGEOMDIST(E$50,SampleCalc!$B$15,SampleCalc!$B$9*$Z237,SampleCalc!$B$9)</f>
        <v>8.5056854803195912E-4</v>
      </c>
      <c r="F237">
        <f ca="1">HYPGEOMDIST(F$50,SampleCalc!$B$15,SampleCalc!$B$9*$Z237,SampleCalc!$B$9)+E237</f>
        <v>7.8557872599734659E-3</v>
      </c>
      <c r="G237">
        <f ca="1">HYPGEOMDIST(G$50,SampleCalc!$B$15,SampleCalc!$B$9*$Z237,SampleCalc!$B$9)+F237</f>
        <v>3.5436494621828719E-2</v>
      </c>
      <c r="H237">
        <f ca="1">HYPGEOMDIST(H$50,SampleCalc!$B$15,SampleCalc!$B$9*$Z237,SampleCalc!$B$9)+G237</f>
        <v>0.10457213440887919</v>
      </c>
      <c r="I237">
        <f ca="1">HYPGEOMDIST(I$50,SampleCalc!$B$15,SampleCalc!$B$9*$Z237,SampleCalc!$B$9)+H237</f>
        <v>0.22854741400041848</v>
      </c>
      <c r="J237">
        <f ca="1">HYPGEOMDIST(J$50,SampleCalc!$B$15,SampleCalc!$B$9*$Z237,SampleCalc!$B$9)+I237</f>
        <v>0.39796933454567318</v>
      </c>
      <c r="K237">
        <f ca="1">HYPGEOMDIST(K$50,SampleCalc!$B$15,SampleCalc!$B$9*$Z237,SampleCalc!$B$9)+J237</f>
        <v>0.58150974846969916</v>
      </c>
      <c r="L237">
        <f ca="1">HYPGEOMDIST(L$50,SampleCalc!$B$15,SampleCalc!$B$9*$Z237,SampleCalc!$B$9)+K237</f>
        <v>0.74339612939024979</v>
      </c>
      <c r="M237">
        <f ca="1">HYPGEOMDIST(M$50,SampleCalc!$B$15,SampleCalc!$B$9*$Z237,SampleCalc!$B$9)+L237</f>
        <v>0.86188204963637649</v>
      </c>
      <c r="N237">
        <f ca="1">HYPGEOMDIST(N$50,SampleCalc!$B$15,SampleCalc!$B$9*$Z237,SampleCalc!$B$9)+M237</f>
        <v>0.93486025423241603</v>
      </c>
      <c r="O237">
        <f ca="1">HYPGEOMDIST(O$50,SampleCalc!$B$15,SampleCalc!$B$9*$Z237,SampleCalc!$B$9)+N237</f>
        <v>0.97308784255615299</v>
      </c>
      <c r="P237">
        <f ca="1">HYPGEOMDIST(P$50,SampleCalc!$B$15,SampleCalc!$B$9*$Z237,SampleCalc!$B$9)+O237</f>
        <v>0.99025532347438472</v>
      </c>
      <c r="Q237">
        <f ca="1">HYPGEOMDIST(Q$50,SampleCalc!$B$15,SampleCalc!$B$9*$Z237,SampleCalc!$B$9)+P237</f>
        <v>0.99690548698112158</v>
      </c>
      <c r="R237">
        <f ca="1">HYPGEOMDIST(R$50,SampleCalc!$B$15,SampleCalc!$B$9*$Z237,SampleCalc!$B$9)+Q237</f>
        <v>0.9991377096966696</v>
      </c>
      <c r="S237">
        <f ca="1">HYPGEOMDIST(S$50,SampleCalc!$B$15,SampleCalc!$B$9*$Z237,SampleCalc!$B$9)+R237</f>
        <v>0.99978911887920463</v>
      </c>
      <c r="T237">
        <f ca="1">HYPGEOMDIST(T$50,SampleCalc!$B$15,SampleCalc!$B$9*$Z237,SampleCalc!$B$9)+S237</f>
        <v>0.99995474850081045</v>
      </c>
      <c r="U237">
        <f ca="1">HYPGEOMDIST(U$50,SampleCalc!$B$15,SampleCalc!$B$9*$Z237,SampleCalc!$B$9)+T237</f>
        <v>0.99999148690109252</v>
      </c>
      <c r="V237">
        <f ca="1">HYPGEOMDIST(V$50,SampleCalc!$B$15,SampleCalc!$B$9*$Z237,SampleCalc!$B$9)+U237</f>
        <v>0.99999859791762979</v>
      </c>
      <c r="W237">
        <f ca="1">HYPGEOMDIST(W$50,SampleCalc!$B$15,SampleCalc!$B$9*$Z237,SampleCalc!$B$9)+V237</f>
        <v>0.9999997982815324</v>
      </c>
      <c r="X237">
        <f ca="1">HYPGEOMDIST(X$50,SampleCalc!$B$15,SampleCalc!$B$9*$Z237,SampleCalc!$B$9)+W237</f>
        <v>0.9999999747248467</v>
      </c>
      <c r="Y237">
        <f ca="1">HYPGEOMDIST(Y$50,SampleCalc!$B$15,SampleCalc!$B$9*$Z237,SampleCalc!$B$9)+X237</f>
        <v>0.99999999725287703</v>
      </c>
      <c r="Z237">
        <v>6.4000000000000001E-2</v>
      </c>
    </row>
    <row r="238" spans="5:26">
      <c r="E238">
        <f ca="1">HYPGEOMDIST(E$50,SampleCalc!$B$15,SampleCalc!$B$9*$Z238,SampleCalc!$B$9)</f>
        <v>1.0694816327801323E-3</v>
      </c>
      <c r="F238">
        <f ca="1">HYPGEOMDIST(F$50,SampleCalc!$B$15,SampleCalc!$B$9*$Z238,SampleCalc!$B$9)+E238</f>
        <v>9.5795814700894173E-3</v>
      </c>
      <c r="G238">
        <f ca="1">HYPGEOMDIST(G$50,SampleCalc!$B$15,SampleCalc!$B$9*$Z238,SampleCalc!$B$9)+F238</f>
        <v>4.1917960851864687E-2</v>
      </c>
      <c r="H238">
        <f ca="1">HYPGEOMDIST(H$50,SampleCalc!$B$15,SampleCalc!$B$9*$Z238,SampleCalc!$B$9)+G238</f>
        <v>0.12006904435782156</v>
      </c>
      <c r="I238">
        <f ca="1">HYPGEOMDIST(I$50,SampleCalc!$B$15,SampleCalc!$B$9*$Z238,SampleCalc!$B$9)+H238</f>
        <v>0.25501958908561451</v>
      </c>
      <c r="J238">
        <f ca="1">HYPGEOMDIST(J$50,SampleCalc!$B$15,SampleCalc!$B$9*$Z238,SampleCalc!$B$9)+I238</f>
        <v>0.43238316215642802</v>
      </c>
      <c r="K238">
        <f ca="1">HYPGEOMDIST(K$50,SampleCalc!$B$15,SampleCalc!$B$9*$Z238,SampleCalc!$B$9)+J238</f>
        <v>0.61692239429606965</v>
      </c>
      <c r="L238">
        <f ca="1">HYPGEOMDIST(L$50,SampleCalc!$B$15,SampleCalc!$B$9*$Z238,SampleCalc!$B$9)+K238</f>
        <v>0.77301760945178155</v>
      </c>
      <c r="M238">
        <f ca="1">HYPGEOMDIST(M$50,SampleCalc!$B$15,SampleCalc!$B$9*$Z238,SampleCalc!$B$9)+L238</f>
        <v>0.88240716967901267</v>
      </c>
      <c r="N238">
        <f ca="1">HYPGEOMDIST(N$50,SampleCalc!$B$15,SampleCalc!$B$9*$Z238,SampleCalc!$B$9)+M238</f>
        <v>0.94680637558358394</v>
      </c>
      <c r="O238">
        <f ca="1">HYPGEOMDIST(O$50,SampleCalc!$B$15,SampleCalc!$B$9*$Z238,SampleCalc!$B$9)+N238</f>
        <v>0.97898916412179526</v>
      </c>
      <c r="P238">
        <f ca="1">HYPGEOMDIST(P$50,SampleCalc!$B$15,SampleCalc!$B$9*$Z238,SampleCalc!$B$9)+O238</f>
        <v>0.99274913478941118</v>
      </c>
      <c r="Q238">
        <f ca="1">HYPGEOMDIST(Q$50,SampleCalc!$B$15,SampleCalc!$B$9*$Z238,SampleCalc!$B$9)+P238</f>
        <v>0.99781232745931314</v>
      </c>
      <c r="R238">
        <f ca="1">HYPGEOMDIST(R$50,SampleCalc!$B$15,SampleCalc!$B$9*$Z238,SampleCalc!$B$9)+Q238</f>
        <v>0.99942270121402887</v>
      </c>
      <c r="S238">
        <f ca="1">HYPGEOMDIST(S$50,SampleCalc!$B$15,SampleCalc!$B$9*$Z238,SampleCalc!$B$9)+R238</f>
        <v>0.99986675776433254</v>
      </c>
      <c r="T238">
        <f ca="1">HYPGEOMDIST(T$50,SampleCalc!$B$15,SampleCalc!$B$9*$Z238,SampleCalc!$B$9)+S238</f>
        <v>0.99997311770095165</v>
      </c>
      <c r="U238">
        <f ca="1">HYPGEOMDIST(U$50,SampleCalc!$B$15,SampleCalc!$B$9*$Z238,SampleCalc!$B$9)+T238</f>
        <v>0.99999526462862809</v>
      </c>
      <c r="V238">
        <f ca="1">HYPGEOMDIST(V$50,SampleCalc!$B$15,SampleCalc!$B$9*$Z238,SampleCalc!$B$9)+U238</f>
        <v>0.99999927312232517</v>
      </c>
      <c r="W238">
        <f ca="1">HYPGEOMDIST(W$50,SampleCalc!$B$15,SampleCalc!$B$9*$Z238,SampleCalc!$B$9)+V238</f>
        <v>0.99999990304475039</v>
      </c>
      <c r="X238">
        <f ca="1">HYPGEOMDIST(X$50,SampleCalc!$B$15,SampleCalc!$B$9*$Z238,SampleCalc!$B$9)+W238</f>
        <v>0.99999998880486574</v>
      </c>
      <c r="Y238">
        <f ca="1">HYPGEOMDIST(Y$50,SampleCalc!$B$15,SampleCalc!$B$9*$Z238,SampleCalc!$B$9)+X238</f>
        <v>0.99999999888658919</v>
      </c>
      <c r="Z238">
        <v>6.3E-2</v>
      </c>
    </row>
    <row r="239" spans="5:26">
      <c r="E239">
        <f ca="1">HYPGEOMDIST(E$50,SampleCalc!$B$15,SampleCalc!$B$9*$Z239,SampleCalc!$B$9)</f>
        <v>1.0694816327801323E-3</v>
      </c>
      <c r="F239">
        <f ca="1">HYPGEOMDIST(F$50,SampleCalc!$B$15,SampleCalc!$B$9*$Z239,SampleCalc!$B$9)+E239</f>
        <v>9.5795814700894173E-3</v>
      </c>
      <c r="G239">
        <f ca="1">HYPGEOMDIST(G$50,SampleCalc!$B$15,SampleCalc!$B$9*$Z239,SampleCalc!$B$9)+F239</f>
        <v>4.1917960851864687E-2</v>
      </c>
      <c r="H239">
        <f ca="1">HYPGEOMDIST(H$50,SampleCalc!$B$15,SampleCalc!$B$9*$Z239,SampleCalc!$B$9)+G239</f>
        <v>0.12006904435782156</v>
      </c>
      <c r="I239">
        <f ca="1">HYPGEOMDIST(I$50,SampleCalc!$B$15,SampleCalc!$B$9*$Z239,SampleCalc!$B$9)+H239</f>
        <v>0.25501958908561451</v>
      </c>
      <c r="J239">
        <f ca="1">HYPGEOMDIST(J$50,SampleCalc!$B$15,SampleCalc!$B$9*$Z239,SampleCalc!$B$9)+I239</f>
        <v>0.43238316215642802</v>
      </c>
      <c r="K239">
        <f ca="1">HYPGEOMDIST(K$50,SampleCalc!$B$15,SampleCalc!$B$9*$Z239,SampleCalc!$B$9)+J239</f>
        <v>0.61692239429606965</v>
      </c>
      <c r="L239">
        <f ca="1">HYPGEOMDIST(L$50,SampleCalc!$B$15,SampleCalc!$B$9*$Z239,SampleCalc!$B$9)+K239</f>
        <v>0.77301760945178155</v>
      </c>
      <c r="M239">
        <f ca="1">HYPGEOMDIST(M$50,SampleCalc!$B$15,SampleCalc!$B$9*$Z239,SampleCalc!$B$9)+L239</f>
        <v>0.88240716967901267</v>
      </c>
      <c r="N239">
        <f ca="1">HYPGEOMDIST(N$50,SampleCalc!$B$15,SampleCalc!$B$9*$Z239,SampleCalc!$B$9)+M239</f>
        <v>0.94680637558358394</v>
      </c>
      <c r="O239">
        <f ca="1">HYPGEOMDIST(O$50,SampleCalc!$B$15,SampleCalc!$B$9*$Z239,SampleCalc!$B$9)+N239</f>
        <v>0.97898916412179526</v>
      </c>
      <c r="P239">
        <f ca="1">HYPGEOMDIST(P$50,SampleCalc!$B$15,SampleCalc!$B$9*$Z239,SampleCalc!$B$9)+O239</f>
        <v>0.99274913478941118</v>
      </c>
      <c r="Q239">
        <f ca="1">HYPGEOMDIST(Q$50,SampleCalc!$B$15,SampleCalc!$B$9*$Z239,SampleCalc!$B$9)+P239</f>
        <v>0.99781232745931314</v>
      </c>
      <c r="R239">
        <f ca="1">HYPGEOMDIST(R$50,SampleCalc!$B$15,SampleCalc!$B$9*$Z239,SampleCalc!$B$9)+Q239</f>
        <v>0.99942270121402887</v>
      </c>
      <c r="S239">
        <f ca="1">HYPGEOMDIST(S$50,SampleCalc!$B$15,SampleCalc!$B$9*$Z239,SampleCalc!$B$9)+R239</f>
        <v>0.99986675776433254</v>
      </c>
      <c r="T239">
        <f ca="1">HYPGEOMDIST(T$50,SampleCalc!$B$15,SampleCalc!$B$9*$Z239,SampleCalc!$B$9)+S239</f>
        <v>0.99997311770095165</v>
      </c>
      <c r="U239">
        <f ca="1">HYPGEOMDIST(U$50,SampleCalc!$B$15,SampleCalc!$B$9*$Z239,SampleCalc!$B$9)+T239</f>
        <v>0.99999526462862809</v>
      </c>
      <c r="V239">
        <f ca="1">HYPGEOMDIST(V$50,SampleCalc!$B$15,SampleCalc!$B$9*$Z239,SampleCalc!$B$9)+U239</f>
        <v>0.99999927312232517</v>
      </c>
      <c r="W239">
        <f ca="1">HYPGEOMDIST(W$50,SampleCalc!$B$15,SampleCalc!$B$9*$Z239,SampleCalc!$B$9)+V239</f>
        <v>0.99999990304475039</v>
      </c>
      <c r="X239">
        <f ca="1">HYPGEOMDIST(X$50,SampleCalc!$B$15,SampleCalc!$B$9*$Z239,SampleCalc!$B$9)+W239</f>
        <v>0.99999998880486574</v>
      </c>
      <c r="Y239">
        <f ca="1">HYPGEOMDIST(Y$50,SampleCalc!$B$15,SampleCalc!$B$9*$Z239,SampleCalc!$B$9)+X239</f>
        <v>0.99999999888658919</v>
      </c>
      <c r="Z239">
        <v>6.2E-2</v>
      </c>
    </row>
    <row r="240" spans="5:26">
      <c r="E240">
        <f ca="1">HYPGEOMDIST(E$50,SampleCalc!$B$15,SampleCalc!$B$9*$Z240,SampleCalc!$B$9)</f>
        <v>1.3440009823707541E-3</v>
      </c>
      <c r="F240">
        <f ca="1">HYPGEOMDIST(F$50,SampleCalc!$B$15,SampleCalc!$B$9*$Z240,SampleCalc!$B$9)+E240</f>
        <v>1.1665928526978142E-2</v>
      </c>
      <c r="G240">
        <f ca="1">HYPGEOMDIST(G$50,SampleCalc!$B$15,SampleCalc!$B$9*$Z240,SampleCalc!$B$9)+F240</f>
        <v>4.9480968933086303E-2</v>
      </c>
      <c r="H240">
        <f ca="1">HYPGEOMDIST(H$50,SampleCalc!$B$15,SampleCalc!$B$9*$Z240,SampleCalc!$B$9)+G240</f>
        <v>0.13748201787108516</v>
      </c>
      <c r="I240">
        <f ca="1">HYPGEOMDIST(I$50,SampleCalc!$B$15,SampleCalc!$B$9*$Z240,SampleCalc!$B$9)+H240</f>
        <v>0.28362661700026182</v>
      </c>
      <c r="J240">
        <f ca="1">HYPGEOMDIST(J$50,SampleCalc!$B$15,SampleCalc!$B$9*$Z240,SampleCalc!$B$9)+I240</f>
        <v>0.46810043289313291</v>
      </c>
      <c r="K240">
        <f ca="1">HYPGEOMDIST(K$50,SampleCalc!$B$15,SampleCalc!$B$9*$Z240,SampleCalc!$B$9)+J240</f>
        <v>0.65216970094413362</v>
      </c>
      <c r="L240">
        <f ca="1">HYPGEOMDIST(L$50,SampleCalc!$B$15,SampleCalc!$B$9*$Z240,SampleCalc!$B$9)+K240</f>
        <v>0.80124717338138951</v>
      </c>
      <c r="M240">
        <f ca="1">HYPGEOMDIST(M$50,SampleCalc!$B$15,SampleCalc!$B$9*$Z240,SampleCalc!$B$9)+L240</f>
        <v>0.90110371332872685</v>
      </c>
      <c r="N240">
        <f ca="1">HYPGEOMDIST(N$50,SampleCalc!$B$15,SampleCalc!$B$9*$Z240,SampleCalc!$B$9)+M240</f>
        <v>0.95718792027332944</v>
      </c>
      <c r="O240">
        <f ca="1">HYPGEOMDIST(O$50,SampleCalc!$B$15,SampleCalc!$B$9*$Z240,SampleCalc!$B$9)+N240</f>
        <v>0.98387173435869113</v>
      </c>
      <c r="P240">
        <f ca="1">HYPGEOMDIST(P$50,SampleCalc!$B$15,SampleCalc!$B$9*$Z240,SampleCalc!$B$9)+O240</f>
        <v>0.99470908033905059</v>
      </c>
      <c r="Q240">
        <f ca="1">HYPGEOMDIST(Q$50,SampleCalc!$B$15,SampleCalc!$B$9*$Z240,SampleCalc!$B$9)+P240</f>
        <v>0.99848764548548419</v>
      </c>
      <c r="R240">
        <f ca="1">HYPGEOMDIST(R$50,SampleCalc!$B$15,SampleCalc!$B$9*$Z240,SampleCalc!$B$9)+Q240</f>
        <v>0.99962324288190785</v>
      </c>
      <c r="S240">
        <f ca="1">HYPGEOMDIST(S$50,SampleCalc!$B$15,SampleCalc!$B$9*$Z240,SampleCalc!$B$9)+R240</f>
        <v>0.99991822224979332</v>
      </c>
      <c r="T240">
        <f ca="1">HYPGEOMDIST(T$50,SampleCalc!$B$15,SampleCalc!$B$9*$Z240,SampleCalc!$B$9)+S240</f>
        <v>0.99998454837330075</v>
      </c>
      <c r="U240">
        <f ca="1">HYPGEOMDIST(U$50,SampleCalc!$B$15,SampleCalc!$B$9*$Z240,SampleCalc!$B$9)+T240</f>
        <v>0.99999746283484903</v>
      </c>
      <c r="V240">
        <f ca="1">HYPGEOMDIST(V$50,SampleCalc!$B$15,SampleCalc!$B$9*$Z240,SampleCalc!$B$9)+U240</f>
        <v>0.99999963888373333</v>
      </c>
      <c r="W240">
        <f ca="1">HYPGEOMDIST(W$50,SampleCalc!$B$15,SampleCalc!$B$9*$Z240,SampleCalc!$B$9)+V240</f>
        <v>0.99999995560740174</v>
      </c>
      <c r="X240">
        <f ca="1">HYPGEOMDIST(X$50,SampleCalc!$B$15,SampleCalc!$B$9*$Z240,SampleCalc!$B$9)+W240</f>
        <v>0.99999999530920347</v>
      </c>
      <c r="Y240">
        <f ca="1">HYPGEOMDIST(Y$50,SampleCalc!$B$15,SampleCalc!$B$9*$Z240,SampleCalc!$B$9)+X240</f>
        <v>0.99999999957664332</v>
      </c>
      <c r="Z240">
        <v>6.0999999999999999E-2</v>
      </c>
    </row>
    <row r="241" spans="5:26">
      <c r="E241">
        <f ca="1">HYPGEOMDIST(E$50,SampleCalc!$B$15,SampleCalc!$B$9*$Z241,SampleCalc!$B$9)</f>
        <v>1.3440009823707541E-3</v>
      </c>
      <c r="F241">
        <f ca="1">HYPGEOMDIST(F$50,SampleCalc!$B$15,SampleCalc!$B$9*$Z241,SampleCalc!$B$9)+E241</f>
        <v>1.1665928526978142E-2</v>
      </c>
      <c r="G241">
        <f ca="1">HYPGEOMDIST(G$50,SampleCalc!$B$15,SampleCalc!$B$9*$Z241,SampleCalc!$B$9)+F241</f>
        <v>4.9480968933086303E-2</v>
      </c>
      <c r="H241">
        <f ca="1">HYPGEOMDIST(H$50,SampleCalc!$B$15,SampleCalc!$B$9*$Z241,SampleCalc!$B$9)+G241</f>
        <v>0.13748201787108516</v>
      </c>
      <c r="I241">
        <f ca="1">HYPGEOMDIST(I$50,SampleCalc!$B$15,SampleCalc!$B$9*$Z241,SampleCalc!$B$9)+H241</f>
        <v>0.28362661700026182</v>
      </c>
      <c r="J241">
        <f ca="1">HYPGEOMDIST(J$50,SampleCalc!$B$15,SampleCalc!$B$9*$Z241,SampleCalc!$B$9)+I241</f>
        <v>0.46810043289313291</v>
      </c>
      <c r="K241">
        <f ca="1">HYPGEOMDIST(K$50,SampleCalc!$B$15,SampleCalc!$B$9*$Z241,SampleCalc!$B$9)+J241</f>
        <v>0.65216970094413362</v>
      </c>
      <c r="L241">
        <f ca="1">HYPGEOMDIST(L$50,SampleCalc!$B$15,SampleCalc!$B$9*$Z241,SampleCalc!$B$9)+K241</f>
        <v>0.80124717338138951</v>
      </c>
      <c r="M241">
        <f ca="1">HYPGEOMDIST(M$50,SampleCalc!$B$15,SampleCalc!$B$9*$Z241,SampleCalc!$B$9)+L241</f>
        <v>0.90110371332872685</v>
      </c>
      <c r="N241">
        <f ca="1">HYPGEOMDIST(N$50,SampleCalc!$B$15,SampleCalc!$B$9*$Z241,SampleCalc!$B$9)+M241</f>
        <v>0.95718792027332944</v>
      </c>
      <c r="O241">
        <f ca="1">HYPGEOMDIST(O$50,SampleCalc!$B$15,SampleCalc!$B$9*$Z241,SampleCalc!$B$9)+N241</f>
        <v>0.98387173435869113</v>
      </c>
      <c r="P241">
        <f ca="1">HYPGEOMDIST(P$50,SampleCalc!$B$15,SampleCalc!$B$9*$Z241,SampleCalc!$B$9)+O241</f>
        <v>0.99470908033905059</v>
      </c>
      <c r="Q241">
        <f ca="1">HYPGEOMDIST(Q$50,SampleCalc!$B$15,SampleCalc!$B$9*$Z241,SampleCalc!$B$9)+P241</f>
        <v>0.99848764548548419</v>
      </c>
      <c r="R241">
        <f ca="1">HYPGEOMDIST(R$50,SampleCalc!$B$15,SampleCalc!$B$9*$Z241,SampleCalc!$B$9)+Q241</f>
        <v>0.99962324288190785</v>
      </c>
      <c r="S241">
        <f ca="1">HYPGEOMDIST(S$50,SampleCalc!$B$15,SampleCalc!$B$9*$Z241,SampleCalc!$B$9)+R241</f>
        <v>0.99991822224979332</v>
      </c>
      <c r="T241">
        <f ca="1">HYPGEOMDIST(T$50,SampleCalc!$B$15,SampleCalc!$B$9*$Z241,SampleCalc!$B$9)+S241</f>
        <v>0.99998454837330075</v>
      </c>
      <c r="U241">
        <f ca="1">HYPGEOMDIST(U$50,SampleCalc!$B$15,SampleCalc!$B$9*$Z241,SampleCalc!$B$9)+T241</f>
        <v>0.99999746283484903</v>
      </c>
      <c r="V241">
        <f ca="1">HYPGEOMDIST(V$50,SampleCalc!$B$15,SampleCalc!$B$9*$Z241,SampleCalc!$B$9)+U241</f>
        <v>0.99999963888373333</v>
      </c>
      <c r="W241">
        <f ca="1">HYPGEOMDIST(W$50,SampleCalc!$B$15,SampleCalc!$B$9*$Z241,SampleCalc!$B$9)+V241</f>
        <v>0.99999995560740174</v>
      </c>
      <c r="X241">
        <f ca="1">HYPGEOMDIST(X$50,SampleCalc!$B$15,SampleCalc!$B$9*$Z241,SampleCalc!$B$9)+W241</f>
        <v>0.99999999530920347</v>
      </c>
      <c r="Y241">
        <f ca="1">HYPGEOMDIST(Y$50,SampleCalc!$B$15,SampleCalc!$B$9*$Z241,SampleCalc!$B$9)+X241</f>
        <v>0.99999999957664332</v>
      </c>
      <c r="Z241">
        <v>0.06</v>
      </c>
    </row>
    <row r="242" spans="5:26">
      <c r="E242">
        <f ca="1">HYPGEOMDIST(E$50,SampleCalc!$B$15,SampleCalc!$B$9*$Z242,SampleCalc!$B$9)</f>
        <v>1.6880652338576664E-3</v>
      </c>
      <c r="F242">
        <f ca="1">HYPGEOMDIST(F$50,SampleCalc!$B$15,SampleCalc!$B$9*$Z242,SampleCalc!$B$9)+E242</f>
        <v>1.4186931220718681E-2</v>
      </c>
      <c r="G242">
        <f ca="1">HYPGEOMDIST(G$50,SampleCalc!$B$15,SampleCalc!$B$9*$Z242,SampleCalc!$B$9)+F242</f>
        <v>5.8281073826886201E-2</v>
      </c>
      <c r="H242">
        <f ca="1">HYPGEOMDIST(H$50,SampleCalc!$B$15,SampleCalc!$B$9*$Z242,SampleCalc!$B$9)+G242</f>
        <v>0.15696796442164204</v>
      </c>
      <c r="I242">
        <f ca="1">HYPGEOMDIST(I$50,SampleCalc!$B$15,SampleCalc!$B$9*$Z242,SampleCalc!$B$9)+H242</f>
        <v>0.31437225298240701</v>
      </c>
      <c r="J242">
        <f ca="1">HYPGEOMDIST(J$50,SampleCalc!$B$15,SampleCalc!$B$9*$Z242,SampleCalc!$B$9)+I242</f>
        <v>0.50491428650333314</v>
      </c>
      <c r="K242">
        <f ca="1">HYPGEOMDIST(K$50,SampleCalc!$B$15,SampleCalc!$B$9*$Z242,SampleCalc!$B$9)+J242</f>
        <v>0.68695444451282672</v>
      </c>
      <c r="L242">
        <f ca="1">HYPGEOMDIST(L$50,SampleCalc!$B$15,SampleCalc!$B$9*$Z242,SampleCalc!$B$9)+K242</f>
        <v>0.82787558403401285</v>
      </c>
      <c r="M242">
        <f ca="1">HYPGEOMDIST(M$50,SampleCalc!$B$15,SampleCalc!$B$9*$Z242,SampleCalc!$B$9)+L242</f>
        <v>0.91792897541210772</v>
      </c>
      <c r="N242">
        <f ca="1">HYPGEOMDIST(N$50,SampleCalc!$B$15,SampleCalc!$B$9*$Z242,SampleCalc!$B$9)+M242</f>
        <v>0.96608252496845015</v>
      </c>
      <c r="O242">
        <f ca="1">HYPGEOMDIST(O$50,SampleCalc!$B$15,SampleCalc!$B$9*$Z242,SampleCalc!$B$9)+N242</f>
        <v>0.9878454278848231</v>
      </c>
      <c r="P242">
        <f ca="1">HYPGEOMDIST(P$50,SampleCalc!$B$15,SampleCalc!$B$9*$Z242,SampleCalc!$B$9)+O242</f>
        <v>0.99622050639762416</v>
      </c>
      <c r="Q242">
        <f ca="1">HYPGEOMDIST(Q$50,SampleCalc!$B$15,SampleCalc!$B$9*$Z242,SampleCalc!$B$9)+P242</f>
        <v>0.99897973769060122</v>
      </c>
      <c r="R242">
        <f ca="1">HYPGEOMDIST(R$50,SampleCalc!$B$15,SampleCalc!$B$9*$Z242,SampleCalc!$B$9)+Q242</f>
        <v>0.99976089992025452</v>
      </c>
      <c r="S242">
        <f ca="1">HYPGEOMDIST(S$50,SampleCalc!$B$15,SampleCalc!$B$9*$Z242,SampleCalc!$B$9)+R242</f>
        <v>0.99995138531154715</v>
      </c>
      <c r="T242">
        <f ca="1">HYPGEOMDIST(T$50,SampleCalc!$B$15,SampleCalc!$B$9*$Z242,SampleCalc!$B$9)+S242</f>
        <v>0.99999143608612662</v>
      </c>
      <c r="U242">
        <f ca="1">HYPGEOMDIST(U$50,SampleCalc!$B$15,SampleCalc!$B$9*$Z242,SampleCalc!$B$9)+T242</f>
        <v>0.99999869592921697</v>
      </c>
      <c r="V242">
        <f ca="1">HYPGEOMDIST(V$50,SampleCalc!$B$15,SampleCalc!$B$9*$Z242,SampleCalc!$B$9)+U242</f>
        <v>0.9999998289179346</v>
      </c>
      <c r="W242">
        <f ca="1">HYPGEOMDIST(W$50,SampleCalc!$B$15,SampleCalc!$B$9*$Z242,SampleCalc!$B$9)+V242</f>
        <v>0.99999998075187635</v>
      </c>
      <c r="X242">
        <f ca="1">HYPGEOMDIST(X$50,SampleCalc!$B$15,SampleCalc!$B$9*$Z242,SampleCalc!$B$9)+W242</f>
        <v>0.99999999815416352</v>
      </c>
      <c r="Y242">
        <f ca="1">HYPGEOMDIST(Y$50,SampleCalc!$B$15,SampleCalc!$B$9*$Z242,SampleCalc!$B$9)+X242</f>
        <v>0.99999999985033583</v>
      </c>
      <c r="Z242">
        <v>5.8999999999999997E-2</v>
      </c>
    </row>
    <row r="243" spans="5:26">
      <c r="E243">
        <f ca="1">HYPGEOMDIST(E$50,SampleCalc!$B$15,SampleCalc!$B$9*$Z243,SampleCalc!$B$9)</f>
        <v>1.6880652338576664E-3</v>
      </c>
      <c r="F243">
        <f ca="1">HYPGEOMDIST(F$50,SampleCalc!$B$15,SampleCalc!$B$9*$Z243,SampleCalc!$B$9)+E243</f>
        <v>1.4186931220718681E-2</v>
      </c>
      <c r="G243">
        <f ca="1">HYPGEOMDIST(G$50,SampleCalc!$B$15,SampleCalc!$B$9*$Z243,SampleCalc!$B$9)+F243</f>
        <v>5.8281073826886201E-2</v>
      </c>
      <c r="H243">
        <f ca="1">HYPGEOMDIST(H$50,SampleCalc!$B$15,SampleCalc!$B$9*$Z243,SampleCalc!$B$9)+G243</f>
        <v>0.15696796442164204</v>
      </c>
      <c r="I243">
        <f ca="1">HYPGEOMDIST(I$50,SampleCalc!$B$15,SampleCalc!$B$9*$Z243,SampleCalc!$B$9)+H243</f>
        <v>0.31437225298240701</v>
      </c>
      <c r="J243">
        <f ca="1">HYPGEOMDIST(J$50,SampleCalc!$B$15,SampleCalc!$B$9*$Z243,SampleCalc!$B$9)+I243</f>
        <v>0.50491428650333314</v>
      </c>
      <c r="K243">
        <f ca="1">HYPGEOMDIST(K$50,SampleCalc!$B$15,SampleCalc!$B$9*$Z243,SampleCalc!$B$9)+J243</f>
        <v>0.68695444451282672</v>
      </c>
      <c r="L243">
        <f ca="1">HYPGEOMDIST(L$50,SampleCalc!$B$15,SampleCalc!$B$9*$Z243,SampleCalc!$B$9)+K243</f>
        <v>0.82787558403401285</v>
      </c>
      <c r="M243">
        <f ca="1">HYPGEOMDIST(M$50,SampleCalc!$B$15,SampleCalc!$B$9*$Z243,SampleCalc!$B$9)+L243</f>
        <v>0.91792897541210772</v>
      </c>
      <c r="N243">
        <f ca="1">HYPGEOMDIST(N$50,SampleCalc!$B$15,SampleCalc!$B$9*$Z243,SampleCalc!$B$9)+M243</f>
        <v>0.96608252496845015</v>
      </c>
      <c r="O243">
        <f ca="1">HYPGEOMDIST(O$50,SampleCalc!$B$15,SampleCalc!$B$9*$Z243,SampleCalc!$B$9)+N243</f>
        <v>0.9878454278848231</v>
      </c>
      <c r="P243">
        <f ca="1">HYPGEOMDIST(P$50,SampleCalc!$B$15,SampleCalc!$B$9*$Z243,SampleCalc!$B$9)+O243</f>
        <v>0.99622050639762416</v>
      </c>
      <c r="Q243">
        <f ca="1">HYPGEOMDIST(Q$50,SampleCalc!$B$15,SampleCalc!$B$9*$Z243,SampleCalc!$B$9)+P243</f>
        <v>0.99897973769060122</v>
      </c>
      <c r="R243">
        <f ca="1">HYPGEOMDIST(R$50,SampleCalc!$B$15,SampleCalc!$B$9*$Z243,SampleCalc!$B$9)+Q243</f>
        <v>0.99976089992025452</v>
      </c>
      <c r="S243">
        <f ca="1">HYPGEOMDIST(S$50,SampleCalc!$B$15,SampleCalc!$B$9*$Z243,SampleCalc!$B$9)+R243</f>
        <v>0.99995138531154715</v>
      </c>
      <c r="T243">
        <f ca="1">HYPGEOMDIST(T$50,SampleCalc!$B$15,SampleCalc!$B$9*$Z243,SampleCalc!$B$9)+S243</f>
        <v>0.99999143608612662</v>
      </c>
      <c r="U243">
        <f ca="1">HYPGEOMDIST(U$50,SampleCalc!$B$15,SampleCalc!$B$9*$Z243,SampleCalc!$B$9)+T243</f>
        <v>0.99999869592921697</v>
      </c>
      <c r="V243">
        <f ca="1">HYPGEOMDIST(V$50,SampleCalc!$B$15,SampleCalc!$B$9*$Z243,SampleCalc!$B$9)+U243</f>
        <v>0.9999998289179346</v>
      </c>
      <c r="W243">
        <f ca="1">HYPGEOMDIST(W$50,SampleCalc!$B$15,SampleCalc!$B$9*$Z243,SampleCalc!$B$9)+V243</f>
        <v>0.99999998075187635</v>
      </c>
      <c r="X243">
        <f ca="1">HYPGEOMDIST(X$50,SampleCalc!$B$15,SampleCalc!$B$9*$Z243,SampleCalc!$B$9)+W243</f>
        <v>0.99999999815416352</v>
      </c>
      <c r="Y243">
        <f ca="1">HYPGEOMDIST(Y$50,SampleCalc!$B$15,SampleCalc!$B$9*$Z243,SampleCalc!$B$9)+X243</f>
        <v>0.99999999985033583</v>
      </c>
      <c r="Z243">
        <v>5.8000000000000003E-2</v>
      </c>
    </row>
    <row r="244" spans="5:26">
      <c r="E244">
        <f ca="1">HYPGEOMDIST(E$50,SampleCalc!$B$15,SampleCalc!$B$9*$Z244,SampleCalc!$B$9)</f>
        <v>2.119060612714942E-3</v>
      </c>
      <c r="F244">
        <f ca="1">HYPGEOMDIST(F$50,SampleCalc!$B$15,SampleCalc!$B$9*$Z244,SampleCalc!$B$9)+E244</f>
        <v>1.7227906572868167E-2</v>
      </c>
      <c r="G244">
        <f ca="1">HYPGEOMDIST(G$50,SampleCalc!$B$15,SampleCalc!$B$9*$Z244,SampleCalc!$B$9)+F244</f>
        <v>6.8490062509102306E-2</v>
      </c>
      <c r="H244">
        <f ca="1">HYPGEOMDIST(H$50,SampleCalc!$B$15,SampleCalc!$B$9*$Z244,SampleCalc!$B$9)+G244</f>
        <v>0.17867890077485105</v>
      </c>
      <c r="I244">
        <f ca="1">HYPGEOMDIST(I$50,SampleCalc!$B$15,SampleCalc!$B$9*$Z244,SampleCalc!$B$9)+H244</f>
        <v>0.34722432772739442</v>
      </c>
      <c r="J244">
        <f ca="1">HYPGEOMDIST(J$50,SampleCalc!$B$15,SampleCalc!$B$9*$Z244,SampleCalc!$B$9)+I244</f>
        <v>0.54257776747081454</v>
      </c>
      <c r="K244">
        <f ca="1">HYPGEOMDIST(K$50,SampleCalc!$B$15,SampleCalc!$B$9*$Z244,SampleCalc!$B$9)+J244</f>
        <v>0.72096989198345784</v>
      </c>
      <c r="L244">
        <f ca="1">HYPGEOMDIST(L$50,SampleCalc!$B$15,SampleCalc!$B$9*$Z244,SampleCalc!$B$9)+K244</f>
        <v>0.85271789889693572</v>
      </c>
      <c r="M244">
        <f ca="1">HYPGEOMDIST(M$50,SampleCalc!$B$15,SampleCalc!$B$9*$Z244,SampleCalc!$B$9)+L244</f>
        <v>0.93287318044683487</v>
      </c>
      <c r="N244">
        <f ca="1">HYPGEOMDIST(N$50,SampleCalc!$B$15,SampleCalc!$B$9*$Z244,SampleCalc!$B$9)+M244</f>
        <v>0.97358697424995821</v>
      </c>
      <c r="O244">
        <f ca="1">HYPGEOMDIST(O$50,SampleCalc!$B$15,SampleCalc!$B$9*$Z244,SampleCalc!$B$9)+N244</f>
        <v>0.9910221818034719</v>
      </c>
      <c r="P244">
        <f ca="1">HYPGEOMDIST(P$50,SampleCalc!$B$15,SampleCalc!$B$9*$Z244,SampleCalc!$B$9)+O244</f>
        <v>0.99736225727747685</v>
      </c>
      <c r="Q244">
        <f ca="1">HYPGEOMDIST(Q$50,SampleCalc!$B$15,SampleCalc!$B$9*$Z244,SampleCalc!$B$9)+P244</f>
        <v>0.99932991386251491</v>
      </c>
      <c r="R244">
        <f ca="1">HYPGEOMDIST(R$50,SampleCalc!$B$15,SampleCalc!$B$9*$Z244,SampleCalc!$B$9)+Q244</f>
        <v>0.99985285838501659</v>
      </c>
      <c r="S244">
        <f ca="1">HYPGEOMDIST(S$50,SampleCalc!$B$15,SampleCalc!$B$9*$Z244,SampleCalc!$B$9)+R244</f>
        <v>0.99997210122943314</v>
      </c>
      <c r="T244">
        <f ca="1">HYPGEOMDIST(T$50,SampleCalc!$B$15,SampleCalc!$B$9*$Z244,SampleCalc!$B$9)+S244</f>
        <v>0.9999954415167972</v>
      </c>
      <c r="U244">
        <f ca="1">HYPGEOMDIST(U$50,SampleCalc!$B$15,SampleCalc!$B$9*$Z244,SampleCalc!$B$9)+T244</f>
        <v>0.999999360095017</v>
      </c>
      <c r="V244">
        <f ca="1">HYPGEOMDIST(V$50,SampleCalc!$B$15,SampleCalc!$B$9*$Z244,SampleCalc!$B$9)+U244</f>
        <v>0.99999992315969155</v>
      </c>
      <c r="W244">
        <f ca="1">HYPGEOMDIST(W$50,SampleCalc!$B$15,SampleCalc!$B$9*$Z244,SampleCalc!$B$9)+V244</f>
        <v>0.99999999215337487</v>
      </c>
      <c r="X244">
        <f ca="1">HYPGEOMDIST(X$50,SampleCalc!$B$15,SampleCalc!$B$9*$Z244,SampleCalc!$B$9)+W244</f>
        <v>0.99999999932393757</v>
      </c>
      <c r="Y244">
        <f ca="1">HYPGEOMDIST(Y$50,SampleCalc!$B$15,SampleCalc!$B$9*$Z244,SampleCalc!$B$9)+X244</f>
        <v>0.9999999999513618</v>
      </c>
      <c r="Z244">
        <v>5.7000000000000002E-2</v>
      </c>
    </row>
    <row r="245" spans="5:26">
      <c r="E245">
        <f ca="1">HYPGEOMDIST(E$50,SampleCalc!$B$15,SampleCalc!$B$9*$Z245,SampleCalc!$B$9)</f>
        <v>2.119060612714942E-3</v>
      </c>
      <c r="F245">
        <f ca="1">HYPGEOMDIST(F$50,SampleCalc!$B$15,SampleCalc!$B$9*$Z245,SampleCalc!$B$9)+E245</f>
        <v>1.7227906572868167E-2</v>
      </c>
      <c r="G245">
        <f ca="1">HYPGEOMDIST(G$50,SampleCalc!$B$15,SampleCalc!$B$9*$Z245,SampleCalc!$B$9)+F245</f>
        <v>6.8490062509102306E-2</v>
      </c>
      <c r="H245">
        <f ca="1">HYPGEOMDIST(H$50,SampleCalc!$B$15,SampleCalc!$B$9*$Z245,SampleCalc!$B$9)+G245</f>
        <v>0.17867890077485105</v>
      </c>
      <c r="I245">
        <f ca="1">HYPGEOMDIST(I$50,SampleCalc!$B$15,SampleCalc!$B$9*$Z245,SampleCalc!$B$9)+H245</f>
        <v>0.34722432772739442</v>
      </c>
      <c r="J245">
        <f ca="1">HYPGEOMDIST(J$50,SampleCalc!$B$15,SampleCalc!$B$9*$Z245,SampleCalc!$B$9)+I245</f>
        <v>0.54257776747081454</v>
      </c>
      <c r="K245">
        <f ca="1">HYPGEOMDIST(K$50,SampleCalc!$B$15,SampleCalc!$B$9*$Z245,SampleCalc!$B$9)+J245</f>
        <v>0.72096989198345784</v>
      </c>
      <c r="L245">
        <f ca="1">HYPGEOMDIST(L$50,SampleCalc!$B$15,SampleCalc!$B$9*$Z245,SampleCalc!$B$9)+K245</f>
        <v>0.85271789889693572</v>
      </c>
      <c r="M245">
        <f ca="1">HYPGEOMDIST(M$50,SampleCalc!$B$15,SampleCalc!$B$9*$Z245,SampleCalc!$B$9)+L245</f>
        <v>0.93287318044683487</v>
      </c>
      <c r="N245">
        <f ca="1">HYPGEOMDIST(N$50,SampleCalc!$B$15,SampleCalc!$B$9*$Z245,SampleCalc!$B$9)+M245</f>
        <v>0.97358697424995821</v>
      </c>
      <c r="O245">
        <f ca="1">HYPGEOMDIST(O$50,SampleCalc!$B$15,SampleCalc!$B$9*$Z245,SampleCalc!$B$9)+N245</f>
        <v>0.9910221818034719</v>
      </c>
      <c r="P245">
        <f ca="1">HYPGEOMDIST(P$50,SampleCalc!$B$15,SampleCalc!$B$9*$Z245,SampleCalc!$B$9)+O245</f>
        <v>0.99736225727747685</v>
      </c>
      <c r="Q245">
        <f ca="1">HYPGEOMDIST(Q$50,SampleCalc!$B$15,SampleCalc!$B$9*$Z245,SampleCalc!$B$9)+P245</f>
        <v>0.99932991386251491</v>
      </c>
      <c r="R245">
        <f ca="1">HYPGEOMDIST(R$50,SampleCalc!$B$15,SampleCalc!$B$9*$Z245,SampleCalc!$B$9)+Q245</f>
        <v>0.99985285838501659</v>
      </c>
      <c r="S245">
        <f ca="1">HYPGEOMDIST(S$50,SampleCalc!$B$15,SampleCalc!$B$9*$Z245,SampleCalc!$B$9)+R245</f>
        <v>0.99997210122943314</v>
      </c>
      <c r="T245">
        <f ca="1">HYPGEOMDIST(T$50,SampleCalc!$B$15,SampleCalc!$B$9*$Z245,SampleCalc!$B$9)+S245</f>
        <v>0.9999954415167972</v>
      </c>
      <c r="U245">
        <f ca="1">HYPGEOMDIST(U$50,SampleCalc!$B$15,SampleCalc!$B$9*$Z245,SampleCalc!$B$9)+T245</f>
        <v>0.999999360095017</v>
      </c>
      <c r="V245">
        <f ca="1">HYPGEOMDIST(V$50,SampleCalc!$B$15,SampleCalc!$B$9*$Z245,SampleCalc!$B$9)+U245</f>
        <v>0.99999992315969155</v>
      </c>
      <c r="W245">
        <f ca="1">HYPGEOMDIST(W$50,SampleCalc!$B$15,SampleCalc!$B$9*$Z245,SampleCalc!$B$9)+V245</f>
        <v>0.99999999215337487</v>
      </c>
      <c r="X245">
        <f ca="1">HYPGEOMDIST(X$50,SampleCalc!$B$15,SampleCalc!$B$9*$Z245,SampleCalc!$B$9)+W245</f>
        <v>0.99999999932393757</v>
      </c>
      <c r="Y245">
        <f ca="1">HYPGEOMDIST(Y$50,SampleCalc!$B$15,SampleCalc!$B$9*$Z245,SampleCalc!$B$9)+X245</f>
        <v>0.9999999999513618</v>
      </c>
      <c r="Z245">
        <v>5.6000000000000001E-2</v>
      </c>
    </row>
    <row r="246" spans="5:26">
      <c r="E246">
        <f ca="1">HYPGEOMDIST(E$50,SampleCalc!$B$15,SampleCalc!$B$9*$Z246,SampleCalc!$B$9)</f>
        <v>2.6586622541489861E-3</v>
      </c>
      <c r="F246">
        <f ca="1">HYPGEOMDIST(F$50,SampleCalc!$B$15,SampleCalc!$B$9*$Z246,SampleCalc!$B$9)+E246</f>
        <v>2.0889489139742028E-2</v>
      </c>
      <c r="G246">
        <f ca="1">HYPGEOMDIST(G$50,SampleCalc!$B$15,SampleCalc!$B$9*$Z246,SampleCalc!$B$9)+F246</f>
        <v>8.0296009466146817E-2</v>
      </c>
      <c r="H246">
        <f ca="1">HYPGEOMDIST(H$50,SampleCalc!$B$15,SampleCalc!$B$9*$Z246,SampleCalc!$B$9)+G246</f>
        <v>0.20275681891092867</v>
      </c>
      <c r="I246">
        <f ca="1">HYPGEOMDIST(I$50,SampleCalc!$B$15,SampleCalc!$B$9*$Z246,SampleCalc!$B$9)+H246</f>
        <v>0.38210887053871923</v>
      </c>
      <c r="J246">
        <f ca="1">HYPGEOMDIST(J$50,SampleCalc!$B$15,SampleCalc!$B$9*$Z246,SampleCalc!$B$9)+I246</f>
        <v>0.58080465129495229</v>
      </c>
      <c r="K246">
        <f ca="1">HYPGEOMDIST(K$50,SampleCalc!$B$15,SampleCalc!$B$9*$Z246,SampleCalc!$B$9)+J246</f>
        <v>0.75390689371182729</v>
      </c>
      <c r="L246">
        <f ca="1">HYPGEOMDIST(L$50,SampleCalc!$B$15,SampleCalc!$B$9*$Z246,SampleCalc!$B$9)+K246</f>
        <v>0.87561940791119253</v>
      </c>
      <c r="M246">
        <f ca="1">HYPGEOMDIST(M$50,SampleCalc!$B$15,SampleCalc!$B$9*$Z246,SampleCalc!$B$9)+L246</f>
        <v>0.94595975702641</v>
      </c>
      <c r="N246">
        <f ca="1">HYPGEOMDIST(N$50,SampleCalc!$B$15,SampleCalc!$B$9*$Z246,SampleCalc!$B$9)+M246</f>
        <v>0.9798138340904986</v>
      </c>
      <c r="O246">
        <f ca="1">HYPGEOMDIST(O$50,SampleCalc!$B$15,SampleCalc!$B$9*$Z246,SampleCalc!$B$9)+N246</f>
        <v>0.99351292573968797</v>
      </c>
      <c r="P246">
        <f ca="1">HYPGEOMDIST(P$50,SampleCalc!$B$15,SampleCalc!$B$9*$Z246,SampleCalc!$B$9)+O246</f>
        <v>0.99820553867106443</v>
      </c>
      <c r="Q246">
        <f ca="1">HYPGEOMDIST(Q$50,SampleCalc!$B$15,SampleCalc!$B$9*$Z246,SampleCalc!$B$9)+P246</f>
        <v>0.99957270953367627</v>
      </c>
      <c r="R246">
        <f ca="1">HYPGEOMDIST(R$50,SampleCalc!$B$15,SampleCalc!$B$9*$Z246,SampleCalc!$B$9)+Q246</f>
        <v>0.99991247980722475</v>
      </c>
      <c r="S246">
        <f ca="1">HYPGEOMDIST(S$50,SampleCalc!$B$15,SampleCalc!$B$9*$Z246,SampleCalc!$B$9)+R246</f>
        <v>0.99998460495480668</v>
      </c>
      <c r="T246">
        <f ca="1">HYPGEOMDIST(T$50,SampleCalc!$B$15,SampleCalc!$B$9*$Z246,SampleCalc!$B$9)+S246</f>
        <v>0.99999768070435124</v>
      </c>
      <c r="U246">
        <f ca="1">HYPGEOMDIST(U$50,SampleCalc!$B$15,SampleCalc!$B$9*$Z246,SampleCalc!$B$9)+T246</f>
        <v>0.99999970195571219</v>
      </c>
      <c r="V246">
        <f ca="1">HYPGEOMDIST(V$50,SampleCalc!$B$15,SampleCalc!$B$9*$Z246,SampleCalc!$B$9)+U246</f>
        <v>0.99999996751277365</v>
      </c>
      <c r="W246">
        <f ca="1">HYPGEOMDIST(W$50,SampleCalc!$B$15,SampleCalc!$B$9*$Z246,SampleCalc!$B$9)+V246</f>
        <v>0.9999999970191138</v>
      </c>
      <c r="X246">
        <f ca="1">HYPGEOMDIST(X$50,SampleCalc!$B$15,SampleCalc!$B$9*$Z246,SampleCalc!$B$9)+W246</f>
        <v>0.99999999977209764</v>
      </c>
      <c r="Y246">
        <f ca="1">HYPGEOMDIST(Y$50,SampleCalc!$B$15,SampleCalc!$B$9*$Z246,SampleCalc!$B$9)+X246</f>
        <v>0.99999999998567923</v>
      </c>
      <c r="Z246">
        <v>5.5E-2</v>
      </c>
    </row>
    <row r="247" spans="5:26">
      <c r="E247">
        <f ca="1">HYPGEOMDIST(E$50,SampleCalc!$B$15,SampleCalc!$B$9*$Z247,SampleCalc!$B$9)</f>
        <v>2.6586622541489861E-3</v>
      </c>
      <c r="F247">
        <f ca="1">HYPGEOMDIST(F$50,SampleCalc!$B$15,SampleCalc!$B$9*$Z247,SampleCalc!$B$9)+E247</f>
        <v>2.0889489139742028E-2</v>
      </c>
      <c r="G247">
        <f ca="1">HYPGEOMDIST(G$50,SampleCalc!$B$15,SampleCalc!$B$9*$Z247,SampleCalc!$B$9)+F247</f>
        <v>8.0296009466146817E-2</v>
      </c>
      <c r="H247">
        <f ca="1">HYPGEOMDIST(H$50,SampleCalc!$B$15,SampleCalc!$B$9*$Z247,SampleCalc!$B$9)+G247</f>
        <v>0.20275681891092867</v>
      </c>
      <c r="I247">
        <f ca="1">HYPGEOMDIST(I$50,SampleCalc!$B$15,SampleCalc!$B$9*$Z247,SampleCalc!$B$9)+H247</f>
        <v>0.38210887053871923</v>
      </c>
      <c r="J247">
        <f ca="1">HYPGEOMDIST(J$50,SampleCalc!$B$15,SampleCalc!$B$9*$Z247,SampleCalc!$B$9)+I247</f>
        <v>0.58080465129495229</v>
      </c>
      <c r="K247">
        <f ca="1">HYPGEOMDIST(K$50,SampleCalc!$B$15,SampleCalc!$B$9*$Z247,SampleCalc!$B$9)+J247</f>
        <v>0.75390689371182729</v>
      </c>
      <c r="L247">
        <f ca="1">HYPGEOMDIST(L$50,SampleCalc!$B$15,SampleCalc!$B$9*$Z247,SampleCalc!$B$9)+K247</f>
        <v>0.87561940791119253</v>
      </c>
      <c r="M247">
        <f ca="1">HYPGEOMDIST(M$50,SampleCalc!$B$15,SampleCalc!$B$9*$Z247,SampleCalc!$B$9)+L247</f>
        <v>0.94595975702641</v>
      </c>
      <c r="N247">
        <f ca="1">HYPGEOMDIST(N$50,SampleCalc!$B$15,SampleCalc!$B$9*$Z247,SampleCalc!$B$9)+M247</f>
        <v>0.9798138340904986</v>
      </c>
      <c r="O247">
        <f ca="1">HYPGEOMDIST(O$50,SampleCalc!$B$15,SampleCalc!$B$9*$Z247,SampleCalc!$B$9)+N247</f>
        <v>0.99351292573968797</v>
      </c>
      <c r="P247">
        <f ca="1">HYPGEOMDIST(P$50,SampleCalc!$B$15,SampleCalc!$B$9*$Z247,SampleCalc!$B$9)+O247</f>
        <v>0.99820553867106443</v>
      </c>
      <c r="Q247">
        <f ca="1">HYPGEOMDIST(Q$50,SampleCalc!$B$15,SampleCalc!$B$9*$Z247,SampleCalc!$B$9)+P247</f>
        <v>0.99957270953367627</v>
      </c>
      <c r="R247">
        <f ca="1">HYPGEOMDIST(R$50,SampleCalc!$B$15,SampleCalc!$B$9*$Z247,SampleCalc!$B$9)+Q247</f>
        <v>0.99991247980722475</v>
      </c>
      <c r="S247">
        <f ca="1">HYPGEOMDIST(S$50,SampleCalc!$B$15,SampleCalc!$B$9*$Z247,SampleCalc!$B$9)+R247</f>
        <v>0.99998460495480668</v>
      </c>
      <c r="T247">
        <f ca="1">HYPGEOMDIST(T$50,SampleCalc!$B$15,SampleCalc!$B$9*$Z247,SampleCalc!$B$9)+S247</f>
        <v>0.99999768070435124</v>
      </c>
      <c r="U247">
        <f ca="1">HYPGEOMDIST(U$50,SampleCalc!$B$15,SampleCalc!$B$9*$Z247,SampleCalc!$B$9)+T247</f>
        <v>0.99999970195571219</v>
      </c>
      <c r="V247">
        <f ca="1">HYPGEOMDIST(V$50,SampleCalc!$B$15,SampleCalc!$B$9*$Z247,SampleCalc!$B$9)+U247</f>
        <v>0.99999996751277365</v>
      </c>
      <c r="W247">
        <f ca="1">HYPGEOMDIST(W$50,SampleCalc!$B$15,SampleCalc!$B$9*$Z247,SampleCalc!$B$9)+V247</f>
        <v>0.9999999970191138</v>
      </c>
      <c r="X247">
        <f ca="1">HYPGEOMDIST(X$50,SampleCalc!$B$15,SampleCalc!$B$9*$Z247,SampleCalc!$B$9)+W247</f>
        <v>0.99999999977209764</v>
      </c>
      <c r="Y247">
        <f ca="1">HYPGEOMDIST(Y$50,SampleCalc!$B$15,SampleCalc!$B$9*$Z247,SampleCalc!$B$9)+X247</f>
        <v>0.99999999998567923</v>
      </c>
      <c r="Z247">
        <v>5.3999999999999999E-2</v>
      </c>
    </row>
    <row r="248" spans="5:26">
      <c r="E248">
        <f ca="1">HYPGEOMDIST(E$50,SampleCalc!$B$15,SampleCalc!$B$9*$Z248,SampleCalc!$B$9)</f>
        <v>3.3338780647265052E-3</v>
      </c>
      <c r="F248">
        <f ca="1">HYPGEOMDIST(F$50,SampleCalc!$B$15,SampleCalc!$B$9*$Z248,SampleCalc!$B$9)+E248</f>
        <v>2.5289972126883133E-2</v>
      </c>
      <c r="G248">
        <f ca="1">HYPGEOMDIST(G$50,SampleCalc!$B$15,SampleCalc!$B$9*$Z248,SampleCalc!$B$9)+F248</f>
        <v>9.3902766071122648E-2</v>
      </c>
      <c r="H248">
        <f ca="1">HYPGEOMDIST(H$50,SampleCalc!$B$15,SampleCalc!$B$9*$Z248,SampleCalc!$B$9)+G248</f>
        <v>0.22932749322615686</v>
      </c>
      <c r="I248">
        <f ca="1">HYPGEOMDIST(I$50,SampleCalc!$B$15,SampleCalc!$B$9*$Z248,SampleCalc!$B$9)+H248</f>
        <v>0.41890438549357722</v>
      </c>
      <c r="J248">
        <f ca="1">HYPGEOMDIST(J$50,SampleCalc!$B$15,SampleCalc!$B$9*$Z248,SampleCalc!$B$9)+I248</f>
        <v>0.6192718162764802</v>
      </c>
      <c r="K248">
        <f ca="1">HYPGEOMDIST(K$50,SampleCalc!$B$15,SampleCalc!$B$9*$Z248,SampleCalc!$B$9)+J248</f>
        <v>0.78546198998573691</v>
      </c>
      <c r="L248">
        <f ca="1">HYPGEOMDIST(L$50,SampleCalc!$B$15,SampleCalc!$B$9*$Z248,SampleCalc!$B$9)+K248</f>
        <v>0.89646099283421987</v>
      </c>
      <c r="M248">
        <f ca="1">HYPGEOMDIST(M$50,SampleCalc!$B$15,SampleCalc!$B$9*$Z248,SampleCalc!$B$9)+L248</f>
        <v>0.95724444938110631</v>
      </c>
      <c r="N248">
        <f ca="1">HYPGEOMDIST(N$50,SampleCalc!$B$15,SampleCalc!$B$9*$Z248,SampleCalc!$B$9)+M248</f>
        <v>0.98488757173834662</v>
      </c>
      <c r="O248">
        <f ca="1">HYPGEOMDIST(O$50,SampleCalc!$B$15,SampleCalc!$B$9*$Z248,SampleCalc!$B$9)+N248</f>
        <v>0.99542473100802664</v>
      </c>
      <c r="P248">
        <f ca="1">HYPGEOMDIST(P$50,SampleCalc!$B$15,SampleCalc!$B$9*$Z248,SampleCalc!$B$9)+O248</f>
        <v>0.99881317016555871</v>
      </c>
      <c r="Q248">
        <f ca="1">HYPGEOMDIST(Q$50,SampleCalc!$B$15,SampleCalc!$B$9*$Z248,SampleCalc!$B$9)+P248</f>
        <v>0.99973630262834789</v>
      </c>
      <c r="R248">
        <f ca="1">HYPGEOMDIST(R$50,SampleCalc!$B$15,SampleCalc!$B$9*$Z248,SampleCalc!$B$9)+Q248</f>
        <v>0.99994987803189694</v>
      </c>
      <c r="S248">
        <f ca="1">HYPGEOMDIST(S$50,SampleCalc!$B$15,SampleCalc!$B$9*$Z248,SampleCalc!$B$9)+R248</f>
        <v>0.9999918692601093</v>
      </c>
      <c r="T248">
        <f ca="1">HYPGEOMDIST(T$50,SampleCalc!$B$15,SampleCalc!$B$9*$Z248,SampleCalc!$B$9)+S248</f>
        <v>0.99999887848293556</v>
      </c>
      <c r="U248">
        <f ca="1">HYPGEOMDIST(U$50,SampleCalc!$B$15,SampleCalc!$B$9*$Z248,SampleCalc!$B$9)+T248</f>
        <v>0.99999986915830652</v>
      </c>
      <c r="V248">
        <f ca="1">HYPGEOMDIST(V$50,SampleCalc!$B$15,SampleCalc!$B$9*$Z248,SampleCalc!$B$9)+U248</f>
        <v>0.99999998718366712</v>
      </c>
      <c r="W248">
        <f ca="1">HYPGEOMDIST(W$50,SampleCalc!$B$15,SampleCalc!$B$9*$Z248,SampleCalc!$B$9)+V248</f>
        <v>0.99999999895639879</v>
      </c>
      <c r="X248">
        <f ca="1">HYPGEOMDIST(X$50,SampleCalc!$B$15,SampleCalc!$B$9*$Z248,SampleCalc!$B$9)+W248</f>
        <v>0.9999999999303063</v>
      </c>
      <c r="Y248">
        <f ca="1">HYPGEOMDIST(Y$50,SampleCalc!$B$15,SampleCalc!$B$9*$Z248,SampleCalc!$B$9)+X248</f>
        <v>0.99999999999625311</v>
      </c>
      <c r="Z248">
        <v>5.2999999999999999E-2</v>
      </c>
    </row>
    <row r="249" spans="5:26">
      <c r="E249">
        <f ca="1">HYPGEOMDIST(E$50,SampleCalc!$B$15,SampleCalc!$B$9*$Z249,SampleCalc!$B$9)</f>
        <v>3.3338780647265052E-3</v>
      </c>
      <c r="F249">
        <f ca="1">HYPGEOMDIST(F$50,SampleCalc!$B$15,SampleCalc!$B$9*$Z249,SampleCalc!$B$9)+E249</f>
        <v>2.5289972126883133E-2</v>
      </c>
      <c r="G249">
        <f ca="1">HYPGEOMDIST(G$50,SampleCalc!$B$15,SampleCalc!$B$9*$Z249,SampleCalc!$B$9)+F249</f>
        <v>9.3902766071122648E-2</v>
      </c>
      <c r="H249">
        <f ca="1">HYPGEOMDIST(H$50,SampleCalc!$B$15,SampleCalc!$B$9*$Z249,SampleCalc!$B$9)+G249</f>
        <v>0.22932749322615686</v>
      </c>
      <c r="I249">
        <f ca="1">HYPGEOMDIST(I$50,SampleCalc!$B$15,SampleCalc!$B$9*$Z249,SampleCalc!$B$9)+H249</f>
        <v>0.41890438549357722</v>
      </c>
      <c r="J249">
        <f ca="1">HYPGEOMDIST(J$50,SampleCalc!$B$15,SampleCalc!$B$9*$Z249,SampleCalc!$B$9)+I249</f>
        <v>0.6192718162764802</v>
      </c>
      <c r="K249">
        <f ca="1">HYPGEOMDIST(K$50,SampleCalc!$B$15,SampleCalc!$B$9*$Z249,SampleCalc!$B$9)+J249</f>
        <v>0.78546198998573691</v>
      </c>
      <c r="L249">
        <f ca="1">HYPGEOMDIST(L$50,SampleCalc!$B$15,SampleCalc!$B$9*$Z249,SampleCalc!$B$9)+K249</f>
        <v>0.89646099283421987</v>
      </c>
      <c r="M249">
        <f ca="1">HYPGEOMDIST(M$50,SampleCalc!$B$15,SampleCalc!$B$9*$Z249,SampleCalc!$B$9)+L249</f>
        <v>0.95724444938110631</v>
      </c>
      <c r="N249">
        <f ca="1">HYPGEOMDIST(N$50,SampleCalc!$B$15,SampleCalc!$B$9*$Z249,SampleCalc!$B$9)+M249</f>
        <v>0.98488757173834662</v>
      </c>
      <c r="O249">
        <f ca="1">HYPGEOMDIST(O$50,SampleCalc!$B$15,SampleCalc!$B$9*$Z249,SampleCalc!$B$9)+N249</f>
        <v>0.99542473100802664</v>
      </c>
      <c r="P249">
        <f ca="1">HYPGEOMDIST(P$50,SampleCalc!$B$15,SampleCalc!$B$9*$Z249,SampleCalc!$B$9)+O249</f>
        <v>0.99881317016555871</v>
      </c>
      <c r="Q249">
        <f ca="1">HYPGEOMDIST(Q$50,SampleCalc!$B$15,SampleCalc!$B$9*$Z249,SampleCalc!$B$9)+P249</f>
        <v>0.99973630262834789</v>
      </c>
      <c r="R249">
        <f ca="1">HYPGEOMDIST(R$50,SampleCalc!$B$15,SampleCalc!$B$9*$Z249,SampleCalc!$B$9)+Q249</f>
        <v>0.99994987803189694</v>
      </c>
      <c r="S249">
        <f ca="1">HYPGEOMDIST(S$50,SampleCalc!$B$15,SampleCalc!$B$9*$Z249,SampleCalc!$B$9)+R249</f>
        <v>0.9999918692601093</v>
      </c>
      <c r="T249">
        <f ca="1">HYPGEOMDIST(T$50,SampleCalc!$B$15,SampleCalc!$B$9*$Z249,SampleCalc!$B$9)+S249</f>
        <v>0.99999887848293556</v>
      </c>
      <c r="U249">
        <f ca="1">HYPGEOMDIST(U$50,SampleCalc!$B$15,SampleCalc!$B$9*$Z249,SampleCalc!$B$9)+T249</f>
        <v>0.99999986915830652</v>
      </c>
      <c r="V249">
        <f ca="1">HYPGEOMDIST(V$50,SampleCalc!$B$15,SampleCalc!$B$9*$Z249,SampleCalc!$B$9)+U249</f>
        <v>0.99999998718366712</v>
      </c>
      <c r="W249">
        <f ca="1">HYPGEOMDIST(W$50,SampleCalc!$B$15,SampleCalc!$B$9*$Z249,SampleCalc!$B$9)+V249</f>
        <v>0.99999999895639879</v>
      </c>
      <c r="X249">
        <f ca="1">HYPGEOMDIST(X$50,SampleCalc!$B$15,SampleCalc!$B$9*$Z249,SampleCalc!$B$9)+W249</f>
        <v>0.9999999999303063</v>
      </c>
      <c r="Y249">
        <f ca="1">HYPGEOMDIST(Y$50,SampleCalc!$B$15,SampleCalc!$B$9*$Z249,SampleCalc!$B$9)+X249</f>
        <v>0.99999999999625311</v>
      </c>
      <c r="Z249">
        <v>5.1999999999999998E-2</v>
      </c>
    </row>
    <row r="250" spans="5:26">
      <c r="E250">
        <f ca="1">HYPGEOMDIST(E$50,SampleCalc!$B$15,SampleCalc!$B$9*$Z250,SampleCalc!$B$9)</f>
        <v>4.1783432209633008E-3</v>
      </c>
      <c r="F250">
        <f ca="1">HYPGEOMDIST(F$50,SampleCalc!$B$15,SampleCalc!$B$9*$Z250,SampleCalc!$B$9)+E250</f>
        <v>3.0567879353363116E-2</v>
      </c>
      <c r="G250">
        <f ca="1">HYPGEOMDIST(G$50,SampleCalc!$B$15,SampleCalc!$B$9*$Z250,SampleCalc!$B$9)+F250</f>
        <v>0.10952869612747265</v>
      </c>
      <c r="H250">
        <f ca="1">HYPGEOMDIST(H$50,SampleCalc!$B$15,SampleCalc!$B$9*$Z250,SampleCalc!$B$9)+G250</f>
        <v>0.25849316895960617</v>
      </c>
      <c r="I250">
        <f ca="1">HYPGEOMDIST(I$50,SampleCalc!$B$15,SampleCalc!$B$9*$Z250,SampleCalc!$B$9)+H250</f>
        <v>0.45743658372105878</v>
      </c>
      <c r="J250">
        <f ca="1">HYPGEOMDIST(J$50,SampleCalc!$B$15,SampleCalc!$B$9*$Z250,SampleCalc!$B$9)+I250</f>
        <v>0.65762339482477039</v>
      </c>
      <c r="K250">
        <f ca="1">HYPGEOMDIST(K$50,SampleCalc!$B$15,SampleCalc!$B$9*$Z250,SampleCalc!$B$9)+J250</f>
        <v>0.81534633690648239</v>
      </c>
      <c r="L250">
        <f ca="1">HYPGEOMDIST(L$50,SampleCalc!$B$15,SampleCalc!$B$9*$Z250,SampleCalc!$B$9)+K250</f>
        <v>0.91516359484864673</v>
      </c>
      <c r="M250">
        <f ca="1">HYPGEOMDIST(M$50,SampleCalc!$B$15,SampleCalc!$B$9*$Z250,SampleCalc!$B$9)+L250</f>
        <v>0.96681322250476653</v>
      </c>
      <c r="N250">
        <f ca="1">HYPGEOMDIST(N$50,SampleCalc!$B$15,SampleCalc!$B$9*$Z250,SampleCalc!$B$9)+M250</f>
        <v>0.98894032530360831</v>
      </c>
      <c r="O250">
        <f ca="1">HYPGEOMDIST(O$50,SampleCalc!$B$15,SampleCalc!$B$9*$Z250,SampleCalc!$B$9)+N250</f>
        <v>0.99685830142082876</v>
      </c>
      <c r="P250">
        <f ca="1">HYPGEOMDIST(P$50,SampleCalc!$B$15,SampleCalc!$B$9*$Z250,SampleCalc!$B$9)+O250</f>
        <v>0.99923923130223069</v>
      </c>
      <c r="Q250">
        <f ca="1">HYPGEOMDIST(Q$50,SampleCalc!$B$15,SampleCalc!$B$9*$Z250,SampleCalc!$B$9)+P250</f>
        <v>0.99984309033012253</v>
      </c>
      <c r="R250">
        <f ca="1">HYPGEOMDIST(R$50,SampleCalc!$B$15,SampleCalc!$B$9*$Z250,SampleCalc!$B$9)+Q250</f>
        <v>0.99997248869324218</v>
      </c>
      <c r="S250">
        <f ca="1">HYPGEOMDIST(S$50,SampleCalc!$B$15,SampleCalc!$B$9*$Z250,SampleCalc!$B$9)+R250</f>
        <v>0.99999591304250923</v>
      </c>
      <c r="T250">
        <f ca="1">HYPGEOMDIST(T$50,SampleCalc!$B$15,SampleCalc!$B$9*$Z250,SampleCalc!$B$9)+S250</f>
        <v>0.99999948812931783</v>
      </c>
      <c r="U250">
        <f ca="1">HYPGEOMDIST(U$50,SampleCalc!$B$15,SampleCalc!$B$9*$Z250,SampleCalc!$B$9)+T250</f>
        <v>0.99999994632873479</v>
      </c>
      <c r="V250">
        <f ca="1">HYPGEOMDIST(V$50,SampleCalc!$B$15,SampleCalc!$B$9*$Z250,SampleCalc!$B$9)+U250</f>
        <v>0.99999999533402006</v>
      </c>
      <c r="W250">
        <f ca="1">HYPGEOMDIST(W$50,SampleCalc!$B$15,SampleCalc!$B$9*$Z250,SampleCalc!$B$9)+V250</f>
        <v>0.99999999966810071</v>
      </c>
      <c r="X250">
        <f ca="1">HYPGEOMDIST(X$50,SampleCalc!$B$15,SampleCalc!$B$9*$Z250,SampleCalc!$B$9)+W250</f>
        <v>0.99999999998103484</v>
      </c>
      <c r="Y250">
        <f ca="1">HYPGEOMDIST(Y$50,SampleCalc!$B$15,SampleCalc!$B$9*$Z250,SampleCalc!$B$9)+X250</f>
        <v>0.99999999999915212</v>
      </c>
      <c r="Z250">
        <v>5.0999999999999997E-2</v>
      </c>
    </row>
    <row r="251" spans="5:26">
      <c r="E251">
        <f ca="1">HYPGEOMDIST(E$50,SampleCalc!$B$15,SampleCalc!$B$9*$Z251,SampleCalc!$B$9)</f>
        <v>4.1783432209633008E-3</v>
      </c>
      <c r="F251">
        <f ca="1">HYPGEOMDIST(F$50,SampleCalc!$B$15,SampleCalc!$B$9*$Z251,SampleCalc!$B$9)+E251</f>
        <v>3.0567879353363116E-2</v>
      </c>
      <c r="G251">
        <f ca="1">HYPGEOMDIST(G$50,SampleCalc!$B$15,SampleCalc!$B$9*$Z251,SampleCalc!$B$9)+F251</f>
        <v>0.10952869612747265</v>
      </c>
      <c r="H251">
        <f ca="1">HYPGEOMDIST(H$50,SampleCalc!$B$15,SampleCalc!$B$9*$Z251,SampleCalc!$B$9)+G251</f>
        <v>0.25849316895960617</v>
      </c>
      <c r="I251">
        <f ca="1">HYPGEOMDIST(I$50,SampleCalc!$B$15,SampleCalc!$B$9*$Z251,SampleCalc!$B$9)+H251</f>
        <v>0.45743658372105878</v>
      </c>
      <c r="J251">
        <f ca="1">HYPGEOMDIST(J$50,SampleCalc!$B$15,SampleCalc!$B$9*$Z251,SampleCalc!$B$9)+I251</f>
        <v>0.65762339482477039</v>
      </c>
      <c r="K251">
        <f ca="1">HYPGEOMDIST(K$50,SampleCalc!$B$15,SampleCalc!$B$9*$Z251,SampleCalc!$B$9)+J251</f>
        <v>0.81534633690648239</v>
      </c>
      <c r="L251">
        <f ca="1">HYPGEOMDIST(L$50,SampleCalc!$B$15,SampleCalc!$B$9*$Z251,SampleCalc!$B$9)+K251</f>
        <v>0.91516359484864673</v>
      </c>
      <c r="M251">
        <f ca="1">HYPGEOMDIST(M$50,SampleCalc!$B$15,SampleCalc!$B$9*$Z251,SampleCalc!$B$9)+L251</f>
        <v>0.96681322250476653</v>
      </c>
      <c r="N251">
        <f ca="1">HYPGEOMDIST(N$50,SampleCalc!$B$15,SampleCalc!$B$9*$Z251,SampleCalc!$B$9)+M251</f>
        <v>0.98894032530360831</v>
      </c>
      <c r="O251">
        <f ca="1">HYPGEOMDIST(O$50,SampleCalc!$B$15,SampleCalc!$B$9*$Z251,SampleCalc!$B$9)+N251</f>
        <v>0.99685830142082876</v>
      </c>
      <c r="P251">
        <f ca="1">HYPGEOMDIST(P$50,SampleCalc!$B$15,SampleCalc!$B$9*$Z251,SampleCalc!$B$9)+O251</f>
        <v>0.99923923130223069</v>
      </c>
      <c r="Q251">
        <f ca="1">HYPGEOMDIST(Q$50,SampleCalc!$B$15,SampleCalc!$B$9*$Z251,SampleCalc!$B$9)+P251</f>
        <v>0.99984309033012253</v>
      </c>
      <c r="R251">
        <f ca="1">HYPGEOMDIST(R$50,SampleCalc!$B$15,SampleCalc!$B$9*$Z251,SampleCalc!$B$9)+Q251</f>
        <v>0.99997248869324218</v>
      </c>
      <c r="S251">
        <f ca="1">HYPGEOMDIST(S$50,SampleCalc!$B$15,SampleCalc!$B$9*$Z251,SampleCalc!$B$9)+R251</f>
        <v>0.99999591304250923</v>
      </c>
      <c r="T251">
        <f ca="1">HYPGEOMDIST(T$50,SampleCalc!$B$15,SampleCalc!$B$9*$Z251,SampleCalc!$B$9)+S251</f>
        <v>0.99999948812931783</v>
      </c>
      <c r="U251">
        <f ca="1">HYPGEOMDIST(U$50,SampleCalc!$B$15,SampleCalc!$B$9*$Z251,SampleCalc!$B$9)+T251</f>
        <v>0.99999994632873479</v>
      </c>
      <c r="V251">
        <f ca="1">HYPGEOMDIST(V$50,SampleCalc!$B$15,SampleCalc!$B$9*$Z251,SampleCalc!$B$9)+U251</f>
        <v>0.99999999533402006</v>
      </c>
      <c r="W251">
        <f ca="1">HYPGEOMDIST(W$50,SampleCalc!$B$15,SampleCalc!$B$9*$Z251,SampleCalc!$B$9)+V251</f>
        <v>0.99999999966810071</v>
      </c>
      <c r="X251">
        <f ca="1">HYPGEOMDIST(X$50,SampleCalc!$B$15,SampleCalc!$B$9*$Z251,SampleCalc!$B$9)+W251</f>
        <v>0.99999999998103484</v>
      </c>
      <c r="Y251">
        <f ca="1">HYPGEOMDIST(Y$50,SampleCalc!$B$15,SampleCalc!$B$9*$Z251,SampleCalc!$B$9)+X251</f>
        <v>0.99999999999915212</v>
      </c>
      <c r="Z251">
        <v>0.05</v>
      </c>
    </row>
    <row r="252" spans="5:26">
      <c r="E252">
        <f ca="1">HYPGEOMDIST(E$50,SampleCalc!$B$15,SampleCalc!$B$9*$Z252,SampleCalc!$B$9)</f>
        <v>5.233924666259296E-3</v>
      </c>
      <c r="F252">
        <f ca="1">HYPGEOMDIST(F$50,SampleCalc!$B$15,SampleCalc!$B$9*$Z252,SampleCalc!$B$9)+E252</f>
        <v>3.6884744695291842E-2</v>
      </c>
      <c r="G252">
        <f ca="1">HYPGEOMDIST(G$50,SampleCalc!$B$15,SampleCalc!$B$9*$Z252,SampleCalc!$B$9)+F252</f>
        <v>0.12740443286732872</v>
      </c>
      <c r="H252">
        <f ca="1">HYPGEOMDIST(H$50,SampleCalc!$B$15,SampleCalc!$B$9*$Z252,SampleCalc!$B$9)+G252</f>
        <v>0.2903241153214387</v>
      </c>
      <c r="I252">
        <f ca="1">HYPGEOMDIST(I$50,SampleCalc!$B$15,SampleCalc!$B$9*$Z252,SampleCalc!$B$9)+H252</f>
        <v>0.49747394594180117</v>
      </c>
      <c r="J252">
        <f ca="1">HYPGEOMDIST(J$50,SampleCalc!$B$15,SampleCalc!$B$9*$Z252,SampleCalc!$B$9)+I252</f>
        <v>0.69547690092438108</v>
      </c>
      <c r="K252">
        <f ca="1">HYPGEOMDIST(K$50,SampleCalc!$B$15,SampleCalc!$B$9*$Z252,SampleCalc!$B$9)+J252</f>
        <v>0.84329516913028846</v>
      </c>
      <c r="L252">
        <f ca="1">HYPGEOMDIST(L$50,SampleCalc!$B$15,SampleCalc!$B$9*$Z252,SampleCalc!$B$9)+K252</f>
        <v>0.931691475698605</v>
      </c>
      <c r="M252">
        <f ca="1">HYPGEOMDIST(M$50,SampleCalc!$B$15,SampleCalc!$B$9*$Z252,SampleCalc!$B$9)+L252</f>
        <v>0.9747789795123496</v>
      </c>
      <c r="N252">
        <f ca="1">HYPGEOMDIST(N$50,SampleCalc!$B$15,SampleCalc!$B$9*$Z252,SampleCalc!$B$9)+M252</f>
        <v>0.99210751575049649</v>
      </c>
      <c r="O252">
        <f ca="1">HYPGEOMDIST(O$50,SampleCalc!$B$15,SampleCalc!$B$9*$Z252,SampleCalc!$B$9)+N252</f>
        <v>0.99790591056864564</v>
      </c>
      <c r="P252">
        <f ca="1">HYPGEOMDIST(P$50,SampleCalc!$B$15,SampleCalc!$B$9*$Z252,SampleCalc!$B$9)+O252</f>
        <v>0.99952908363561876</v>
      </c>
      <c r="Q252">
        <f ca="1">HYPGEOMDIST(Q$50,SampleCalc!$B$15,SampleCalc!$B$9*$Z252,SampleCalc!$B$9)+P252</f>
        <v>0.99991037747894473</v>
      </c>
      <c r="R252">
        <f ca="1">HYPGEOMDIST(R$50,SampleCalc!$B$15,SampleCalc!$B$9*$Z252,SampleCalc!$B$9)+Q252</f>
        <v>0.99998560632883171</v>
      </c>
      <c r="S252">
        <f ca="1">HYPGEOMDIST(S$50,SampleCalc!$B$15,SampleCalc!$B$9*$Z252,SampleCalc!$B$9)+R252</f>
        <v>0.99999805809459441</v>
      </c>
      <c r="T252">
        <f ca="1">HYPGEOMDIST(T$50,SampleCalc!$B$15,SampleCalc!$B$9*$Z252,SampleCalc!$B$9)+S252</f>
        <v>0.99999978137694467</v>
      </c>
      <c r="U252">
        <f ca="1">HYPGEOMDIST(U$50,SampleCalc!$B$15,SampleCalc!$B$9*$Z252,SampleCalc!$B$9)+T252</f>
        <v>0.99999997965232867</v>
      </c>
      <c r="V252">
        <f ca="1">HYPGEOMDIST(V$50,SampleCalc!$B$15,SampleCalc!$B$9*$Z252,SampleCalc!$B$9)+U252</f>
        <v>0.999999998454558</v>
      </c>
      <c r="W252">
        <f ca="1">HYPGEOMDIST(W$50,SampleCalc!$B$15,SampleCalc!$B$9*$Z252,SampleCalc!$B$9)+V252</f>
        <v>0.99999999990593058</v>
      </c>
      <c r="X252">
        <f ca="1">HYPGEOMDIST(X$50,SampleCalc!$B$15,SampleCalc!$B$9*$Z252,SampleCalc!$B$9)+W252</f>
        <v>0.99999999999552858</v>
      </c>
      <c r="Y252">
        <f ca="1">HYPGEOMDIST(Y$50,SampleCalc!$B$15,SampleCalc!$B$9*$Z252,SampleCalc!$B$9)+X252</f>
        <v>0.99999999999984046</v>
      </c>
      <c r="Z252">
        <v>4.9000000000000002E-2</v>
      </c>
    </row>
    <row r="253" spans="5:26">
      <c r="E253">
        <f ca="1">HYPGEOMDIST(E$50,SampleCalc!$B$15,SampleCalc!$B$9*$Z253,SampleCalc!$B$9)</f>
        <v>5.233924666259296E-3</v>
      </c>
      <c r="F253">
        <f ca="1">HYPGEOMDIST(F$50,SampleCalc!$B$15,SampleCalc!$B$9*$Z253,SampleCalc!$B$9)+E253</f>
        <v>3.6884744695291842E-2</v>
      </c>
      <c r="G253">
        <f ca="1">HYPGEOMDIST(G$50,SampleCalc!$B$15,SampleCalc!$B$9*$Z253,SampleCalc!$B$9)+F253</f>
        <v>0.12740443286732872</v>
      </c>
      <c r="H253">
        <f ca="1">HYPGEOMDIST(H$50,SampleCalc!$B$15,SampleCalc!$B$9*$Z253,SampleCalc!$B$9)+G253</f>
        <v>0.2903241153214387</v>
      </c>
      <c r="I253">
        <f ca="1">HYPGEOMDIST(I$50,SampleCalc!$B$15,SampleCalc!$B$9*$Z253,SampleCalc!$B$9)+H253</f>
        <v>0.49747394594180117</v>
      </c>
      <c r="J253">
        <f ca="1">HYPGEOMDIST(J$50,SampleCalc!$B$15,SampleCalc!$B$9*$Z253,SampleCalc!$B$9)+I253</f>
        <v>0.69547690092438108</v>
      </c>
      <c r="K253">
        <f ca="1">HYPGEOMDIST(K$50,SampleCalc!$B$15,SampleCalc!$B$9*$Z253,SampleCalc!$B$9)+J253</f>
        <v>0.84329516913028846</v>
      </c>
      <c r="L253">
        <f ca="1">HYPGEOMDIST(L$50,SampleCalc!$B$15,SampleCalc!$B$9*$Z253,SampleCalc!$B$9)+K253</f>
        <v>0.931691475698605</v>
      </c>
      <c r="M253">
        <f ca="1">HYPGEOMDIST(M$50,SampleCalc!$B$15,SampleCalc!$B$9*$Z253,SampleCalc!$B$9)+L253</f>
        <v>0.9747789795123496</v>
      </c>
      <c r="N253">
        <f ca="1">HYPGEOMDIST(N$50,SampleCalc!$B$15,SampleCalc!$B$9*$Z253,SampleCalc!$B$9)+M253</f>
        <v>0.99210751575049649</v>
      </c>
      <c r="O253">
        <f ca="1">HYPGEOMDIST(O$50,SampleCalc!$B$15,SampleCalc!$B$9*$Z253,SampleCalc!$B$9)+N253</f>
        <v>0.99790591056864564</v>
      </c>
      <c r="P253">
        <f ca="1">HYPGEOMDIST(P$50,SampleCalc!$B$15,SampleCalc!$B$9*$Z253,SampleCalc!$B$9)+O253</f>
        <v>0.99952908363561876</v>
      </c>
      <c r="Q253">
        <f ca="1">HYPGEOMDIST(Q$50,SampleCalc!$B$15,SampleCalc!$B$9*$Z253,SampleCalc!$B$9)+P253</f>
        <v>0.99991037747894473</v>
      </c>
      <c r="R253">
        <f ca="1">HYPGEOMDIST(R$50,SampleCalc!$B$15,SampleCalc!$B$9*$Z253,SampleCalc!$B$9)+Q253</f>
        <v>0.99998560632883171</v>
      </c>
      <c r="S253">
        <f ca="1">HYPGEOMDIST(S$50,SampleCalc!$B$15,SampleCalc!$B$9*$Z253,SampleCalc!$B$9)+R253</f>
        <v>0.99999805809459441</v>
      </c>
      <c r="T253">
        <f ca="1">HYPGEOMDIST(T$50,SampleCalc!$B$15,SampleCalc!$B$9*$Z253,SampleCalc!$B$9)+S253</f>
        <v>0.99999978137694467</v>
      </c>
      <c r="U253">
        <f ca="1">HYPGEOMDIST(U$50,SampleCalc!$B$15,SampleCalc!$B$9*$Z253,SampleCalc!$B$9)+T253</f>
        <v>0.99999997965232867</v>
      </c>
      <c r="V253">
        <f ca="1">HYPGEOMDIST(V$50,SampleCalc!$B$15,SampleCalc!$B$9*$Z253,SampleCalc!$B$9)+U253</f>
        <v>0.999999998454558</v>
      </c>
      <c r="W253">
        <f ca="1">HYPGEOMDIST(W$50,SampleCalc!$B$15,SampleCalc!$B$9*$Z253,SampleCalc!$B$9)+V253</f>
        <v>0.99999999990593058</v>
      </c>
      <c r="X253">
        <f ca="1">HYPGEOMDIST(X$50,SampleCalc!$B$15,SampleCalc!$B$9*$Z253,SampleCalc!$B$9)+W253</f>
        <v>0.99999999999552858</v>
      </c>
      <c r="Y253">
        <f ca="1">HYPGEOMDIST(Y$50,SampleCalc!$B$15,SampleCalc!$B$9*$Z253,SampleCalc!$B$9)+X253</f>
        <v>0.99999999999984046</v>
      </c>
      <c r="Z253">
        <v>4.8000000000000001E-2</v>
      </c>
    </row>
    <row r="254" spans="5:26">
      <c r="E254">
        <f ca="1">HYPGEOMDIST(E$50,SampleCalc!$B$15,SampleCalc!$B$9*$Z254,SampleCalc!$B$9)</f>
        <v>6.5527088341356433E-3</v>
      </c>
      <c r="F254">
        <f ca="1">HYPGEOMDIST(F$50,SampleCalc!$B$15,SampleCalc!$B$9*$Z254,SampleCalc!$B$9)+E254</f>
        <v>4.4428052042961588E-2</v>
      </c>
      <c r="G254">
        <f ca="1">HYPGEOMDIST(G$50,SampleCalc!$B$15,SampleCalc!$B$9*$Z254,SampleCalc!$B$9)+F254</f>
        <v>0.14776939317409252</v>
      </c>
      <c r="H254">
        <f ca="1">HYPGEOMDIST(H$50,SampleCalc!$B$15,SampleCalc!$B$9*$Z254,SampleCalc!$B$9)+G254</f>
        <v>0.32484908709149918</v>
      </c>
      <c r="I254">
        <f ca="1">HYPGEOMDIST(I$50,SampleCalc!$B$15,SampleCalc!$B$9*$Z254,SampleCalc!$B$9)+H254</f>
        <v>0.53872456156317183</v>
      </c>
      <c r="J254">
        <f ca="1">HYPGEOMDIST(J$50,SampleCalc!$B$15,SampleCalc!$B$9*$Z254,SampleCalc!$B$9)+I254</f>
        <v>0.73243146797585823</v>
      </c>
      <c r="K254">
        <f ca="1">HYPGEOMDIST(K$50,SampleCalc!$B$15,SampleCalc!$B$9*$Z254,SampleCalc!$B$9)+J254</f>
        <v>0.86907742521271425</v>
      </c>
      <c r="L254">
        <f ca="1">HYPGEOMDIST(L$50,SampleCalc!$B$15,SampleCalc!$B$9*$Z254,SampleCalc!$B$9)+K254</f>
        <v>0.94605397696985338</v>
      </c>
      <c r="M254">
        <f ca="1">HYPGEOMDIST(M$50,SampleCalc!$B$15,SampleCalc!$B$9*$Z254,SampleCalc!$B$9)+L254</f>
        <v>0.98127718060165481</v>
      </c>
      <c r="N254">
        <f ca="1">HYPGEOMDIST(N$50,SampleCalc!$B$15,SampleCalc!$B$9*$Z254,SampleCalc!$B$9)+M254</f>
        <v>0.99452351359139213</v>
      </c>
      <c r="O254">
        <f ca="1">HYPGEOMDIST(O$50,SampleCalc!$B$15,SampleCalc!$B$9*$Z254,SampleCalc!$B$9)+N254</f>
        <v>0.99864986489100849</v>
      </c>
      <c r="P254">
        <f ca="1">HYPGEOMDIST(P$50,SampleCalc!$B$15,SampleCalc!$B$9*$Z254,SampleCalc!$B$9)+O254</f>
        <v>0.99971973055728192</v>
      </c>
      <c r="Q254">
        <f ca="1">HYPGEOMDIST(Q$50,SampleCalc!$B$15,SampleCalc!$B$9*$Z254,SampleCalc!$B$9)+P254</f>
        <v>0.9999511264393004</v>
      </c>
      <c r="R254">
        <f ca="1">HYPGEOMDIST(R$50,SampleCalc!$B$15,SampleCalc!$B$9*$Z254,SampleCalc!$B$9)+Q254</f>
        <v>0.99999286985886016</v>
      </c>
      <c r="S254">
        <f ca="1">HYPGEOMDIST(S$50,SampleCalc!$B$15,SampleCalc!$B$9*$Z254,SampleCalc!$B$9)+R254</f>
        <v>0.99999913514606353</v>
      </c>
      <c r="T254">
        <f ca="1">HYPGEOMDIST(T$50,SampleCalc!$B$15,SampleCalc!$B$9*$Z254,SampleCalc!$B$9)+S254</f>
        <v>0.9999999135605343</v>
      </c>
      <c r="U254">
        <f ca="1">HYPGEOMDIST(U$50,SampleCalc!$B$15,SampleCalc!$B$9*$Z254,SampleCalc!$B$9)+T254</f>
        <v>0.99999999297057474</v>
      </c>
      <c r="V254">
        <f ca="1">HYPGEOMDIST(V$50,SampleCalc!$B$15,SampleCalc!$B$9*$Z254,SampleCalc!$B$9)+U254</f>
        <v>0.99999999954308771</v>
      </c>
      <c r="W254">
        <f ca="1">HYPGEOMDIST(W$50,SampleCalc!$B$15,SampleCalc!$B$9*$Z254,SampleCalc!$B$9)+V254</f>
        <v>0.99999999997686262</v>
      </c>
      <c r="X254">
        <f ca="1">HYPGEOMDIST(X$50,SampleCalc!$B$15,SampleCalc!$B$9*$Z254,SampleCalc!$B$9)+W254</f>
        <v>0.99999999999912215</v>
      </c>
      <c r="Y254">
        <f ca="1">HYPGEOMDIST(Y$50,SampleCalc!$B$15,SampleCalc!$B$9*$Z254,SampleCalc!$B$9)+X254</f>
        <v>0.99999999999997702</v>
      </c>
      <c r="Z254">
        <v>4.7E-2</v>
      </c>
    </row>
    <row r="255" spans="5:26">
      <c r="E255">
        <f ca="1">HYPGEOMDIST(E$50,SampleCalc!$B$15,SampleCalc!$B$9*$Z255,SampleCalc!$B$9)</f>
        <v>6.5527088341356433E-3</v>
      </c>
      <c r="F255">
        <f ca="1">HYPGEOMDIST(F$50,SampleCalc!$B$15,SampleCalc!$B$9*$Z255,SampleCalc!$B$9)+E255</f>
        <v>4.4428052042961588E-2</v>
      </c>
      <c r="G255">
        <f ca="1">HYPGEOMDIST(G$50,SampleCalc!$B$15,SampleCalc!$B$9*$Z255,SampleCalc!$B$9)+F255</f>
        <v>0.14776939317409252</v>
      </c>
      <c r="H255">
        <f ca="1">HYPGEOMDIST(H$50,SampleCalc!$B$15,SampleCalc!$B$9*$Z255,SampleCalc!$B$9)+G255</f>
        <v>0.32484908709149918</v>
      </c>
      <c r="I255">
        <f ca="1">HYPGEOMDIST(I$50,SampleCalc!$B$15,SampleCalc!$B$9*$Z255,SampleCalc!$B$9)+H255</f>
        <v>0.53872456156317183</v>
      </c>
      <c r="J255">
        <f ca="1">HYPGEOMDIST(J$50,SampleCalc!$B$15,SampleCalc!$B$9*$Z255,SampleCalc!$B$9)+I255</f>
        <v>0.73243146797585823</v>
      </c>
      <c r="K255">
        <f ca="1">HYPGEOMDIST(K$50,SampleCalc!$B$15,SampleCalc!$B$9*$Z255,SampleCalc!$B$9)+J255</f>
        <v>0.86907742521271425</v>
      </c>
      <c r="L255">
        <f ca="1">HYPGEOMDIST(L$50,SampleCalc!$B$15,SampleCalc!$B$9*$Z255,SampleCalc!$B$9)+K255</f>
        <v>0.94605397696985338</v>
      </c>
      <c r="M255">
        <f ca="1">HYPGEOMDIST(M$50,SampleCalc!$B$15,SampleCalc!$B$9*$Z255,SampleCalc!$B$9)+L255</f>
        <v>0.98127718060165481</v>
      </c>
      <c r="N255">
        <f ca="1">HYPGEOMDIST(N$50,SampleCalc!$B$15,SampleCalc!$B$9*$Z255,SampleCalc!$B$9)+M255</f>
        <v>0.99452351359139213</v>
      </c>
      <c r="O255">
        <f ca="1">HYPGEOMDIST(O$50,SampleCalc!$B$15,SampleCalc!$B$9*$Z255,SampleCalc!$B$9)+N255</f>
        <v>0.99864986489100849</v>
      </c>
      <c r="P255">
        <f ca="1">HYPGEOMDIST(P$50,SampleCalc!$B$15,SampleCalc!$B$9*$Z255,SampleCalc!$B$9)+O255</f>
        <v>0.99971973055728192</v>
      </c>
      <c r="Q255">
        <f ca="1">HYPGEOMDIST(Q$50,SampleCalc!$B$15,SampleCalc!$B$9*$Z255,SampleCalc!$B$9)+P255</f>
        <v>0.9999511264393004</v>
      </c>
      <c r="R255">
        <f ca="1">HYPGEOMDIST(R$50,SampleCalc!$B$15,SampleCalc!$B$9*$Z255,SampleCalc!$B$9)+Q255</f>
        <v>0.99999286985886016</v>
      </c>
      <c r="S255">
        <f ca="1">HYPGEOMDIST(S$50,SampleCalc!$B$15,SampleCalc!$B$9*$Z255,SampleCalc!$B$9)+R255</f>
        <v>0.99999913514606353</v>
      </c>
      <c r="T255">
        <f ca="1">HYPGEOMDIST(T$50,SampleCalc!$B$15,SampleCalc!$B$9*$Z255,SampleCalc!$B$9)+S255</f>
        <v>0.9999999135605343</v>
      </c>
      <c r="U255">
        <f ca="1">HYPGEOMDIST(U$50,SampleCalc!$B$15,SampleCalc!$B$9*$Z255,SampleCalc!$B$9)+T255</f>
        <v>0.99999999297057474</v>
      </c>
      <c r="V255">
        <f ca="1">HYPGEOMDIST(V$50,SampleCalc!$B$15,SampleCalc!$B$9*$Z255,SampleCalc!$B$9)+U255</f>
        <v>0.99999999954308771</v>
      </c>
      <c r="W255">
        <f ca="1">HYPGEOMDIST(W$50,SampleCalc!$B$15,SampleCalc!$B$9*$Z255,SampleCalc!$B$9)+V255</f>
        <v>0.99999999997686262</v>
      </c>
      <c r="X255">
        <f ca="1">HYPGEOMDIST(X$50,SampleCalc!$B$15,SampleCalc!$B$9*$Z255,SampleCalc!$B$9)+W255</f>
        <v>0.99999999999912215</v>
      </c>
      <c r="Y255">
        <f ca="1">HYPGEOMDIST(Y$50,SampleCalc!$B$15,SampleCalc!$B$9*$Z255,SampleCalc!$B$9)+X255</f>
        <v>0.99999999999997702</v>
      </c>
      <c r="Z255">
        <v>4.5999999999999999E-2</v>
      </c>
    </row>
    <row r="256" spans="5:26">
      <c r="E256">
        <f ca="1">HYPGEOMDIST(E$50,SampleCalc!$B$15,SampleCalc!$B$9*$Z256,SampleCalc!$B$9)</f>
        <v>8.199462886693298E-3</v>
      </c>
      <c r="F256">
        <f ca="1">HYPGEOMDIST(F$50,SampleCalc!$B$15,SampleCalc!$B$9*$Z256,SampleCalc!$B$9)+E256</f>
        <v>5.3414255619581706E-2</v>
      </c>
      <c r="G256">
        <f ca="1">HYPGEOMDIST(G$50,SampleCalc!$B$15,SampleCalc!$B$9*$Z256,SampleCalc!$B$9)+F256</f>
        <v>0.17086674455462383</v>
      </c>
      <c r="H256">
        <f ca="1">HYPGEOMDIST(H$50,SampleCalc!$B$15,SampleCalc!$B$9*$Z256,SampleCalc!$B$9)+G256</f>
        <v>0.36204482178222464</v>
      </c>
      <c r="I256">
        <f ca="1">HYPGEOMDIST(I$50,SampleCalc!$B$15,SampleCalc!$B$9*$Z256,SampleCalc!$B$9)+H256</f>
        <v>0.58083475860940825</v>
      </c>
      <c r="J256">
        <f ca="1">HYPGEOMDIST(J$50,SampleCalc!$B$15,SampleCalc!$B$9*$Z256,SampleCalc!$B$9)+I256</f>
        <v>0.76807823942895115</v>
      </c>
      <c r="K256">
        <f ca="1">HYPGEOMDIST(K$50,SampleCalc!$B$15,SampleCalc!$B$9*$Z256,SampleCalc!$B$9)+J256</f>
        <v>0.89250507139966984</v>
      </c>
      <c r="L256">
        <f ca="1">HYPGEOMDIST(L$50,SampleCalc!$B$15,SampleCalc!$B$9*$Z256,SampleCalc!$B$9)+K256</f>
        <v>0.95830552605917585</v>
      </c>
      <c r="M256">
        <f ca="1">HYPGEOMDIST(M$50,SampleCalc!$B$15,SampleCalc!$B$9*$Z256,SampleCalc!$B$9)+L256</f>
        <v>0.98646052829329134</v>
      </c>
      <c r="N256">
        <f ca="1">HYPGEOMDIST(N$50,SampleCalc!$B$15,SampleCalc!$B$9*$Z256,SampleCalc!$B$9)+M256</f>
        <v>0.99631757937383425</v>
      </c>
      <c r="O256">
        <f ca="1">HYPGEOMDIST(O$50,SampleCalc!$B$15,SampleCalc!$B$9*$Z256,SampleCalc!$B$9)+N256</f>
        <v>0.99916153977487865</v>
      </c>
      <c r="P256">
        <f ca="1">HYPGEOMDIST(P$50,SampleCalc!$B$15,SampleCalc!$B$9*$Z256,SampleCalc!$B$9)+O256</f>
        <v>0.99984045884355266</v>
      </c>
      <c r="Q256">
        <f ca="1">HYPGEOMDIST(Q$50,SampleCalc!$B$15,SampleCalc!$B$9*$Z256,SampleCalc!$B$9)+P256</f>
        <v>0.99997472054600833</v>
      </c>
      <c r="R256">
        <f ca="1">HYPGEOMDIST(R$50,SampleCalc!$B$15,SampleCalc!$B$9*$Z256,SampleCalc!$B$9)+Q256</f>
        <v>0.99999668351194071</v>
      </c>
      <c r="S256">
        <f ca="1">HYPGEOMDIST(S$50,SampleCalc!$B$15,SampleCalc!$B$9*$Z256,SampleCalc!$B$9)+R256</f>
        <v>0.99999964280767506</v>
      </c>
      <c r="T256">
        <f ca="1">HYPGEOMDIST(T$50,SampleCalc!$B$15,SampleCalc!$B$9*$Z256,SampleCalc!$B$9)+S256</f>
        <v>0.99999996880230169</v>
      </c>
      <c r="U256">
        <f ca="1">HYPGEOMDIST(U$50,SampleCalc!$B$15,SampleCalc!$B$9*$Z256,SampleCalc!$B$9)+T256</f>
        <v>0.99999999782851923</v>
      </c>
      <c r="V256">
        <f ca="1">HYPGEOMDIST(V$50,SampleCalc!$B$15,SampleCalc!$B$9*$Z256,SampleCalc!$B$9)+U256</f>
        <v>0.99999999988256383</v>
      </c>
      <c r="W256">
        <f ca="1">HYPGEOMDIST(W$50,SampleCalc!$B$15,SampleCalc!$B$9*$Z256,SampleCalc!$B$9)+V256</f>
        <v>0.99999999999525102</v>
      </c>
      <c r="X256">
        <f ca="1">HYPGEOMDIST(X$50,SampleCalc!$B$15,SampleCalc!$B$9*$Z256,SampleCalc!$B$9)+W256</f>
        <v>0.99999999999986555</v>
      </c>
      <c r="Y256">
        <f ca="1">HYPGEOMDIST(Y$50,SampleCalc!$B$15,SampleCalc!$B$9*$Z256,SampleCalc!$B$9)+X256</f>
        <v>0.99999999999999811</v>
      </c>
      <c r="Z256">
        <v>4.4999999999999998E-2</v>
      </c>
    </row>
    <row r="257" spans="5:26">
      <c r="E257">
        <f ca="1">HYPGEOMDIST(E$50,SampleCalc!$B$15,SampleCalc!$B$9*$Z257,SampleCalc!$B$9)</f>
        <v>8.199462886693298E-3</v>
      </c>
      <c r="F257">
        <f ca="1">HYPGEOMDIST(F$50,SampleCalc!$B$15,SampleCalc!$B$9*$Z257,SampleCalc!$B$9)+E257</f>
        <v>5.3414255619581706E-2</v>
      </c>
      <c r="G257">
        <f ca="1">HYPGEOMDIST(G$50,SampleCalc!$B$15,SampleCalc!$B$9*$Z257,SampleCalc!$B$9)+F257</f>
        <v>0.17086674455462383</v>
      </c>
      <c r="H257">
        <f ca="1">HYPGEOMDIST(H$50,SampleCalc!$B$15,SampleCalc!$B$9*$Z257,SampleCalc!$B$9)+G257</f>
        <v>0.36204482178222464</v>
      </c>
      <c r="I257">
        <f ca="1">HYPGEOMDIST(I$50,SampleCalc!$B$15,SampleCalc!$B$9*$Z257,SampleCalc!$B$9)+H257</f>
        <v>0.58083475860940825</v>
      </c>
      <c r="J257">
        <f ca="1">HYPGEOMDIST(J$50,SampleCalc!$B$15,SampleCalc!$B$9*$Z257,SampleCalc!$B$9)+I257</f>
        <v>0.76807823942895115</v>
      </c>
      <c r="K257">
        <f ca="1">HYPGEOMDIST(K$50,SampleCalc!$B$15,SampleCalc!$B$9*$Z257,SampleCalc!$B$9)+J257</f>
        <v>0.89250507139966984</v>
      </c>
      <c r="L257">
        <f ca="1">HYPGEOMDIST(L$50,SampleCalc!$B$15,SampleCalc!$B$9*$Z257,SampleCalc!$B$9)+K257</f>
        <v>0.95830552605917585</v>
      </c>
      <c r="M257">
        <f ca="1">HYPGEOMDIST(M$50,SampleCalc!$B$15,SampleCalc!$B$9*$Z257,SampleCalc!$B$9)+L257</f>
        <v>0.98646052829329134</v>
      </c>
      <c r="N257">
        <f ca="1">HYPGEOMDIST(N$50,SampleCalc!$B$15,SampleCalc!$B$9*$Z257,SampleCalc!$B$9)+M257</f>
        <v>0.99631757937383425</v>
      </c>
      <c r="O257">
        <f ca="1">HYPGEOMDIST(O$50,SampleCalc!$B$15,SampleCalc!$B$9*$Z257,SampleCalc!$B$9)+N257</f>
        <v>0.99916153977487865</v>
      </c>
      <c r="P257">
        <f ca="1">HYPGEOMDIST(P$50,SampleCalc!$B$15,SampleCalc!$B$9*$Z257,SampleCalc!$B$9)+O257</f>
        <v>0.99984045884355266</v>
      </c>
      <c r="Q257">
        <f ca="1">HYPGEOMDIST(Q$50,SampleCalc!$B$15,SampleCalc!$B$9*$Z257,SampleCalc!$B$9)+P257</f>
        <v>0.99997472054600833</v>
      </c>
      <c r="R257">
        <f ca="1">HYPGEOMDIST(R$50,SampleCalc!$B$15,SampleCalc!$B$9*$Z257,SampleCalc!$B$9)+Q257</f>
        <v>0.99999668351194071</v>
      </c>
      <c r="S257">
        <f ca="1">HYPGEOMDIST(S$50,SampleCalc!$B$15,SampleCalc!$B$9*$Z257,SampleCalc!$B$9)+R257</f>
        <v>0.99999964280767506</v>
      </c>
      <c r="T257">
        <f ca="1">HYPGEOMDIST(T$50,SampleCalc!$B$15,SampleCalc!$B$9*$Z257,SampleCalc!$B$9)+S257</f>
        <v>0.99999996880230169</v>
      </c>
      <c r="U257">
        <f ca="1">HYPGEOMDIST(U$50,SampleCalc!$B$15,SampleCalc!$B$9*$Z257,SampleCalc!$B$9)+T257</f>
        <v>0.99999999782851923</v>
      </c>
      <c r="V257">
        <f ca="1">HYPGEOMDIST(V$50,SampleCalc!$B$15,SampleCalc!$B$9*$Z257,SampleCalc!$B$9)+U257</f>
        <v>0.99999999988256383</v>
      </c>
      <c r="W257">
        <f ca="1">HYPGEOMDIST(W$50,SampleCalc!$B$15,SampleCalc!$B$9*$Z257,SampleCalc!$B$9)+V257</f>
        <v>0.99999999999525102</v>
      </c>
      <c r="X257">
        <f ca="1">HYPGEOMDIST(X$50,SampleCalc!$B$15,SampleCalc!$B$9*$Z257,SampleCalc!$B$9)+W257</f>
        <v>0.99999999999986555</v>
      </c>
      <c r="Y257">
        <f ca="1">HYPGEOMDIST(Y$50,SampleCalc!$B$15,SampleCalc!$B$9*$Z257,SampleCalc!$B$9)+X257</f>
        <v>0.99999999999999811</v>
      </c>
      <c r="Z257">
        <v>4.3999999999999997E-2</v>
      </c>
    </row>
    <row r="258" spans="5:26">
      <c r="E258">
        <f ca="1">HYPGEOMDIST(E$50,SampleCalc!$B$15,SampleCalc!$B$9*$Z258,SampleCalc!$B$9)</f>
        <v>1.0254680738188231E-2</v>
      </c>
      <c r="F258">
        <f ca="1">HYPGEOMDIST(F$50,SampleCalc!$B$15,SampleCalc!$B$9*$Z258,SampleCalc!$B$9)+E258</f>
        <v>6.4091754613676444E-2</v>
      </c>
      <c r="G258">
        <f ca="1">HYPGEOMDIST(G$50,SampleCalc!$B$15,SampleCalc!$B$9*$Z258,SampleCalc!$B$9)+F258</f>
        <v>0.19693648235838745</v>
      </c>
      <c r="H258">
        <f ca="1">HYPGEOMDIST(H$50,SampleCalc!$B$15,SampleCalc!$B$9*$Z258,SampleCalc!$B$9)+G258</f>
        <v>0.40182481029625827</v>
      </c>
      <c r="I258">
        <f ca="1">HYPGEOMDIST(I$50,SampleCalc!$B$15,SampleCalc!$B$9*$Z258,SampleCalc!$B$9)+H258</f>
        <v>0.62339009515930432</v>
      </c>
      <c r="J258">
        <f ca="1">HYPGEOMDIST(J$50,SampleCalc!$B$15,SampleCalc!$B$9*$Z258,SampleCalc!$B$9)+I258</f>
        <v>0.80201282996641987</v>
      </c>
      <c r="K258">
        <f ca="1">HYPGEOMDIST(K$50,SampleCalc!$B$15,SampleCalc!$B$9*$Z258,SampleCalc!$B$9)+J258</f>
        <v>0.91344157970042172</v>
      </c>
      <c r="L258">
        <f ca="1">HYPGEOMDIST(L$50,SampleCalc!$B$15,SampleCalc!$B$9*$Z258,SampleCalc!$B$9)+K258</f>
        <v>0.96854370868976325</v>
      </c>
      <c r="M258">
        <f ca="1">HYPGEOMDIST(M$50,SampleCalc!$B$15,SampleCalc!$B$9*$Z258,SampleCalc!$B$9)+L258</f>
        <v>0.9904929582807861</v>
      </c>
      <c r="N258">
        <f ca="1">HYPGEOMDIST(N$50,SampleCalc!$B$15,SampleCalc!$B$9*$Z258,SampleCalc!$B$9)+M258</f>
        <v>0.99761028864703616</v>
      </c>
      <c r="O258">
        <f ca="1">HYPGEOMDIST(O$50,SampleCalc!$B$15,SampleCalc!$B$9*$Z258,SampleCalc!$B$9)+N258</f>
        <v>0.99950099930921554</v>
      </c>
      <c r="P258">
        <f ca="1">HYPGEOMDIST(P$50,SampleCalc!$B$15,SampleCalc!$B$9*$Z258,SampleCalc!$B$9)+O258</f>
        <v>0.9999136924994374</v>
      </c>
      <c r="Q258">
        <f ca="1">HYPGEOMDIST(Q$50,SampleCalc!$B$15,SampleCalc!$B$9*$Z258,SampleCalc!$B$9)+P258</f>
        <v>0.99998769866224091</v>
      </c>
      <c r="R258">
        <f ca="1">HYPGEOMDIST(R$50,SampleCalc!$B$15,SampleCalc!$B$9*$Z258,SampleCalc!$B$9)+Q258</f>
        <v>0.99999856670013509</v>
      </c>
      <c r="S258">
        <f ca="1">HYPGEOMDIST(S$50,SampleCalc!$B$15,SampleCalc!$B$9*$Z258,SampleCalc!$B$9)+R258</f>
        <v>0.99999986507673855</v>
      </c>
      <c r="T258">
        <f ca="1">HYPGEOMDIST(T$50,SampleCalc!$B$15,SampleCalc!$B$9*$Z258,SampleCalc!$B$9)+S258</f>
        <v>0.99999998991227801</v>
      </c>
      <c r="U258">
        <f ca="1">HYPGEOMDIST(U$50,SampleCalc!$B$15,SampleCalc!$B$9*$Z258,SampleCalc!$B$9)+T258</f>
        <v>0.99999999941573547</v>
      </c>
      <c r="V258">
        <f ca="1">HYPGEOMDIST(V$50,SampleCalc!$B$15,SampleCalc!$B$9*$Z258,SampleCalc!$B$9)+U258</f>
        <v>0.99999999997476241</v>
      </c>
      <c r="W258">
        <f ca="1">HYPGEOMDIST(W$50,SampleCalc!$B$15,SampleCalc!$B$9*$Z258,SampleCalc!$B$9)+V258</f>
        <v>0.99999999999923628</v>
      </c>
      <c r="X258">
        <f ca="1">HYPGEOMDIST(X$50,SampleCalc!$B$15,SampleCalc!$B$9*$Z258,SampleCalc!$B$9)+W258</f>
        <v>0.99999999999998601</v>
      </c>
      <c r="Y258">
        <f ca="1">HYPGEOMDIST(Y$50,SampleCalc!$B$15,SampleCalc!$B$9*$Z258,SampleCalc!$B$9)+X258</f>
        <v>1.0000000000000004</v>
      </c>
      <c r="Z258">
        <v>4.2999999999999997E-2</v>
      </c>
    </row>
    <row r="259" spans="5:26">
      <c r="E259">
        <f ca="1">HYPGEOMDIST(E$50,SampleCalc!$B$15,SampleCalc!$B$9*$Z259,SampleCalc!$B$9)</f>
        <v>1.0254680738188231E-2</v>
      </c>
      <c r="F259">
        <f ca="1">HYPGEOMDIST(F$50,SampleCalc!$B$15,SampleCalc!$B$9*$Z259,SampleCalc!$B$9)+E259</f>
        <v>6.4091754613676444E-2</v>
      </c>
      <c r="G259">
        <f ca="1">HYPGEOMDIST(G$50,SampleCalc!$B$15,SampleCalc!$B$9*$Z259,SampleCalc!$B$9)+F259</f>
        <v>0.19693648235838745</v>
      </c>
      <c r="H259">
        <f ca="1">HYPGEOMDIST(H$50,SampleCalc!$B$15,SampleCalc!$B$9*$Z259,SampleCalc!$B$9)+G259</f>
        <v>0.40182481029625827</v>
      </c>
      <c r="I259">
        <f ca="1">HYPGEOMDIST(I$50,SampleCalc!$B$15,SampleCalc!$B$9*$Z259,SampleCalc!$B$9)+H259</f>
        <v>0.62339009515930432</v>
      </c>
      <c r="J259">
        <f ca="1">HYPGEOMDIST(J$50,SampleCalc!$B$15,SampleCalc!$B$9*$Z259,SampleCalc!$B$9)+I259</f>
        <v>0.80201282996641987</v>
      </c>
      <c r="K259">
        <f ca="1">HYPGEOMDIST(K$50,SampleCalc!$B$15,SampleCalc!$B$9*$Z259,SampleCalc!$B$9)+J259</f>
        <v>0.91344157970042172</v>
      </c>
      <c r="L259">
        <f ca="1">HYPGEOMDIST(L$50,SampleCalc!$B$15,SampleCalc!$B$9*$Z259,SampleCalc!$B$9)+K259</f>
        <v>0.96854370868976325</v>
      </c>
      <c r="M259">
        <f ca="1">HYPGEOMDIST(M$50,SampleCalc!$B$15,SampleCalc!$B$9*$Z259,SampleCalc!$B$9)+L259</f>
        <v>0.9904929582807861</v>
      </c>
      <c r="N259">
        <f ca="1">HYPGEOMDIST(N$50,SampleCalc!$B$15,SampleCalc!$B$9*$Z259,SampleCalc!$B$9)+M259</f>
        <v>0.99761028864703616</v>
      </c>
      <c r="O259">
        <f ca="1">HYPGEOMDIST(O$50,SampleCalc!$B$15,SampleCalc!$B$9*$Z259,SampleCalc!$B$9)+N259</f>
        <v>0.99950099930921554</v>
      </c>
      <c r="P259">
        <f ca="1">HYPGEOMDIST(P$50,SampleCalc!$B$15,SampleCalc!$B$9*$Z259,SampleCalc!$B$9)+O259</f>
        <v>0.9999136924994374</v>
      </c>
      <c r="Q259">
        <f ca="1">HYPGEOMDIST(Q$50,SampleCalc!$B$15,SampleCalc!$B$9*$Z259,SampleCalc!$B$9)+P259</f>
        <v>0.99998769866224091</v>
      </c>
      <c r="R259">
        <f ca="1">HYPGEOMDIST(R$50,SampleCalc!$B$15,SampleCalc!$B$9*$Z259,SampleCalc!$B$9)+Q259</f>
        <v>0.99999856670013509</v>
      </c>
      <c r="S259">
        <f ca="1">HYPGEOMDIST(S$50,SampleCalc!$B$15,SampleCalc!$B$9*$Z259,SampleCalc!$B$9)+R259</f>
        <v>0.99999986507673855</v>
      </c>
      <c r="T259">
        <f ca="1">HYPGEOMDIST(T$50,SampleCalc!$B$15,SampleCalc!$B$9*$Z259,SampleCalc!$B$9)+S259</f>
        <v>0.99999998991227801</v>
      </c>
      <c r="U259">
        <f ca="1">HYPGEOMDIST(U$50,SampleCalc!$B$15,SampleCalc!$B$9*$Z259,SampleCalc!$B$9)+T259</f>
        <v>0.99999999941573547</v>
      </c>
      <c r="V259">
        <f ca="1">HYPGEOMDIST(V$50,SampleCalc!$B$15,SampleCalc!$B$9*$Z259,SampleCalc!$B$9)+U259</f>
        <v>0.99999999997476241</v>
      </c>
      <c r="W259">
        <f ca="1">HYPGEOMDIST(W$50,SampleCalc!$B$15,SampleCalc!$B$9*$Z259,SampleCalc!$B$9)+V259</f>
        <v>0.99999999999923628</v>
      </c>
      <c r="X259">
        <f ca="1">HYPGEOMDIST(X$50,SampleCalc!$B$15,SampleCalc!$B$9*$Z259,SampleCalc!$B$9)+W259</f>
        <v>0.99999999999998601</v>
      </c>
      <c r="Y259">
        <f ca="1">HYPGEOMDIST(Y$50,SampleCalc!$B$15,SampleCalc!$B$9*$Z259,SampleCalc!$B$9)+X259</f>
        <v>1.0000000000000004</v>
      </c>
      <c r="Z259">
        <v>4.2000000000000003E-2</v>
      </c>
    </row>
    <row r="260" spans="5:26">
      <c r="E260">
        <f ca="1">HYPGEOMDIST(E$50,SampleCalc!$B$15,SampleCalc!$B$9*$Z260,SampleCalc!$B$9)</f>
        <v>1.2818350922735285E-2</v>
      </c>
      <c r="F260">
        <f ca="1">HYPGEOMDIST(F$50,SampleCalc!$B$15,SampleCalc!$B$9*$Z260,SampleCalc!$B$9)+E260</f>
        <v>7.6743633446505977E-2</v>
      </c>
      <c r="G260">
        <f ca="1">HYPGEOMDIST(G$50,SampleCalc!$B$15,SampleCalc!$B$9*$Z260,SampleCalc!$B$9)+F260</f>
        <v>0.22620624349236917</v>
      </c>
      <c r="H260">
        <f ca="1">HYPGEOMDIST(H$50,SampleCalc!$B$15,SampleCalc!$B$9*$Z260,SampleCalc!$B$9)+G260</f>
        <v>0.44402772169874311</v>
      </c>
      <c r="I260">
        <f ca="1">HYPGEOMDIST(I$50,SampleCalc!$B$15,SampleCalc!$B$9*$Z260,SampleCalc!$B$9)+H260</f>
        <v>0.66591931773242696</v>
      </c>
      <c r="J260">
        <f ca="1">HYPGEOMDIST(J$50,SampleCalc!$B$15,SampleCalc!$B$9*$Z260,SampleCalc!$B$9)+I260</f>
        <v>0.83384961560470594</v>
      </c>
      <c r="K260">
        <f ca="1">HYPGEOMDIST(K$50,SampleCalc!$B$15,SampleCalc!$B$9*$Z260,SampleCalc!$B$9)+J260</f>
        <v>0.93180895603020186</v>
      </c>
      <c r="L260">
        <f ca="1">HYPGEOMDIST(L$50,SampleCalc!$B$15,SampleCalc!$B$9*$Z260,SampleCalc!$B$9)+K260</f>
        <v>0.97690532758158111</v>
      </c>
      <c r="M260">
        <f ca="1">HYPGEOMDIST(M$50,SampleCalc!$B$15,SampleCalc!$B$9*$Z260,SampleCalc!$B$9)+L260</f>
        <v>0.99354324272346428</v>
      </c>
      <c r="N260">
        <f ca="1">HYPGEOMDIST(N$50,SampleCalc!$B$15,SampleCalc!$B$9*$Z260,SampleCalc!$B$9)+M260</f>
        <v>0.99851062705759741</v>
      </c>
      <c r="O260">
        <f ca="1">HYPGEOMDIST(O$50,SampleCalc!$B$15,SampleCalc!$B$9*$Z260,SampleCalc!$B$9)+N260</f>
        <v>0.99971717193266474</v>
      </c>
      <c r="P260">
        <f ca="1">HYPGEOMDIST(P$50,SampleCalc!$B$15,SampleCalc!$B$9*$Z260,SampleCalc!$B$9)+O260</f>
        <v>0.99995598173532474</v>
      </c>
      <c r="Q260">
        <f ca="1">HYPGEOMDIST(Q$50,SampleCalc!$B$15,SampleCalc!$B$9*$Z260,SampleCalc!$B$9)+P260</f>
        <v>0.99999442649522263</v>
      </c>
      <c r="R260">
        <f ca="1">HYPGEOMDIST(R$50,SampleCalc!$B$15,SampleCalc!$B$9*$Z260,SampleCalc!$B$9)+Q260</f>
        <v>0.99999943228453703</v>
      </c>
      <c r="S260">
        <f ca="1">HYPGEOMDIST(S$50,SampleCalc!$B$15,SampleCalc!$B$9*$Z260,SampleCalc!$B$9)+R260</f>
        <v>0.99999995424498056</v>
      </c>
      <c r="T260">
        <f ca="1">HYPGEOMDIST(T$50,SampleCalc!$B$15,SampleCalc!$B$9*$Z260,SampleCalc!$B$9)+S260</f>
        <v>0.99999999715300703</v>
      </c>
      <c r="U260">
        <f ca="1">HYPGEOMDIST(U$50,SampleCalc!$B$15,SampleCalc!$B$9*$Z260,SampleCalc!$B$9)+T260</f>
        <v>0.99999999986828059</v>
      </c>
      <c r="V260">
        <f ca="1">HYPGEOMDIST(V$50,SampleCalc!$B$15,SampleCalc!$B$9*$Z260,SampleCalc!$B$9)+U260</f>
        <v>0.99999999999573952</v>
      </c>
      <c r="W260">
        <f ca="1">HYPGEOMDIST(W$50,SampleCalc!$B$15,SampleCalc!$B$9*$Z260,SampleCalc!$B$9)+V260</f>
        <v>0.99999999999991418</v>
      </c>
      <c r="X260">
        <f ca="1">HYPGEOMDIST(X$50,SampleCalc!$B$15,SampleCalc!$B$9*$Z260,SampleCalc!$B$9)+W260</f>
        <v>0.99999999999999922</v>
      </c>
      <c r="Y260">
        <f ca="1">HYPGEOMDIST(Y$50,SampleCalc!$B$15,SampleCalc!$B$9*$Z260,SampleCalc!$B$9)+X260</f>
        <v>1</v>
      </c>
      <c r="Z260">
        <v>4.1000000000000002E-2</v>
      </c>
    </row>
    <row r="261" spans="5:26">
      <c r="E261">
        <f ca="1">HYPGEOMDIST(E$50,SampleCalc!$B$15,SampleCalc!$B$9*$Z261,SampleCalc!$B$9)</f>
        <v>1.2818350922735285E-2</v>
      </c>
      <c r="F261">
        <f ca="1">HYPGEOMDIST(F$50,SampleCalc!$B$15,SampleCalc!$B$9*$Z261,SampleCalc!$B$9)+E261</f>
        <v>7.6743633446505977E-2</v>
      </c>
      <c r="G261">
        <f ca="1">HYPGEOMDIST(G$50,SampleCalc!$B$15,SampleCalc!$B$9*$Z261,SampleCalc!$B$9)+F261</f>
        <v>0.22620624349236917</v>
      </c>
      <c r="H261">
        <f ca="1">HYPGEOMDIST(H$50,SampleCalc!$B$15,SampleCalc!$B$9*$Z261,SampleCalc!$B$9)+G261</f>
        <v>0.44402772169874311</v>
      </c>
      <c r="I261">
        <f ca="1">HYPGEOMDIST(I$50,SampleCalc!$B$15,SampleCalc!$B$9*$Z261,SampleCalc!$B$9)+H261</f>
        <v>0.66591931773242696</v>
      </c>
      <c r="J261">
        <f ca="1">HYPGEOMDIST(J$50,SampleCalc!$B$15,SampleCalc!$B$9*$Z261,SampleCalc!$B$9)+I261</f>
        <v>0.83384961560470594</v>
      </c>
      <c r="K261">
        <f ca="1">HYPGEOMDIST(K$50,SampleCalc!$B$15,SampleCalc!$B$9*$Z261,SampleCalc!$B$9)+J261</f>
        <v>0.93180895603020186</v>
      </c>
      <c r="L261">
        <f ca="1">HYPGEOMDIST(L$50,SampleCalc!$B$15,SampleCalc!$B$9*$Z261,SampleCalc!$B$9)+K261</f>
        <v>0.97690532758158111</v>
      </c>
      <c r="M261">
        <f ca="1">HYPGEOMDIST(M$50,SampleCalc!$B$15,SampleCalc!$B$9*$Z261,SampleCalc!$B$9)+L261</f>
        <v>0.99354324272346428</v>
      </c>
      <c r="N261">
        <f ca="1">HYPGEOMDIST(N$50,SampleCalc!$B$15,SampleCalc!$B$9*$Z261,SampleCalc!$B$9)+M261</f>
        <v>0.99851062705759741</v>
      </c>
      <c r="O261">
        <f ca="1">HYPGEOMDIST(O$50,SampleCalc!$B$15,SampleCalc!$B$9*$Z261,SampleCalc!$B$9)+N261</f>
        <v>0.99971717193266474</v>
      </c>
      <c r="P261">
        <f ca="1">HYPGEOMDIST(P$50,SampleCalc!$B$15,SampleCalc!$B$9*$Z261,SampleCalc!$B$9)+O261</f>
        <v>0.99995598173532474</v>
      </c>
      <c r="Q261">
        <f ca="1">HYPGEOMDIST(Q$50,SampleCalc!$B$15,SampleCalc!$B$9*$Z261,SampleCalc!$B$9)+P261</f>
        <v>0.99999442649522263</v>
      </c>
      <c r="R261">
        <f ca="1">HYPGEOMDIST(R$50,SampleCalc!$B$15,SampleCalc!$B$9*$Z261,SampleCalc!$B$9)+Q261</f>
        <v>0.99999943228453703</v>
      </c>
      <c r="S261">
        <f ca="1">HYPGEOMDIST(S$50,SampleCalc!$B$15,SampleCalc!$B$9*$Z261,SampleCalc!$B$9)+R261</f>
        <v>0.99999995424498056</v>
      </c>
      <c r="T261">
        <f ca="1">HYPGEOMDIST(T$50,SampleCalc!$B$15,SampleCalc!$B$9*$Z261,SampleCalc!$B$9)+S261</f>
        <v>0.99999999715300703</v>
      </c>
      <c r="U261">
        <f ca="1">HYPGEOMDIST(U$50,SampleCalc!$B$15,SampleCalc!$B$9*$Z261,SampleCalc!$B$9)+T261</f>
        <v>0.99999999986828059</v>
      </c>
      <c r="V261">
        <f ca="1">HYPGEOMDIST(V$50,SampleCalc!$B$15,SampleCalc!$B$9*$Z261,SampleCalc!$B$9)+U261</f>
        <v>0.99999999999573952</v>
      </c>
      <c r="W261">
        <f ca="1">HYPGEOMDIST(W$50,SampleCalc!$B$15,SampleCalc!$B$9*$Z261,SampleCalc!$B$9)+V261</f>
        <v>0.99999999999991418</v>
      </c>
      <c r="X261">
        <f ca="1">HYPGEOMDIST(X$50,SampleCalc!$B$15,SampleCalc!$B$9*$Z261,SampleCalc!$B$9)+W261</f>
        <v>0.99999999999999922</v>
      </c>
      <c r="Y261">
        <f ca="1">HYPGEOMDIST(Y$50,SampleCalc!$B$15,SampleCalc!$B$9*$Z261,SampleCalc!$B$9)+X261</f>
        <v>1</v>
      </c>
      <c r="Z261">
        <v>0.04</v>
      </c>
    </row>
    <row r="262" spans="5:26">
      <c r="E262">
        <f ca="1">HYPGEOMDIST(E$50,SampleCalc!$B$15,SampleCalc!$B$9*$Z262,SampleCalc!$B$9)</f>
        <v>1.6014615048923805E-2</v>
      </c>
      <c r="F262">
        <f ca="1">HYPGEOMDIST(F$50,SampleCalc!$B$15,SampleCalc!$B$9*$Z262,SampleCalc!$B$9)+E262</f>
        <v>9.1689894451092449E-2</v>
      </c>
      <c r="G262">
        <f ca="1">HYPGEOMDIST(G$50,SampleCalc!$B$15,SampleCalc!$B$9*$Z262,SampleCalc!$B$9)+F262</f>
        <v>0.25887946522332522</v>
      </c>
      <c r="H262">
        <f ca="1">HYPGEOMDIST(H$50,SampleCalc!$B$15,SampleCalc!$B$9*$Z262,SampleCalc!$B$9)+G262</f>
        <v>0.48840604090547995</v>
      </c>
      <c r="I262">
        <f ca="1">HYPGEOMDIST(I$50,SampleCalc!$B$15,SampleCalc!$B$9*$Z262,SampleCalc!$B$9)+H262</f>
        <v>0.70790189220049682</v>
      </c>
      <c r="J262">
        <f ca="1">HYPGEOMDIST(J$50,SampleCalc!$B$15,SampleCalc!$B$9*$Z262,SampleCalc!$B$9)+I262</f>
        <v>0.86323741773235474</v>
      </c>
      <c r="K262">
        <f ca="1">HYPGEOMDIST(K$50,SampleCalc!$B$15,SampleCalc!$B$9*$Z262,SampleCalc!$B$9)+J262</f>
        <v>0.9475926860731847</v>
      </c>
      <c r="L262">
        <f ca="1">HYPGEOMDIST(L$50,SampleCalc!$B$15,SampleCalc!$B$9*$Z262,SampleCalc!$B$9)+K262</f>
        <v>0.98356049363833453</v>
      </c>
      <c r="M262">
        <f ca="1">HYPGEOMDIST(M$50,SampleCalc!$B$15,SampleCalc!$B$9*$Z262,SampleCalc!$B$9)+L262</f>
        <v>0.99577856567382439</v>
      </c>
      <c r="N262">
        <f ca="1">HYPGEOMDIST(N$50,SampleCalc!$B$15,SampleCalc!$B$9*$Z262,SampleCalc!$B$9)+M262</f>
        <v>0.9991138994951313</v>
      </c>
      <c r="O262">
        <f ca="1">HYPGEOMDIST(O$50,SampleCalc!$B$15,SampleCalc!$B$9*$Z262,SampleCalc!$B$9)+N262</f>
        <v>0.99984851732412805</v>
      </c>
      <c r="P262">
        <f ca="1">HYPGEOMDIST(P$50,SampleCalc!$B$15,SampleCalc!$B$9*$Z262,SampleCalc!$B$9)+O262</f>
        <v>0.99997904859126385</v>
      </c>
      <c r="Q262">
        <f ca="1">HYPGEOMDIST(Q$50,SampleCalc!$B$15,SampleCalc!$B$9*$Z262,SampleCalc!$B$9)+P262</f>
        <v>0.9999976802582774</v>
      </c>
      <c r="R262">
        <f ca="1">HYPGEOMDIST(R$50,SampleCalc!$B$15,SampleCalc!$B$9*$Z262,SampleCalc!$B$9)+Q262</f>
        <v>0.99999979765684788</v>
      </c>
      <c r="S262">
        <f ca="1">HYPGEOMDIST(S$50,SampleCalc!$B$15,SampleCalc!$B$9*$Z262,SampleCalc!$B$9)+R262</f>
        <v>0.99999998642600074</v>
      </c>
      <c r="T262">
        <f ca="1">HYPGEOMDIST(T$50,SampleCalc!$B$15,SampleCalc!$B$9*$Z262,SampleCalc!$B$9)+S262</f>
        <v>0.99999999932522621</v>
      </c>
      <c r="U262">
        <f ca="1">HYPGEOMDIST(U$50,SampleCalc!$B$15,SampleCalc!$B$9*$Z262,SampleCalc!$B$9)+T262</f>
        <v>0.99999999997662103</v>
      </c>
      <c r="V262">
        <f ca="1">HYPGEOMDIST(V$50,SampleCalc!$B$15,SampleCalc!$B$9*$Z262,SampleCalc!$B$9)+U262</f>
        <v>0.99999999999949707</v>
      </c>
      <c r="W262">
        <f ca="1">HYPGEOMDIST(W$50,SampleCalc!$B$15,SampleCalc!$B$9*$Z262,SampleCalc!$B$9)+V262</f>
        <v>0.99999999999999534</v>
      </c>
      <c r="X262">
        <f ca="1">HYPGEOMDIST(X$50,SampleCalc!$B$15,SampleCalc!$B$9*$Z262,SampleCalc!$B$9)+W262</f>
        <v>1.0000000000000004</v>
      </c>
      <c r="Y262" t="e">
        <f ca="1">HYPGEOMDIST(Y$50,SampleCalc!$B$15,SampleCalc!$B$9*$Z262,SampleCalc!$B$9)+X262</f>
        <v>#NUM!</v>
      </c>
      <c r="Z262">
        <v>3.9E-2</v>
      </c>
    </row>
    <row r="263" spans="5:26">
      <c r="E263">
        <f ca="1">HYPGEOMDIST(E$50,SampleCalc!$B$15,SampleCalc!$B$9*$Z263,SampleCalc!$B$9)</f>
        <v>1.6014615048923805E-2</v>
      </c>
      <c r="F263">
        <f ca="1">HYPGEOMDIST(F$50,SampleCalc!$B$15,SampleCalc!$B$9*$Z263,SampleCalc!$B$9)+E263</f>
        <v>9.1689894451092449E-2</v>
      </c>
      <c r="G263">
        <f ca="1">HYPGEOMDIST(G$50,SampleCalc!$B$15,SampleCalc!$B$9*$Z263,SampleCalc!$B$9)+F263</f>
        <v>0.25887946522332522</v>
      </c>
      <c r="H263">
        <f ca="1">HYPGEOMDIST(H$50,SampleCalc!$B$15,SampleCalc!$B$9*$Z263,SampleCalc!$B$9)+G263</f>
        <v>0.48840604090547995</v>
      </c>
      <c r="I263">
        <f ca="1">HYPGEOMDIST(I$50,SampleCalc!$B$15,SampleCalc!$B$9*$Z263,SampleCalc!$B$9)+H263</f>
        <v>0.70790189220049682</v>
      </c>
      <c r="J263">
        <f ca="1">HYPGEOMDIST(J$50,SampleCalc!$B$15,SampleCalc!$B$9*$Z263,SampleCalc!$B$9)+I263</f>
        <v>0.86323741773235474</v>
      </c>
      <c r="K263">
        <f ca="1">HYPGEOMDIST(K$50,SampleCalc!$B$15,SampleCalc!$B$9*$Z263,SampleCalc!$B$9)+J263</f>
        <v>0.9475926860731847</v>
      </c>
      <c r="L263">
        <f ca="1">HYPGEOMDIST(L$50,SampleCalc!$B$15,SampleCalc!$B$9*$Z263,SampleCalc!$B$9)+K263</f>
        <v>0.98356049363833453</v>
      </c>
      <c r="M263">
        <f ca="1">HYPGEOMDIST(M$50,SampleCalc!$B$15,SampleCalc!$B$9*$Z263,SampleCalc!$B$9)+L263</f>
        <v>0.99577856567382439</v>
      </c>
      <c r="N263">
        <f ca="1">HYPGEOMDIST(N$50,SampleCalc!$B$15,SampleCalc!$B$9*$Z263,SampleCalc!$B$9)+M263</f>
        <v>0.9991138994951313</v>
      </c>
      <c r="O263">
        <f ca="1">HYPGEOMDIST(O$50,SampleCalc!$B$15,SampleCalc!$B$9*$Z263,SampleCalc!$B$9)+N263</f>
        <v>0.99984851732412805</v>
      </c>
      <c r="P263">
        <f ca="1">HYPGEOMDIST(P$50,SampleCalc!$B$15,SampleCalc!$B$9*$Z263,SampleCalc!$B$9)+O263</f>
        <v>0.99997904859126385</v>
      </c>
      <c r="Q263">
        <f ca="1">HYPGEOMDIST(Q$50,SampleCalc!$B$15,SampleCalc!$B$9*$Z263,SampleCalc!$B$9)+P263</f>
        <v>0.9999976802582774</v>
      </c>
      <c r="R263">
        <f ca="1">HYPGEOMDIST(R$50,SampleCalc!$B$15,SampleCalc!$B$9*$Z263,SampleCalc!$B$9)+Q263</f>
        <v>0.99999979765684788</v>
      </c>
      <c r="S263">
        <f ca="1">HYPGEOMDIST(S$50,SampleCalc!$B$15,SampleCalc!$B$9*$Z263,SampleCalc!$B$9)+R263</f>
        <v>0.99999998642600074</v>
      </c>
      <c r="T263">
        <f ca="1">HYPGEOMDIST(T$50,SampleCalc!$B$15,SampleCalc!$B$9*$Z263,SampleCalc!$B$9)+S263</f>
        <v>0.99999999932522621</v>
      </c>
      <c r="U263">
        <f ca="1">HYPGEOMDIST(U$50,SampleCalc!$B$15,SampleCalc!$B$9*$Z263,SampleCalc!$B$9)+T263</f>
        <v>0.99999999997662103</v>
      </c>
      <c r="V263">
        <f ca="1">HYPGEOMDIST(V$50,SampleCalc!$B$15,SampleCalc!$B$9*$Z263,SampleCalc!$B$9)+U263</f>
        <v>0.99999999999949707</v>
      </c>
      <c r="W263">
        <f ca="1">HYPGEOMDIST(W$50,SampleCalc!$B$15,SampleCalc!$B$9*$Z263,SampleCalc!$B$9)+V263</f>
        <v>0.99999999999999534</v>
      </c>
      <c r="X263">
        <f ca="1">HYPGEOMDIST(X$50,SampleCalc!$B$15,SampleCalc!$B$9*$Z263,SampleCalc!$B$9)+W263</f>
        <v>1.0000000000000004</v>
      </c>
      <c r="Y263" t="e">
        <f ca="1">HYPGEOMDIST(Y$50,SampleCalc!$B$15,SampleCalc!$B$9*$Z263,SampleCalc!$B$9)+X263</f>
        <v>#NUM!</v>
      </c>
      <c r="Z263">
        <v>3.7999999999999999E-2</v>
      </c>
    </row>
    <row r="264" spans="5:26">
      <c r="E264">
        <f ca="1">HYPGEOMDIST(E$50,SampleCalc!$B$15,SampleCalc!$B$9*$Z264,SampleCalc!$B$9)</f>
        <v>1.9997524491143247E-2</v>
      </c>
      <c r="F264">
        <f ca="1">HYPGEOMDIST(F$50,SampleCalc!$B$15,SampleCalc!$B$9*$Z264,SampleCalc!$B$9)+E264</f>
        <v>0.10928879663764318</v>
      </c>
      <c r="G264">
        <f ca="1">HYPGEOMDIST(G$50,SampleCalc!$B$15,SampleCalc!$B$9*$Z264,SampleCalc!$B$9)+F264</f>
        <v>0.2951205034889286</v>
      </c>
      <c r="H264">
        <f ca="1">HYPGEOMDIST(H$50,SampleCalc!$B$15,SampleCalc!$B$9*$Z264,SampleCalc!$B$9)+G264</f>
        <v>0.53461569380969398</v>
      </c>
      <c r="I264">
        <f ca="1">HYPGEOMDIST(I$50,SampleCalc!$B$15,SampleCalc!$B$9*$Z264,SampleCalc!$B$9)+H264</f>
        <v>0.74877966207730129</v>
      </c>
      <c r="J264">
        <f ca="1">HYPGEOMDIST(J$50,SampleCalc!$B$15,SampleCalc!$B$9*$Z264,SampleCalc!$B$9)+I264</f>
        <v>0.88987592352419576</v>
      </c>
      <c r="K264">
        <f ca="1">HYPGEOMDIST(K$50,SampleCalc!$B$15,SampleCalc!$B$9*$Z264,SampleCalc!$B$9)+J264</f>
        <v>0.96084398359718726</v>
      </c>
      <c r="L264">
        <f ca="1">HYPGEOMDIST(L$50,SampleCalc!$B$15,SampleCalc!$B$9*$Z264,SampleCalc!$B$9)+K264</f>
        <v>0.98870494502169859</v>
      </c>
      <c r="M264">
        <f ca="1">HYPGEOMDIST(M$50,SampleCalc!$B$15,SampleCalc!$B$9*$Z264,SampleCalc!$B$9)+L264</f>
        <v>0.99735846064181177</v>
      </c>
      <c r="N264">
        <f ca="1">HYPGEOMDIST(N$50,SampleCalc!$B$15,SampleCalc!$B$9*$Z264,SampleCalc!$B$9)+M264</f>
        <v>0.99950054045776104</v>
      </c>
      <c r="O264">
        <f ca="1">HYPGEOMDIST(O$50,SampleCalc!$B$15,SampleCalc!$B$9*$Z264,SampleCalc!$B$9)+N264</f>
        <v>0.99992408805773281</v>
      </c>
      <c r="P264">
        <f ca="1">HYPGEOMDIST(P$50,SampleCalc!$B$15,SampleCalc!$B$9*$Z264,SampleCalc!$B$9)+O264</f>
        <v>0.9999908159599038</v>
      </c>
      <c r="Q264">
        <f ca="1">HYPGEOMDIST(Q$50,SampleCalc!$B$15,SampleCalc!$B$9*$Z264,SampleCalc!$B$9)+P264</f>
        <v>0.99999912900466759</v>
      </c>
      <c r="R264">
        <f ca="1">HYPGEOMDIST(R$50,SampleCalc!$B$15,SampleCalc!$B$9*$Z264,SampleCalc!$B$9)+Q264</f>
        <v>0.99999993674990784</v>
      </c>
      <c r="S264">
        <f ca="1">HYPGEOMDIST(S$50,SampleCalc!$B$15,SampleCalc!$B$9*$Z264,SampleCalc!$B$9)+R264</f>
        <v>0.99999999660959971</v>
      </c>
      <c r="T264">
        <f ca="1">HYPGEOMDIST(T$50,SampleCalc!$B$15,SampleCalc!$B$9*$Z264,SampleCalc!$B$9)+S264</f>
        <v>0.99999999987376909</v>
      </c>
      <c r="U264">
        <f ca="1">HYPGEOMDIST(U$50,SampleCalc!$B$15,SampleCalc!$B$9*$Z264,SampleCalc!$B$9)+T264</f>
        <v>0.99999999999708888</v>
      </c>
      <c r="V264">
        <f ca="1">HYPGEOMDIST(V$50,SampleCalc!$B$15,SampleCalc!$B$9*$Z264,SampleCalc!$B$9)+U264</f>
        <v>0.99999999999996891</v>
      </c>
      <c r="W264">
        <f ca="1">HYPGEOMDIST(W$50,SampleCalc!$B$15,SampleCalc!$B$9*$Z264,SampleCalc!$B$9)+V264</f>
        <v>1.0000000000000002</v>
      </c>
      <c r="X264" t="e">
        <f ca="1">HYPGEOMDIST(X$50,SampleCalc!$B$15,SampleCalc!$B$9*$Z264,SampleCalc!$B$9)+W264</f>
        <v>#NUM!</v>
      </c>
      <c r="Y264" t="e">
        <f ca="1">HYPGEOMDIST(Y$50,SampleCalc!$B$15,SampleCalc!$B$9*$Z264,SampleCalc!$B$9)+X264</f>
        <v>#NUM!</v>
      </c>
      <c r="Z264">
        <v>3.6999999999999998E-2</v>
      </c>
    </row>
    <row r="265" spans="5:26">
      <c r="E265">
        <f ca="1">HYPGEOMDIST(E$50,SampleCalc!$B$15,SampleCalc!$B$9*$Z265,SampleCalc!$B$9)</f>
        <v>1.9997524491143247E-2</v>
      </c>
      <c r="F265">
        <f ca="1">HYPGEOMDIST(F$50,SampleCalc!$B$15,SampleCalc!$B$9*$Z265,SampleCalc!$B$9)+E265</f>
        <v>0.10928879663764318</v>
      </c>
      <c r="G265">
        <f ca="1">HYPGEOMDIST(G$50,SampleCalc!$B$15,SampleCalc!$B$9*$Z265,SampleCalc!$B$9)+F265</f>
        <v>0.2951205034889286</v>
      </c>
      <c r="H265">
        <f ca="1">HYPGEOMDIST(H$50,SampleCalc!$B$15,SampleCalc!$B$9*$Z265,SampleCalc!$B$9)+G265</f>
        <v>0.53461569380969398</v>
      </c>
      <c r="I265">
        <f ca="1">HYPGEOMDIST(I$50,SampleCalc!$B$15,SampleCalc!$B$9*$Z265,SampleCalc!$B$9)+H265</f>
        <v>0.74877966207730129</v>
      </c>
      <c r="J265">
        <f ca="1">HYPGEOMDIST(J$50,SampleCalc!$B$15,SampleCalc!$B$9*$Z265,SampleCalc!$B$9)+I265</f>
        <v>0.88987592352419576</v>
      </c>
      <c r="K265">
        <f ca="1">HYPGEOMDIST(K$50,SampleCalc!$B$15,SampleCalc!$B$9*$Z265,SampleCalc!$B$9)+J265</f>
        <v>0.96084398359718726</v>
      </c>
      <c r="L265">
        <f ca="1">HYPGEOMDIST(L$50,SampleCalc!$B$15,SampleCalc!$B$9*$Z265,SampleCalc!$B$9)+K265</f>
        <v>0.98870494502169859</v>
      </c>
      <c r="M265">
        <f ca="1">HYPGEOMDIST(M$50,SampleCalc!$B$15,SampleCalc!$B$9*$Z265,SampleCalc!$B$9)+L265</f>
        <v>0.99735846064181177</v>
      </c>
      <c r="N265">
        <f ca="1">HYPGEOMDIST(N$50,SampleCalc!$B$15,SampleCalc!$B$9*$Z265,SampleCalc!$B$9)+M265</f>
        <v>0.99950054045776104</v>
      </c>
      <c r="O265">
        <f ca="1">HYPGEOMDIST(O$50,SampleCalc!$B$15,SampleCalc!$B$9*$Z265,SampleCalc!$B$9)+N265</f>
        <v>0.99992408805773281</v>
      </c>
      <c r="P265">
        <f ca="1">HYPGEOMDIST(P$50,SampleCalc!$B$15,SampleCalc!$B$9*$Z265,SampleCalc!$B$9)+O265</f>
        <v>0.9999908159599038</v>
      </c>
      <c r="Q265">
        <f ca="1">HYPGEOMDIST(Q$50,SampleCalc!$B$15,SampleCalc!$B$9*$Z265,SampleCalc!$B$9)+P265</f>
        <v>0.99999912900466759</v>
      </c>
      <c r="R265">
        <f ca="1">HYPGEOMDIST(R$50,SampleCalc!$B$15,SampleCalc!$B$9*$Z265,SampleCalc!$B$9)+Q265</f>
        <v>0.99999993674990784</v>
      </c>
      <c r="S265">
        <f ca="1">HYPGEOMDIST(S$50,SampleCalc!$B$15,SampleCalc!$B$9*$Z265,SampleCalc!$B$9)+R265</f>
        <v>0.99999999660959971</v>
      </c>
      <c r="T265">
        <f ca="1">HYPGEOMDIST(T$50,SampleCalc!$B$15,SampleCalc!$B$9*$Z265,SampleCalc!$B$9)+S265</f>
        <v>0.99999999987376909</v>
      </c>
      <c r="U265">
        <f ca="1">HYPGEOMDIST(U$50,SampleCalc!$B$15,SampleCalc!$B$9*$Z265,SampleCalc!$B$9)+T265</f>
        <v>0.99999999999708888</v>
      </c>
      <c r="V265">
        <f ca="1">HYPGEOMDIST(V$50,SampleCalc!$B$15,SampleCalc!$B$9*$Z265,SampleCalc!$B$9)+U265</f>
        <v>0.99999999999996891</v>
      </c>
      <c r="W265">
        <f ca="1">HYPGEOMDIST(W$50,SampleCalc!$B$15,SampleCalc!$B$9*$Z265,SampleCalc!$B$9)+V265</f>
        <v>1.0000000000000002</v>
      </c>
      <c r="X265" t="e">
        <f ca="1">HYPGEOMDIST(X$50,SampleCalc!$B$15,SampleCalc!$B$9*$Z265,SampleCalc!$B$9)+W265</f>
        <v>#NUM!</v>
      </c>
      <c r="Y265" t="e">
        <f ca="1">HYPGEOMDIST(Y$50,SampleCalc!$B$15,SampleCalc!$B$9*$Z265,SampleCalc!$B$9)+X265</f>
        <v>#NUM!</v>
      </c>
      <c r="Z265">
        <v>3.5999999999999997E-2</v>
      </c>
    </row>
    <row r="266" spans="5:26">
      <c r="E266">
        <f ca="1">HYPGEOMDIST(E$50,SampleCalc!$B$15,SampleCalc!$B$9*$Z266,SampleCalc!$B$9)</f>
        <v>2.495815072150432E-2</v>
      </c>
      <c r="F266">
        <f ca="1">HYPGEOMDIST(F$50,SampleCalc!$B$15,SampleCalc!$B$9*$Z266,SampleCalc!$B$9)+E266</f>
        <v>0.12993676406556381</v>
      </c>
      <c r="G266">
        <f ca="1">HYPGEOMDIST(G$50,SampleCalc!$B$15,SampleCalc!$B$9*$Z266,SampleCalc!$B$9)+F266</f>
        <v>0.3350363685423895</v>
      </c>
      <c r="H266">
        <f ca="1">HYPGEOMDIST(H$50,SampleCalc!$B$15,SampleCalc!$B$9*$Z266,SampleCalc!$B$9)+G266</f>
        <v>0.58220768675805101</v>
      </c>
      <c r="I266">
        <f ca="1">HYPGEOMDIST(I$50,SampleCalc!$B$15,SampleCalc!$B$9*$Z266,SampleCalc!$B$9)+H266</f>
        <v>0.78797306803477196</v>
      </c>
      <c r="J266">
        <f ca="1">HYPGEOMDIST(J$50,SampleCalc!$B$15,SampleCalc!$B$9*$Z266,SampleCalc!$B$9)+I266</f>
        <v>0.91353194354852607</v>
      </c>
      <c r="K266">
        <f ca="1">HYPGEOMDIST(K$50,SampleCalc!$B$15,SampleCalc!$B$9*$Z266,SampleCalc!$B$9)+J266</f>
        <v>0.97167880192894152</v>
      </c>
      <c r="L266">
        <f ca="1">HYPGEOMDIST(L$50,SampleCalc!$B$15,SampleCalc!$B$9*$Z266,SampleCalc!$B$9)+K266</f>
        <v>0.99255095196397103</v>
      </c>
      <c r="M266">
        <f ca="1">HYPGEOMDIST(M$50,SampleCalc!$B$15,SampleCalc!$B$9*$Z266,SampleCalc!$B$9)+L266</f>
        <v>0.9984295005497863</v>
      </c>
      <c r="N266">
        <f ca="1">HYPGEOMDIST(N$50,SampleCalc!$B$15,SampleCalc!$B$9*$Z266,SampleCalc!$B$9)+M266</f>
        <v>0.99973584467996746</v>
      </c>
      <c r="O266">
        <f ca="1">HYPGEOMDIST(O$50,SampleCalc!$B$15,SampleCalc!$B$9*$Z266,SampleCalc!$B$9)+N266</f>
        <v>0.99996486622017056</v>
      </c>
      <c r="P266">
        <f ca="1">HYPGEOMDIST(P$50,SampleCalc!$B$15,SampleCalc!$B$9*$Z266,SampleCalc!$B$9)+O266</f>
        <v>0.99999635798974618</v>
      </c>
      <c r="Q266">
        <f ca="1">HYPGEOMDIST(Q$50,SampleCalc!$B$15,SampleCalc!$B$9*$Z266,SampleCalc!$B$9)+P266</f>
        <v>0.99999971237622975</v>
      </c>
      <c r="R266">
        <f ca="1">HYPGEOMDIST(R$50,SampleCalc!$B$15,SampleCalc!$B$9*$Z266,SampleCalc!$B$9)+Q266</f>
        <v>0.99999998330744577</v>
      </c>
      <c r="S266">
        <f ca="1">HYPGEOMDIST(S$50,SampleCalc!$B$15,SampleCalc!$B$9*$Z266,SampleCalc!$B$9)+R266</f>
        <v>0.99999999932974071</v>
      </c>
      <c r="T266">
        <f ca="1">HYPGEOMDIST(T$50,SampleCalc!$B$15,SampleCalc!$B$9*$Z266,SampleCalc!$B$9)+S266</f>
        <v>0.99999999998338662</v>
      </c>
      <c r="U266">
        <f ca="1">HYPGEOMDIST(U$50,SampleCalc!$B$15,SampleCalc!$B$9*$Z266,SampleCalc!$B$9)+T266</f>
        <v>0.99999999999980882</v>
      </c>
      <c r="V266">
        <f ca="1">HYPGEOMDIST(V$50,SampleCalc!$B$15,SampleCalc!$B$9*$Z266,SampleCalc!$B$9)+U266</f>
        <v>1</v>
      </c>
      <c r="W266" t="e">
        <f ca="1">HYPGEOMDIST(W$50,SampleCalc!$B$15,SampleCalc!$B$9*$Z266,SampleCalc!$B$9)+V266</f>
        <v>#NUM!</v>
      </c>
      <c r="X266" t="e">
        <f ca="1">HYPGEOMDIST(X$50,SampleCalc!$B$15,SampleCalc!$B$9*$Z266,SampleCalc!$B$9)+W266</f>
        <v>#NUM!</v>
      </c>
      <c r="Y266" t="e">
        <f ca="1">HYPGEOMDIST(Y$50,SampleCalc!$B$15,SampleCalc!$B$9*$Z266,SampleCalc!$B$9)+X266</f>
        <v>#NUM!</v>
      </c>
      <c r="Z266">
        <v>3.5000000000000003E-2</v>
      </c>
    </row>
    <row r="267" spans="5:26">
      <c r="E267">
        <f ca="1">HYPGEOMDIST(E$50,SampleCalc!$B$15,SampleCalc!$B$9*$Z267,SampleCalc!$B$9)</f>
        <v>2.495815072150432E-2</v>
      </c>
      <c r="F267">
        <f ca="1">HYPGEOMDIST(F$50,SampleCalc!$B$15,SampleCalc!$B$9*$Z267,SampleCalc!$B$9)+E267</f>
        <v>0.12993676406556381</v>
      </c>
      <c r="G267">
        <f ca="1">HYPGEOMDIST(G$50,SampleCalc!$B$15,SampleCalc!$B$9*$Z267,SampleCalc!$B$9)+F267</f>
        <v>0.3350363685423895</v>
      </c>
      <c r="H267">
        <f ca="1">HYPGEOMDIST(H$50,SampleCalc!$B$15,SampleCalc!$B$9*$Z267,SampleCalc!$B$9)+G267</f>
        <v>0.58220768675805101</v>
      </c>
      <c r="I267">
        <f ca="1">HYPGEOMDIST(I$50,SampleCalc!$B$15,SampleCalc!$B$9*$Z267,SampleCalc!$B$9)+H267</f>
        <v>0.78797306803477196</v>
      </c>
      <c r="J267">
        <f ca="1">HYPGEOMDIST(J$50,SampleCalc!$B$15,SampleCalc!$B$9*$Z267,SampleCalc!$B$9)+I267</f>
        <v>0.91353194354852607</v>
      </c>
      <c r="K267">
        <f ca="1">HYPGEOMDIST(K$50,SampleCalc!$B$15,SampleCalc!$B$9*$Z267,SampleCalc!$B$9)+J267</f>
        <v>0.97167880192894152</v>
      </c>
      <c r="L267">
        <f ca="1">HYPGEOMDIST(L$50,SampleCalc!$B$15,SampleCalc!$B$9*$Z267,SampleCalc!$B$9)+K267</f>
        <v>0.99255095196397103</v>
      </c>
      <c r="M267">
        <f ca="1">HYPGEOMDIST(M$50,SampleCalc!$B$15,SampleCalc!$B$9*$Z267,SampleCalc!$B$9)+L267</f>
        <v>0.9984295005497863</v>
      </c>
      <c r="N267">
        <f ca="1">HYPGEOMDIST(N$50,SampleCalc!$B$15,SampleCalc!$B$9*$Z267,SampleCalc!$B$9)+M267</f>
        <v>0.99973584467996746</v>
      </c>
      <c r="O267">
        <f ca="1">HYPGEOMDIST(O$50,SampleCalc!$B$15,SampleCalc!$B$9*$Z267,SampleCalc!$B$9)+N267</f>
        <v>0.99996486622017056</v>
      </c>
      <c r="P267">
        <f ca="1">HYPGEOMDIST(P$50,SampleCalc!$B$15,SampleCalc!$B$9*$Z267,SampleCalc!$B$9)+O267</f>
        <v>0.99999635798974618</v>
      </c>
      <c r="Q267">
        <f ca="1">HYPGEOMDIST(Q$50,SampleCalc!$B$15,SampleCalc!$B$9*$Z267,SampleCalc!$B$9)+P267</f>
        <v>0.99999971237622975</v>
      </c>
      <c r="R267">
        <f ca="1">HYPGEOMDIST(R$50,SampleCalc!$B$15,SampleCalc!$B$9*$Z267,SampleCalc!$B$9)+Q267</f>
        <v>0.99999998330744577</v>
      </c>
      <c r="S267">
        <f ca="1">HYPGEOMDIST(S$50,SampleCalc!$B$15,SampleCalc!$B$9*$Z267,SampleCalc!$B$9)+R267</f>
        <v>0.99999999932974071</v>
      </c>
      <c r="T267">
        <f ca="1">HYPGEOMDIST(T$50,SampleCalc!$B$15,SampleCalc!$B$9*$Z267,SampleCalc!$B$9)+S267</f>
        <v>0.99999999998338662</v>
      </c>
      <c r="U267">
        <f ca="1">HYPGEOMDIST(U$50,SampleCalc!$B$15,SampleCalc!$B$9*$Z267,SampleCalc!$B$9)+T267</f>
        <v>0.99999999999980882</v>
      </c>
      <c r="V267">
        <f ca="1">HYPGEOMDIST(V$50,SampleCalc!$B$15,SampleCalc!$B$9*$Z267,SampleCalc!$B$9)+U267</f>
        <v>1</v>
      </c>
      <c r="W267" t="e">
        <f ca="1">HYPGEOMDIST(W$50,SampleCalc!$B$15,SampleCalc!$B$9*$Z267,SampleCalc!$B$9)+V267</f>
        <v>#NUM!</v>
      </c>
      <c r="X267" t="e">
        <f ca="1">HYPGEOMDIST(X$50,SampleCalc!$B$15,SampleCalc!$B$9*$Z267,SampleCalc!$B$9)+W267</f>
        <v>#NUM!</v>
      </c>
      <c r="Y267" t="e">
        <f ca="1">HYPGEOMDIST(Y$50,SampleCalc!$B$15,SampleCalc!$B$9*$Z267,SampleCalc!$B$9)+X267</f>
        <v>#NUM!</v>
      </c>
      <c r="Z267">
        <v>3.4000000000000002E-2</v>
      </c>
    </row>
    <row r="268" spans="5:26">
      <c r="E268">
        <f ca="1">HYPGEOMDIST(E$50,SampleCalc!$B$15,SampleCalc!$B$9*$Z268,SampleCalc!$B$9)</f>
        <v>3.1133363271154898E-2</v>
      </c>
      <c r="F268">
        <f ca="1">HYPGEOMDIST(F$50,SampleCalc!$B$15,SampleCalc!$B$9*$Z268,SampleCalc!$B$9)+E268</f>
        <v>0.15406612929813152</v>
      </c>
      <c r="G268">
        <f ca="1">HYPGEOMDIST(G$50,SampleCalc!$B$15,SampleCalc!$B$9*$Z268,SampleCalc!$B$9)+F268</f>
        <v>0.37865483646280013</v>
      </c>
      <c r="H268">
        <f ca="1">HYPGEOMDIST(H$50,SampleCalc!$B$15,SampleCalc!$B$9*$Z268,SampleCalc!$B$9)+G268</f>
        <v>0.63062307058786771</v>
      </c>
      <c r="I268">
        <f ca="1">HYPGEOMDIST(I$50,SampleCalc!$B$15,SampleCalc!$B$9*$Z268,SampleCalc!$B$9)+H268</f>
        <v>0.82490214906822912</v>
      </c>
      <c r="J268">
        <f ca="1">HYPGEOMDIST(J$50,SampleCalc!$B$15,SampleCalc!$B$9*$Z268,SampleCalc!$B$9)+I268</f>
        <v>0.93405436415337861</v>
      </c>
      <c r="K268">
        <f ca="1">HYPGEOMDIST(K$50,SampleCalc!$B$15,SampleCalc!$B$9*$Z268,SampleCalc!$B$9)+J268</f>
        <v>0.98027321664924782</v>
      </c>
      <c r="L268">
        <f ca="1">HYPGEOMDIST(L$50,SampleCalc!$B$15,SampleCalc!$B$9*$Z268,SampleCalc!$B$9)+K268</f>
        <v>0.99531732776906057</v>
      </c>
      <c r="M268">
        <f ca="1">HYPGEOMDIST(M$50,SampleCalc!$B$15,SampleCalc!$B$9*$Z268,SampleCalc!$B$9)+L268</f>
        <v>0.99912109450105868</v>
      </c>
      <c r="N268">
        <f ca="1">HYPGEOMDIST(N$50,SampleCalc!$B$15,SampleCalc!$B$9*$Z268,SampleCalc!$B$9)+M268</f>
        <v>0.99987056323302803</v>
      </c>
      <c r="O268">
        <f ca="1">HYPGEOMDIST(O$50,SampleCalc!$B$15,SampleCalc!$B$9*$Z268,SampleCalc!$B$9)+N268</f>
        <v>0.9999852432475429</v>
      </c>
      <c r="P268">
        <f ca="1">HYPGEOMDIST(P$50,SampleCalc!$B$15,SampleCalc!$B$9*$Z268,SampleCalc!$B$9)+O268</f>
        <v>0.9999987257919698</v>
      </c>
      <c r="Q268">
        <f ca="1">HYPGEOMDIST(Q$50,SampleCalc!$B$15,SampleCalc!$B$9*$Z268,SampleCalc!$B$9)+P268</f>
        <v>0.99999991955892431</v>
      </c>
      <c r="R268">
        <f ca="1">HYPGEOMDIST(R$50,SampleCalc!$B$15,SampleCalc!$B$9*$Z268,SampleCalc!$B$9)+Q268</f>
        <v>0.99999999650227678</v>
      </c>
      <c r="S268">
        <f ca="1">HYPGEOMDIST(S$50,SampleCalc!$B$15,SampleCalc!$B$9*$Z268,SampleCalc!$B$9)+R268</f>
        <v>0.99999999990648691</v>
      </c>
      <c r="T268">
        <f ca="1">HYPGEOMDIST(T$50,SampleCalc!$B$15,SampleCalc!$B$9*$Z268,SampleCalc!$B$9)+S268</f>
        <v>0.9999999999988427</v>
      </c>
      <c r="U268">
        <f ca="1">HYPGEOMDIST(U$50,SampleCalc!$B$15,SampleCalc!$B$9*$Z268,SampleCalc!$B$9)+T268</f>
        <v>1</v>
      </c>
      <c r="V268" t="e">
        <f ca="1">HYPGEOMDIST(V$50,SampleCalc!$B$15,SampleCalc!$B$9*$Z268,SampleCalc!$B$9)+U268</f>
        <v>#NUM!</v>
      </c>
      <c r="W268" t="e">
        <f ca="1">HYPGEOMDIST(W$50,SampleCalc!$B$15,SampleCalc!$B$9*$Z268,SampleCalc!$B$9)+V268</f>
        <v>#NUM!</v>
      </c>
      <c r="X268" t="e">
        <f ca="1">HYPGEOMDIST(X$50,SampleCalc!$B$15,SampleCalc!$B$9*$Z268,SampleCalc!$B$9)+W268</f>
        <v>#NUM!</v>
      </c>
      <c r="Y268" t="e">
        <f ca="1">HYPGEOMDIST(Y$50,SampleCalc!$B$15,SampleCalc!$B$9*$Z268,SampleCalc!$B$9)+X268</f>
        <v>#NUM!</v>
      </c>
      <c r="Z268">
        <v>3.3000000000000002E-2</v>
      </c>
    </row>
    <row r="269" spans="5:26">
      <c r="E269">
        <f ca="1">HYPGEOMDIST(E$50,SampleCalc!$B$15,SampleCalc!$B$9*$Z269,SampleCalc!$B$9)</f>
        <v>3.1133363271154898E-2</v>
      </c>
      <c r="F269">
        <f ca="1">HYPGEOMDIST(F$50,SampleCalc!$B$15,SampleCalc!$B$9*$Z269,SampleCalc!$B$9)+E269</f>
        <v>0.15406612929813152</v>
      </c>
      <c r="G269">
        <f ca="1">HYPGEOMDIST(G$50,SampleCalc!$B$15,SampleCalc!$B$9*$Z269,SampleCalc!$B$9)+F269</f>
        <v>0.37865483646280013</v>
      </c>
      <c r="H269">
        <f ca="1">HYPGEOMDIST(H$50,SampleCalc!$B$15,SampleCalc!$B$9*$Z269,SampleCalc!$B$9)+G269</f>
        <v>0.63062307058786771</v>
      </c>
      <c r="I269">
        <f ca="1">HYPGEOMDIST(I$50,SampleCalc!$B$15,SampleCalc!$B$9*$Z269,SampleCalc!$B$9)+H269</f>
        <v>0.82490214906822912</v>
      </c>
      <c r="J269">
        <f ca="1">HYPGEOMDIST(J$50,SampleCalc!$B$15,SampleCalc!$B$9*$Z269,SampleCalc!$B$9)+I269</f>
        <v>0.93405436415337861</v>
      </c>
      <c r="K269">
        <f ca="1">HYPGEOMDIST(K$50,SampleCalc!$B$15,SampleCalc!$B$9*$Z269,SampleCalc!$B$9)+J269</f>
        <v>0.98027321664924782</v>
      </c>
      <c r="L269">
        <f ca="1">HYPGEOMDIST(L$50,SampleCalc!$B$15,SampleCalc!$B$9*$Z269,SampleCalc!$B$9)+K269</f>
        <v>0.99531732776906057</v>
      </c>
      <c r="M269">
        <f ca="1">HYPGEOMDIST(M$50,SampleCalc!$B$15,SampleCalc!$B$9*$Z269,SampleCalc!$B$9)+L269</f>
        <v>0.99912109450105868</v>
      </c>
      <c r="N269">
        <f ca="1">HYPGEOMDIST(N$50,SampleCalc!$B$15,SampleCalc!$B$9*$Z269,SampleCalc!$B$9)+M269</f>
        <v>0.99987056323302803</v>
      </c>
      <c r="O269">
        <f ca="1">HYPGEOMDIST(O$50,SampleCalc!$B$15,SampleCalc!$B$9*$Z269,SampleCalc!$B$9)+N269</f>
        <v>0.9999852432475429</v>
      </c>
      <c r="P269">
        <f ca="1">HYPGEOMDIST(P$50,SampleCalc!$B$15,SampleCalc!$B$9*$Z269,SampleCalc!$B$9)+O269</f>
        <v>0.9999987257919698</v>
      </c>
      <c r="Q269">
        <f ca="1">HYPGEOMDIST(Q$50,SampleCalc!$B$15,SampleCalc!$B$9*$Z269,SampleCalc!$B$9)+P269</f>
        <v>0.99999991955892431</v>
      </c>
      <c r="R269">
        <f ca="1">HYPGEOMDIST(R$50,SampleCalc!$B$15,SampleCalc!$B$9*$Z269,SampleCalc!$B$9)+Q269</f>
        <v>0.99999999650227678</v>
      </c>
      <c r="S269">
        <f ca="1">HYPGEOMDIST(S$50,SampleCalc!$B$15,SampleCalc!$B$9*$Z269,SampleCalc!$B$9)+R269</f>
        <v>0.99999999990648691</v>
      </c>
      <c r="T269">
        <f ca="1">HYPGEOMDIST(T$50,SampleCalc!$B$15,SampleCalc!$B$9*$Z269,SampleCalc!$B$9)+S269</f>
        <v>0.9999999999988427</v>
      </c>
      <c r="U269">
        <f ca="1">HYPGEOMDIST(U$50,SampleCalc!$B$15,SampleCalc!$B$9*$Z269,SampleCalc!$B$9)+T269</f>
        <v>1</v>
      </c>
      <c r="V269" t="e">
        <f ca="1">HYPGEOMDIST(V$50,SampleCalc!$B$15,SampleCalc!$B$9*$Z269,SampleCalc!$B$9)+U269</f>
        <v>#NUM!</v>
      </c>
      <c r="W269" t="e">
        <f ca="1">HYPGEOMDIST(W$50,SampleCalc!$B$15,SampleCalc!$B$9*$Z269,SampleCalc!$B$9)+V269</f>
        <v>#NUM!</v>
      </c>
      <c r="X269" t="e">
        <f ca="1">HYPGEOMDIST(X$50,SampleCalc!$B$15,SampleCalc!$B$9*$Z269,SampleCalc!$B$9)+W269</f>
        <v>#NUM!</v>
      </c>
      <c r="Y269" t="e">
        <f ca="1">HYPGEOMDIST(Y$50,SampleCalc!$B$15,SampleCalc!$B$9*$Z269,SampleCalc!$B$9)+X269</f>
        <v>#NUM!</v>
      </c>
      <c r="Z269">
        <v>3.2000000000000001E-2</v>
      </c>
    </row>
    <row r="270" spans="5:26">
      <c r="E270">
        <f ca="1">HYPGEOMDIST(E$50,SampleCalc!$B$15,SampleCalc!$B$9*$Z270,SampleCalc!$B$9)</f>
        <v>3.8816661147840929E-2</v>
      </c>
      <c r="F270">
        <f ca="1">HYPGEOMDIST(F$50,SampleCalc!$B$15,SampleCalc!$B$9*$Z270,SampleCalc!$B$9)+E270</f>
        <v>0.18213971769371498</v>
      </c>
      <c r="G270">
        <f ca="1">HYPGEOMDIST(G$50,SampleCalc!$B$15,SampleCalc!$B$9*$Z270,SampleCalc!$B$9)+F270</f>
        <v>0.42589888036125034</v>
      </c>
      <c r="H270">
        <f ca="1">HYPGEOMDIST(H$50,SampleCalc!$B$15,SampleCalc!$B$9*$Z270,SampleCalc!$B$9)+G270</f>
        <v>0.679192840207958</v>
      </c>
      <c r="I270">
        <f ca="1">HYPGEOMDIST(I$50,SampleCalc!$B$15,SampleCalc!$B$9*$Z270,SampleCalc!$B$9)+H270</f>
        <v>0.85901221628233815</v>
      </c>
      <c r="J270">
        <f ca="1">HYPGEOMDIST(J$50,SampleCalc!$B$15,SampleCalc!$B$9*$Z270,SampleCalc!$B$9)+I270</f>
        <v>0.95138643383932942</v>
      </c>
      <c r="K270">
        <f ca="1">HYPGEOMDIST(K$50,SampleCalc!$B$15,SampleCalc!$B$9*$Z270,SampleCalc!$B$9)+J270</f>
        <v>0.98685501526416575</v>
      </c>
      <c r="L270">
        <f ca="1">HYPGEOMDIST(L$50,SampleCalc!$B$15,SampleCalc!$B$9*$Z270,SampleCalc!$B$9)+K270</f>
        <v>0.99721921113505951</v>
      </c>
      <c r="M270">
        <f ca="1">HYPGEOMDIST(M$50,SampleCalc!$B$15,SampleCalc!$B$9*$Z270,SampleCalc!$B$9)+L270</f>
        <v>0.99954267066279134</v>
      </c>
      <c r="N270">
        <f ca="1">HYPGEOMDIST(N$50,SampleCalc!$B$15,SampleCalc!$B$9*$Z270,SampleCalc!$B$9)+M270</f>
        <v>0.99994223824209982</v>
      </c>
      <c r="O270">
        <f ca="1">HYPGEOMDIST(O$50,SampleCalc!$B$15,SampleCalc!$B$9*$Z270,SampleCalc!$B$9)+N270</f>
        <v>0.99999451249683646</v>
      </c>
      <c r="P270">
        <f ca="1">HYPGEOMDIST(P$50,SampleCalc!$B$15,SampleCalc!$B$9*$Z270,SampleCalc!$B$9)+O270</f>
        <v>0.99999962111718577</v>
      </c>
      <c r="Q270">
        <f ca="1">HYPGEOMDIST(Q$50,SampleCalc!$B$15,SampleCalc!$B$9*$Z270,SampleCalc!$B$9)+P270</f>
        <v>0.99999998207539831</v>
      </c>
      <c r="R270">
        <f ca="1">HYPGEOMDIST(R$50,SampleCalc!$B$15,SampleCalc!$B$9*$Z270,SampleCalc!$B$9)+Q270</f>
        <v>0.99999999948096074</v>
      </c>
      <c r="S270">
        <f ca="1">HYPGEOMDIST(S$50,SampleCalc!$B$15,SampleCalc!$B$9*$Z270,SampleCalc!$B$9)+R270</f>
        <v>0.99999999999307054</v>
      </c>
      <c r="T270">
        <f ca="1">HYPGEOMDIST(T$50,SampleCalc!$B$15,SampleCalc!$B$9*$Z270,SampleCalc!$B$9)+S270</f>
        <v>1</v>
      </c>
      <c r="U270" t="e">
        <f ca="1">HYPGEOMDIST(U$50,SampleCalc!$B$15,SampleCalc!$B$9*$Z270,SampleCalc!$B$9)+T270</f>
        <v>#NUM!</v>
      </c>
      <c r="V270" t="e">
        <f ca="1">HYPGEOMDIST(V$50,SampleCalc!$B$15,SampleCalc!$B$9*$Z270,SampleCalc!$B$9)+U270</f>
        <v>#NUM!</v>
      </c>
      <c r="W270" t="e">
        <f ca="1">HYPGEOMDIST(W$50,SampleCalc!$B$15,SampleCalc!$B$9*$Z270,SampleCalc!$B$9)+V270</f>
        <v>#NUM!</v>
      </c>
      <c r="X270" t="e">
        <f ca="1">HYPGEOMDIST(X$50,SampleCalc!$B$15,SampleCalc!$B$9*$Z270,SampleCalc!$B$9)+W270</f>
        <v>#NUM!</v>
      </c>
      <c r="Y270" t="e">
        <f ca="1">HYPGEOMDIST(Y$50,SampleCalc!$B$15,SampleCalc!$B$9*$Z270,SampleCalc!$B$9)+X270</f>
        <v>#NUM!</v>
      </c>
      <c r="Z270">
        <v>3.1E-2</v>
      </c>
    </row>
    <row r="271" spans="5:26">
      <c r="E271">
        <f ca="1">HYPGEOMDIST(E$50,SampleCalc!$B$15,SampleCalc!$B$9*$Z271,SampleCalc!$B$9)</f>
        <v>3.8816661147840929E-2</v>
      </c>
      <c r="F271">
        <f ca="1">HYPGEOMDIST(F$50,SampleCalc!$B$15,SampleCalc!$B$9*$Z271,SampleCalc!$B$9)+E271</f>
        <v>0.18213971769371498</v>
      </c>
      <c r="G271">
        <f ca="1">HYPGEOMDIST(G$50,SampleCalc!$B$15,SampleCalc!$B$9*$Z271,SampleCalc!$B$9)+F271</f>
        <v>0.42589888036125034</v>
      </c>
      <c r="H271">
        <f ca="1">HYPGEOMDIST(H$50,SampleCalc!$B$15,SampleCalc!$B$9*$Z271,SampleCalc!$B$9)+G271</f>
        <v>0.679192840207958</v>
      </c>
      <c r="I271">
        <f ca="1">HYPGEOMDIST(I$50,SampleCalc!$B$15,SampleCalc!$B$9*$Z271,SampleCalc!$B$9)+H271</f>
        <v>0.85901221628233815</v>
      </c>
      <c r="J271">
        <f ca="1">HYPGEOMDIST(J$50,SampleCalc!$B$15,SampleCalc!$B$9*$Z271,SampleCalc!$B$9)+I271</f>
        <v>0.95138643383932942</v>
      </c>
      <c r="K271">
        <f ca="1">HYPGEOMDIST(K$50,SampleCalc!$B$15,SampleCalc!$B$9*$Z271,SampleCalc!$B$9)+J271</f>
        <v>0.98685501526416575</v>
      </c>
      <c r="L271">
        <f ca="1">HYPGEOMDIST(L$50,SampleCalc!$B$15,SampleCalc!$B$9*$Z271,SampleCalc!$B$9)+K271</f>
        <v>0.99721921113505951</v>
      </c>
      <c r="M271">
        <f ca="1">HYPGEOMDIST(M$50,SampleCalc!$B$15,SampleCalc!$B$9*$Z271,SampleCalc!$B$9)+L271</f>
        <v>0.99954267066279134</v>
      </c>
      <c r="N271">
        <f ca="1">HYPGEOMDIST(N$50,SampleCalc!$B$15,SampleCalc!$B$9*$Z271,SampleCalc!$B$9)+M271</f>
        <v>0.99994223824209982</v>
      </c>
      <c r="O271">
        <f ca="1">HYPGEOMDIST(O$50,SampleCalc!$B$15,SampleCalc!$B$9*$Z271,SampleCalc!$B$9)+N271</f>
        <v>0.99999451249683646</v>
      </c>
      <c r="P271">
        <f ca="1">HYPGEOMDIST(P$50,SampleCalc!$B$15,SampleCalc!$B$9*$Z271,SampleCalc!$B$9)+O271</f>
        <v>0.99999962111718577</v>
      </c>
      <c r="Q271">
        <f ca="1">HYPGEOMDIST(Q$50,SampleCalc!$B$15,SampleCalc!$B$9*$Z271,SampleCalc!$B$9)+P271</f>
        <v>0.99999998207539831</v>
      </c>
      <c r="R271">
        <f ca="1">HYPGEOMDIST(R$50,SampleCalc!$B$15,SampleCalc!$B$9*$Z271,SampleCalc!$B$9)+Q271</f>
        <v>0.99999999948096074</v>
      </c>
      <c r="S271">
        <f ca="1">HYPGEOMDIST(S$50,SampleCalc!$B$15,SampleCalc!$B$9*$Z271,SampleCalc!$B$9)+R271</f>
        <v>0.99999999999307054</v>
      </c>
      <c r="T271">
        <f ca="1">HYPGEOMDIST(T$50,SampleCalc!$B$15,SampleCalc!$B$9*$Z271,SampleCalc!$B$9)+S271</f>
        <v>1</v>
      </c>
      <c r="U271" t="e">
        <f ca="1">HYPGEOMDIST(U$50,SampleCalc!$B$15,SampleCalc!$B$9*$Z271,SampleCalc!$B$9)+T271</f>
        <v>#NUM!</v>
      </c>
      <c r="V271" t="e">
        <f ca="1">HYPGEOMDIST(V$50,SampleCalc!$B$15,SampleCalc!$B$9*$Z271,SampleCalc!$B$9)+U271</f>
        <v>#NUM!</v>
      </c>
      <c r="W271" t="e">
        <f ca="1">HYPGEOMDIST(W$50,SampleCalc!$B$15,SampleCalc!$B$9*$Z271,SampleCalc!$B$9)+V271</f>
        <v>#NUM!</v>
      </c>
      <c r="X271" t="e">
        <f ca="1">HYPGEOMDIST(X$50,SampleCalc!$B$15,SampleCalc!$B$9*$Z271,SampleCalc!$B$9)+W271</f>
        <v>#NUM!</v>
      </c>
      <c r="Y271" t="e">
        <f ca="1">HYPGEOMDIST(Y$50,SampleCalc!$B$15,SampleCalc!$B$9*$Z271,SampleCalc!$B$9)+X271</f>
        <v>#NUM!</v>
      </c>
      <c r="Z271">
        <v>0.03</v>
      </c>
    </row>
    <row r="272" spans="5:26">
      <c r="E272">
        <f ca="1">HYPGEOMDIST(E$50,SampleCalc!$B$15,SampleCalc!$B$9*$Z272,SampleCalc!$B$9)</f>
        <v>4.8371531584232491E-2</v>
      </c>
      <c r="F272">
        <f ca="1">HYPGEOMDIST(F$50,SampleCalc!$B$15,SampleCalc!$B$9*$Z272,SampleCalc!$B$9)+E272</f>
        <v>0.2146409393827198</v>
      </c>
      <c r="G272">
        <f ca="1">HYPGEOMDIST(G$50,SampleCalc!$B$15,SampleCalc!$B$9*$Z272,SampleCalc!$B$9)+F272</f>
        <v>0.47655767233059199</v>
      </c>
      <c r="H272">
        <f ca="1">HYPGEOMDIST(H$50,SampleCalc!$B$15,SampleCalc!$B$9*$Z272,SampleCalc!$B$9)+G272</f>
        <v>0.72714467382779269</v>
      </c>
      <c r="I272">
        <f ca="1">HYPGEOMDIST(I$50,SampleCalc!$B$15,SampleCalc!$B$9*$Z272,SampleCalc!$B$9)+H272</f>
        <v>0.88980362213466857</v>
      </c>
      <c r="J272">
        <f ca="1">HYPGEOMDIST(J$50,SampleCalc!$B$15,SampleCalc!$B$9*$Z272,SampleCalc!$B$9)+I272</f>
        <v>0.96557386640926401</v>
      </c>
      <c r="K272">
        <f ca="1">HYPGEOMDIST(K$50,SampleCalc!$B$15,SampleCalc!$B$9*$Z272,SampleCalc!$B$9)+J272</f>
        <v>0.99169164000391619</v>
      </c>
      <c r="L272">
        <f ca="1">HYPGEOMDIST(L$50,SampleCalc!$B$15,SampleCalc!$B$9*$Z272,SampleCalc!$B$9)+K272</f>
        <v>0.99845838954984978</v>
      </c>
      <c r="M272">
        <f ca="1">HYPGEOMDIST(M$50,SampleCalc!$B$15,SampleCalc!$B$9*$Z272,SampleCalc!$B$9)+L272</f>
        <v>0.99978241121037636</v>
      </c>
      <c r="N272">
        <f ca="1">HYPGEOMDIST(N$50,SampleCalc!$B$15,SampleCalc!$B$9*$Z272,SampleCalc!$B$9)+M272</f>
        <v>0.99997708774525751</v>
      </c>
      <c r="O272">
        <f ca="1">HYPGEOMDIST(O$50,SampleCalc!$B$15,SampleCalc!$B$9*$Z272,SampleCalc!$B$9)+N272</f>
        <v>0.99999825881842586</v>
      </c>
      <c r="P272">
        <f ca="1">HYPGEOMDIST(P$50,SampleCalc!$B$15,SampleCalc!$B$9*$Z272,SampleCalc!$B$9)+O272</f>
        <v>0.99999990988375564</v>
      </c>
      <c r="Q272">
        <f ca="1">HYPGEOMDIST(Q$50,SampleCalc!$B$15,SampleCalc!$B$9*$Z272,SampleCalc!$B$9)+P272</f>
        <v>0.99999999716021892</v>
      </c>
      <c r="R272">
        <f ca="1">HYPGEOMDIST(R$50,SampleCalc!$B$15,SampleCalc!$B$9*$Z272,SampleCalc!$B$9)+Q272</f>
        <v>0.99999999995892974</v>
      </c>
      <c r="S272">
        <f ca="1">HYPGEOMDIST(S$50,SampleCalc!$B$15,SampleCalc!$B$9*$Z272,SampleCalc!$B$9)+R272</f>
        <v>0.99999999999999989</v>
      </c>
      <c r="T272" t="e">
        <f ca="1">HYPGEOMDIST(T$50,SampleCalc!$B$15,SampleCalc!$B$9*$Z272,SampleCalc!$B$9)+S272</f>
        <v>#NUM!</v>
      </c>
      <c r="U272" t="e">
        <f ca="1">HYPGEOMDIST(U$50,SampleCalc!$B$15,SampleCalc!$B$9*$Z272,SampleCalc!$B$9)+T272</f>
        <v>#NUM!</v>
      </c>
      <c r="V272" t="e">
        <f ca="1">HYPGEOMDIST(V$50,SampleCalc!$B$15,SampleCalc!$B$9*$Z272,SampleCalc!$B$9)+U272</f>
        <v>#NUM!</v>
      </c>
      <c r="W272" t="e">
        <f ca="1">HYPGEOMDIST(W$50,SampleCalc!$B$15,SampleCalc!$B$9*$Z272,SampleCalc!$B$9)+V272</f>
        <v>#NUM!</v>
      </c>
      <c r="X272" t="e">
        <f ca="1">HYPGEOMDIST(X$50,SampleCalc!$B$15,SampleCalc!$B$9*$Z272,SampleCalc!$B$9)+W272</f>
        <v>#NUM!</v>
      </c>
      <c r="Y272" t="e">
        <f ca="1">HYPGEOMDIST(Y$50,SampleCalc!$B$15,SampleCalc!$B$9*$Z272,SampleCalc!$B$9)+X272</f>
        <v>#NUM!</v>
      </c>
      <c r="Z272">
        <v>2.9000000000000001E-2</v>
      </c>
    </row>
    <row r="273" spans="5:26">
      <c r="E273">
        <f ca="1">HYPGEOMDIST(E$50,SampleCalc!$B$15,SampleCalc!$B$9*$Z273,SampleCalc!$B$9)</f>
        <v>4.8371531584232491E-2</v>
      </c>
      <c r="F273">
        <f ca="1">HYPGEOMDIST(F$50,SampleCalc!$B$15,SampleCalc!$B$9*$Z273,SampleCalc!$B$9)+E273</f>
        <v>0.2146409393827198</v>
      </c>
      <c r="G273">
        <f ca="1">HYPGEOMDIST(G$50,SampleCalc!$B$15,SampleCalc!$B$9*$Z273,SampleCalc!$B$9)+F273</f>
        <v>0.47655767233059199</v>
      </c>
      <c r="H273">
        <f ca="1">HYPGEOMDIST(H$50,SampleCalc!$B$15,SampleCalc!$B$9*$Z273,SampleCalc!$B$9)+G273</f>
        <v>0.72714467382779269</v>
      </c>
      <c r="I273">
        <f ca="1">HYPGEOMDIST(I$50,SampleCalc!$B$15,SampleCalc!$B$9*$Z273,SampleCalc!$B$9)+H273</f>
        <v>0.88980362213466857</v>
      </c>
      <c r="J273">
        <f ca="1">HYPGEOMDIST(J$50,SampleCalc!$B$15,SampleCalc!$B$9*$Z273,SampleCalc!$B$9)+I273</f>
        <v>0.96557386640926401</v>
      </c>
      <c r="K273">
        <f ca="1">HYPGEOMDIST(K$50,SampleCalc!$B$15,SampleCalc!$B$9*$Z273,SampleCalc!$B$9)+J273</f>
        <v>0.99169164000391619</v>
      </c>
      <c r="L273">
        <f ca="1">HYPGEOMDIST(L$50,SampleCalc!$B$15,SampleCalc!$B$9*$Z273,SampleCalc!$B$9)+K273</f>
        <v>0.99845838954984978</v>
      </c>
      <c r="M273">
        <f ca="1">HYPGEOMDIST(M$50,SampleCalc!$B$15,SampleCalc!$B$9*$Z273,SampleCalc!$B$9)+L273</f>
        <v>0.99978241121037636</v>
      </c>
      <c r="N273">
        <f ca="1">HYPGEOMDIST(N$50,SampleCalc!$B$15,SampleCalc!$B$9*$Z273,SampleCalc!$B$9)+M273</f>
        <v>0.99997708774525751</v>
      </c>
      <c r="O273">
        <f ca="1">HYPGEOMDIST(O$50,SampleCalc!$B$15,SampleCalc!$B$9*$Z273,SampleCalc!$B$9)+N273</f>
        <v>0.99999825881842586</v>
      </c>
      <c r="P273">
        <f ca="1">HYPGEOMDIST(P$50,SampleCalc!$B$15,SampleCalc!$B$9*$Z273,SampleCalc!$B$9)+O273</f>
        <v>0.99999990988375564</v>
      </c>
      <c r="Q273">
        <f ca="1">HYPGEOMDIST(Q$50,SampleCalc!$B$15,SampleCalc!$B$9*$Z273,SampleCalc!$B$9)+P273</f>
        <v>0.99999999716021892</v>
      </c>
      <c r="R273">
        <f ca="1">HYPGEOMDIST(R$50,SampleCalc!$B$15,SampleCalc!$B$9*$Z273,SampleCalc!$B$9)+Q273</f>
        <v>0.99999999995892974</v>
      </c>
      <c r="S273">
        <f ca="1">HYPGEOMDIST(S$50,SampleCalc!$B$15,SampleCalc!$B$9*$Z273,SampleCalc!$B$9)+R273</f>
        <v>0.99999999999999989</v>
      </c>
      <c r="T273" t="e">
        <f ca="1">HYPGEOMDIST(T$50,SampleCalc!$B$15,SampleCalc!$B$9*$Z273,SampleCalc!$B$9)+S273</f>
        <v>#NUM!</v>
      </c>
      <c r="U273" t="e">
        <f ca="1">HYPGEOMDIST(U$50,SampleCalc!$B$15,SampleCalc!$B$9*$Z273,SampleCalc!$B$9)+T273</f>
        <v>#NUM!</v>
      </c>
      <c r="V273" t="e">
        <f ca="1">HYPGEOMDIST(V$50,SampleCalc!$B$15,SampleCalc!$B$9*$Z273,SampleCalc!$B$9)+U273</f>
        <v>#NUM!</v>
      </c>
      <c r="W273" t="e">
        <f ca="1">HYPGEOMDIST(W$50,SampleCalc!$B$15,SampleCalc!$B$9*$Z273,SampleCalc!$B$9)+V273</f>
        <v>#NUM!</v>
      </c>
      <c r="X273" t="e">
        <f ca="1">HYPGEOMDIST(X$50,SampleCalc!$B$15,SampleCalc!$B$9*$Z273,SampleCalc!$B$9)+W273</f>
        <v>#NUM!</v>
      </c>
      <c r="Y273" t="e">
        <f ca="1">HYPGEOMDIST(Y$50,SampleCalc!$B$15,SampleCalc!$B$9*$Z273,SampleCalc!$B$9)+X273</f>
        <v>#NUM!</v>
      </c>
      <c r="Z273">
        <v>2.8000000000000001E-2</v>
      </c>
    </row>
    <row r="274" spans="5:26">
      <c r="E274">
        <f ca="1">HYPGEOMDIST(E$50,SampleCalc!$B$15,SampleCalc!$B$9*$Z274,SampleCalc!$B$9)</f>
        <v>6.0247917855553064E-2</v>
      </c>
      <c r="F274">
        <f ca="1">HYPGEOMDIST(F$50,SampleCalc!$B$15,SampleCalc!$B$9*$Z274,SampleCalc!$B$9)+E274</f>
        <v>0.25205761551813011</v>
      </c>
      <c r="G274">
        <f ca="1">HYPGEOMDIST(G$50,SampleCalc!$B$15,SampleCalc!$B$9*$Z274,SampleCalc!$B$9)+F274</f>
        <v>0.53025488693713485</v>
      </c>
      <c r="H274">
        <f ca="1">HYPGEOMDIST(H$50,SampleCalc!$B$15,SampleCalc!$B$9*$Z274,SampleCalc!$B$9)+G274</f>
        <v>0.77361865905832849</v>
      </c>
      <c r="I274">
        <f ca="1">HYPGEOMDIST(I$50,SampleCalc!$B$15,SampleCalc!$B$9*$Z274,SampleCalc!$B$9)+H274</f>
        <v>0.91686442366130982</v>
      </c>
      <c r="J274">
        <f ca="1">HYPGEOMDIST(J$50,SampleCalc!$B$15,SampleCalc!$B$9*$Z274,SampleCalc!$B$9)+I274</f>
        <v>0.97676719794982914</v>
      </c>
      <c r="K274">
        <f ca="1">HYPGEOMDIST(K$50,SampleCalc!$B$15,SampleCalc!$B$9*$Z274,SampleCalc!$B$9)+J274</f>
        <v>0.99507501477688287</v>
      </c>
      <c r="L274">
        <f ca="1">HYPGEOMDIST(L$50,SampleCalc!$B$15,SampleCalc!$B$9*$Z274,SampleCalc!$B$9)+K274</f>
        <v>0.99921497335586484</v>
      </c>
      <c r="M274">
        <f ca="1">HYPGEOMDIST(M$50,SampleCalc!$B$15,SampleCalc!$B$9*$Z274,SampleCalc!$B$9)+L274</f>
        <v>0.99990756041137119</v>
      </c>
      <c r="N274">
        <f ca="1">HYPGEOMDIST(N$50,SampleCalc!$B$15,SampleCalc!$B$9*$Z274,SampleCalc!$B$9)+M274</f>
        <v>0.99999220994037752</v>
      </c>
      <c r="O274">
        <f ca="1">HYPGEOMDIST(O$50,SampleCalc!$B$15,SampleCalc!$B$9*$Z274,SampleCalc!$B$9)+N274</f>
        <v>0.9999995560840419</v>
      </c>
      <c r="P274">
        <f ca="1">HYPGEOMDIST(P$50,SampleCalc!$B$15,SampleCalc!$B$9*$Z274,SampleCalc!$B$9)+O274</f>
        <v>0.99999998469215257</v>
      </c>
      <c r="Q274">
        <f ca="1">HYPGEOMDIST(Q$50,SampleCalc!$B$15,SampleCalc!$B$9*$Z274,SampleCalc!$B$9)+P274</f>
        <v>0.99999999975902165</v>
      </c>
      <c r="R274">
        <f ca="1">HYPGEOMDIST(R$50,SampleCalc!$B$15,SampleCalc!$B$9*$Z274,SampleCalc!$B$9)+Q274</f>
        <v>0.99999999999999978</v>
      </c>
      <c r="S274" t="e">
        <f ca="1">HYPGEOMDIST(S$50,SampleCalc!$B$15,SampleCalc!$B$9*$Z274,SampleCalc!$B$9)+R274</f>
        <v>#NUM!</v>
      </c>
      <c r="T274" t="e">
        <f ca="1">HYPGEOMDIST(T$50,SampleCalc!$B$15,SampleCalc!$B$9*$Z274,SampleCalc!$B$9)+S274</f>
        <v>#NUM!</v>
      </c>
      <c r="U274" t="e">
        <f ca="1">HYPGEOMDIST(U$50,SampleCalc!$B$15,SampleCalc!$B$9*$Z274,SampleCalc!$B$9)+T274</f>
        <v>#NUM!</v>
      </c>
      <c r="V274" t="e">
        <f ca="1">HYPGEOMDIST(V$50,SampleCalc!$B$15,SampleCalc!$B$9*$Z274,SampleCalc!$B$9)+U274</f>
        <v>#NUM!</v>
      </c>
      <c r="W274" t="e">
        <f ca="1">HYPGEOMDIST(W$50,SampleCalc!$B$15,SampleCalc!$B$9*$Z274,SampleCalc!$B$9)+V274</f>
        <v>#NUM!</v>
      </c>
      <c r="X274" t="e">
        <f ca="1">HYPGEOMDIST(X$50,SampleCalc!$B$15,SampleCalc!$B$9*$Z274,SampleCalc!$B$9)+W274</f>
        <v>#NUM!</v>
      </c>
      <c r="Y274" t="e">
        <f ca="1">HYPGEOMDIST(Y$50,SampleCalc!$B$15,SampleCalc!$B$9*$Z274,SampleCalc!$B$9)+X274</f>
        <v>#NUM!</v>
      </c>
      <c r="Z274">
        <v>2.7E-2</v>
      </c>
    </row>
    <row r="275" spans="5:26">
      <c r="E275">
        <f ca="1">HYPGEOMDIST(E$50,SampleCalc!$B$15,SampleCalc!$B$9*$Z275,SampleCalc!$B$9)</f>
        <v>6.0247917855553064E-2</v>
      </c>
      <c r="F275">
        <f ca="1">HYPGEOMDIST(F$50,SampleCalc!$B$15,SampleCalc!$B$9*$Z275,SampleCalc!$B$9)+E275</f>
        <v>0.25205761551813011</v>
      </c>
      <c r="G275">
        <f ca="1">HYPGEOMDIST(G$50,SampleCalc!$B$15,SampleCalc!$B$9*$Z275,SampleCalc!$B$9)+F275</f>
        <v>0.53025488693713485</v>
      </c>
      <c r="H275">
        <f ca="1">HYPGEOMDIST(H$50,SampleCalc!$B$15,SampleCalc!$B$9*$Z275,SampleCalc!$B$9)+G275</f>
        <v>0.77361865905832849</v>
      </c>
      <c r="I275">
        <f ca="1">HYPGEOMDIST(I$50,SampleCalc!$B$15,SampleCalc!$B$9*$Z275,SampleCalc!$B$9)+H275</f>
        <v>0.91686442366130982</v>
      </c>
      <c r="J275">
        <f ca="1">HYPGEOMDIST(J$50,SampleCalc!$B$15,SampleCalc!$B$9*$Z275,SampleCalc!$B$9)+I275</f>
        <v>0.97676719794982914</v>
      </c>
      <c r="K275">
        <f ca="1">HYPGEOMDIST(K$50,SampleCalc!$B$15,SampleCalc!$B$9*$Z275,SampleCalc!$B$9)+J275</f>
        <v>0.99507501477688287</v>
      </c>
      <c r="L275">
        <f ca="1">HYPGEOMDIST(L$50,SampleCalc!$B$15,SampleCalc!$B$9*$Z275,SampleCalc!$B$9)+K275</f>
        <v>0.99921497335586484</v>
      </c>
      <c r="M275">
        <f ca="1">HYPGEOMDIST(M$50,SampleCalc!$B$15,SampleCalc!$B$9*$Z275,SampleCalc!$B$9)+L275</f>
        <v>0.99990756041137119</v>
      </c>
      <c r="N275">
        <f ca="1">HYPGEOMDIST(N$50,SampleCalc!$B$15,SampleCalc!$B$9*$Z275,SampleCalc!$B$9)+M275</f>
        <v>0.99999220994037752</v>
      </c>
      <c r="O275">
        <f ca="1">HYPGEOMDIST(O$50,SampleCalc!$B$15,SampleCalc!$B$9*$Z275,SampleCalc!$B$9)+N275</f>
        <v>0.9999995560840419</v>
      </c>
      <c r="P275">
        <f ca="1">HYPGEOMDIST(P$50,SampleCalc!$B$15,SampleCalc!$B$9*$Z275,SampleCalc!$B$9)+O275</f>
        <v>0.99999998469215257</v>
      </c>
      <c r="Q275">
        <f ca="1">HYPGEOMDIST(Q$50,SampleCalc!$B$15,SampleCalc!$B$9*$Z275,SampleCalc!$B$9)+P275</f>
        <v>0.99999999975902165</v>
      </c>
      <c r="R275">
        <f ca="1">HYPGEOMDIST(R$50,SampleCalc!$B$15,SampleCalc!$B$9*$Z275,SampleCalc!$B$9)+Q275</f>
        <v>0.99999999999999978</v>
      </c>
      <c r="S275" t="e">
        <f ca="1">HYPGEOMDIST(S$50,SampleCalc!$B$15,SampleCalc!$B$9*$Z275,SampleCalc!$B$9)+R275</f>
        <v>#NUM!</v>
      </c>
      <c r="T275" t="e">
        <f ca="1">HYPGEOMDIST(T$50,SampleCalc!$B$15,SampleCalc!$B$9*$Z275,SampleCalc!$B$9)+S275</f>
        <v>#NUM!</v>
      </c>
      <c r="U275" t="e">
        <f ca="1">HYPGEOMDIST(U$50,SampleCalc!$B$15,SampleCalc!$B$9*$Z275,SampleCalc!$B$9)+T275</f>
        <v>#NUM!</v>
      </c>
      <c r="V275" t="e">
        <f ca="1">HYPGEOMDIST(V$50,SampleCalc!$B$15,SampleCalc!$B$9*$Z275,SampleCalc!$B$9)+U275</f>
        <v>#NUM!</v>
      </c>
      <c r="W275" t="e">
        <f ca="1">HYPGEOMDIST(W$50,SampleCalc!$B$15,SampleCalc!$B$9*$Z275,SampleCalc!$B$9)+V275</f>
        <v>#NUM!</v>
      </c>
      <c r="X275" t="e">
        <f ca="1">HYPGEOMDIST(X$50,SampleCalc!$B$15,SampleCalc!$B$9*$Z275,SampleCalc!$B$9)+W275</f>
        <v>#NUM!</v>
      </c>
      <c r="Y275" t="e">
        <f ca="1">HYPGEOMDIST(Y$50,SampleCalc!$B$15,SampleCalc!$B$9*$Z275,SampleCalc!$B$9)+X275</f>
        <v>#NUM!</v>
      </c>
      <c r="Z275">
        <v>2.5999999999999999E-2</v>
      </c>
    </row>
    <row r="276" spans="5:26">
      <c r="E276">
        <f ca="1">HYPGEOMDIST(E$50,SampleCalc!$B$15,SampleCalc!$B$9*$Z276,SampleCalc!$B$9)</f>
        <v>7.5002509983443599E-2</v>
      </c>
      <c r="F276">
        <f ca="1">HYPGEOMDIST(F$50,SampleCalc!$B$15,SampleCalc!$B$9*$Z276,SampleCalc!$B$9)+E276</f>
        <v>0.29485719573643843</v>
      </c>
      <c r="G276">
        <f ca="1">HYPGEOMDIST(G$50,SampleCalc!$B$15,SampleCalc!$B$9*$Z276,SampleCalc!$B$9)+F276</f>
        <v>0.58641575742664109</v>
      </c>
      <c r="H276">
        <f ca="1">HYPGEOMDIST(H$50,SampleCalc!$B$15,SampleCalc!$B$9*$Z276,SampleCalc!$B$9)+G276</f>
        <v>0.81769427893616919</v>
      </c>
      <c r="I276">
        <f ca="1">HYPGEOMDIST(I$50,SampleCalc!$B$15,SampleCalc!$B$9*$Z276,SampleCalc!$B$9)+H276</f>
        <v>0.9399039522338174</v>
      </c>
      <c r="J276">
        <f ca="1">HYPGEOMDIST(J$50,SampleCalc!$B$15,SampleCalc!$B$9*$Z276,SampleCalc!$B$9)+I276</f>
        <v>0.9852169595623157</v>
      </c>
      <c r="K276">
        <f ca="1">HYPGEOMDIST(K$50,SampleCalc!$B$15,SampleCalc!$B$9*$Z276,SampleCalc!$B$9)+J276</f>
        <v>0.9973042232424888</v>
      </c>
      <c r="L276">
        <f ca="1">HYPGEOMDIST(L$50,SampleCalc!$B$15,SampleCalc!$B$9*$Z276,SampleCalc!$B$9)+K276</f>
        <v>0.99964118077463826</v>
      </c>
      <c r="M276">
        <f ca="1">HYPGEOMDIST(M$50,SampleCalc!$B$15,SampleCalc!$B$9*$Z276,SampleCalc!$B$9)+L276</f>
        <v>0.99996616393145277</v>
      </c>
      <c r="N276">
        <f ca="1">HYPGEOMDIST(N$50,SampleCalc!$B$15,SampleCalc!$B$9*$Z276,SampleCalc!$B$9)+M276</f>
        <v>0.99999786082011966</v>
      </c>
      <c r="O276">
        <f ca="1">HYPGEOMDIST(O$50,SampleCalc!$B$15,SampleCalc!$B$9*$Z276,SampleCalc!$B$9)+N276</f>
        <v>0.99999991875244354</v>
      </c>
      <c r="P276">
        <f ca="1">HYPGEOMDIST(P$50,SampleCalc!$B$15,SampleCalc!$B$9*$Z276,SampleCalc!$B$9)+O276</f>
        <v>0.99999999860003197</v>
      </c>
      <c r="Q276">
        <f ca="1">HYPGEOMDIST(Q$50,SampleCalc!$B$15,SampleCalc!$B$9*$Z276,SampleCalc!$B$9)+P276</f>
        <v>1</v>
      </c>
      <c r="R276" t="e">
        <f ca="1">HYPGEOMDIST(R$50,SampleCalc!$B$15,SampleCalc!$B$9*$Z276,SampleCalc!$B$9)+Q276</f>
        <v>#NUM!</v>
      </c>
      <c r="S276" t="e">
        <f ca="1">HYPGEOMDIST(S$50,SampleCalc!$B$15,SampleCalc!$B$9*$Z276,SampleCalc!$B$9)+R276</f>
        <v>#NUM!</v>
      </c>
      <c r="T276" t="e">
        <f ca="1">HYPGEOMDIST(T$50,SampleCalc!$B$15,SampleCalc!$B$9*$Z276,SampleCalc!$B$9)+S276</f>
        <v>#NUM!</v>
      </c>
      <c r="U276" t="e">
        <f ca="1">HYPGEOMDIST(U$50,SampleCalc!$B$15,SampleCalc!$B$9*$Z276,SampleCalc!$B$9)+T276</f>
        <v>#NUM!</v>
      </c>
      <c r="V276" t="e">
        <f ca="1">HYPGEOMDIST(V$50,SampleCalc!$B$15,SampleCalc!$B$9*$Z276,SampleCalc!$B$9)+U276</f>
        <v>#NUM!</v>
      </c>
      <c r="W276" t="e">
        <f ca="1">HYPGEOMDIST(W$50,SampleCalc!$B$15,SampleCalc!$B$9*$Z276,SampleCalc!$B$9)+V276</f>
        <v>#NUM!</v>
      </c>
      <c r="X276" t="e">
        <f ca="1">HYPGEOMDIST(X$50,SampleCalc!$B$15,SampleCalc!$B$9*$Z276,SampleCalc!$B$9)+W276</f>
        <v>#NUM!</v>
      </c>
      <c r="Y276" t="e">
        <f ca="1">HYPGEOMDIST(Y$50,SampleCalc!$B$15,SampleCalc!$B$9*$Z276,SampleCalc!$B$9)+X276</f>
        <v>#NUM!</v>
      </c>
      <c r="Z276">
        <v>2.5000000000000001E-2</v>
      </c>
    </row>
    <row r="277" spans="5:26">
      <c r="E277">
        <f ca="1">HYPGEOMDIST(E$50,SampleCalc!$B$15,SampleCalc!$B$9*$Z277,SampleCalc!$B$9)</f>
        <v>7.5002509983443599E-2</v>
      </c>
      <c r="F277">
        <f ca="1">HYPGEOMDIST(F$50,SampleCalc!$B$15,SampleCalc!$B$9*$Z277,SampleCalc!$B$9)+E277</f>
        <v>0.29485719573643843</v>
      </c>
      <c r="G277">
        <f ca="1">HYPGEOMDIST(G$50,SampleCalc!$B$15,SampleCalc!$B$9*$Z277,SampleCalc!$B$9)+F277</f>
        <v>0.58641575742664109</v>
      </c>
      <c r="H277">
        <f ca="1">HYPGEOMDIST(H$50,SampleCalc!$B$15,SampleCalc!$B$9*$Z277,SampleCalc!$B$9)+G277</f>
        <v>0.81769427893616919</v>
      </c>
      <c r="I277">
        <f ca="1">HYPGEOMDIST(I$50,SampleCalc!$B$15,SampleCalc!$B$9*$Z277,SampleCalc!$B$9)+H277</f>
        <v>0.9399039522338174</v>
      </c>
      <c r="J277">
        <f ca="1">HYPGEOMDIST(J$50,SampleCalc!$B$15,SampleCalc!$B$9*$Z277,SampleCalc!$B$9)+I277</f>
        <v>0.9852169595623157</v>
      </c>
      <c r="K277">
        <f ca="1">HYPGEOMDIST(K$50,SampleCalc!$B$15,SampleCalc!$B$9*$Z277,SampleCalc!$B$9)+J277</f>
        <v>0.9973042232424888</v>
      </c>
      <c r="L277">
        <f ca="1">HYPGEOMDIST(L$50,SampleCalc!$B$15,SampleCalc!$B$9*$Z277,SampleCalc!$B$9)+K277</f>
        <v>0.99964118077463826</v>
      </c>
      <c r="M277">
        <f ca="1">HYPGEOMDIST(M$50,SampleCalc!$B$15,SampleCalc!$B$9*$Z277,SampleCalc!$B$9)+L277</f>
        <v>0.99996616393145277</v>
      </c>
      <c r="N277">
        <f ca="1">HYPGEOMDIST(N$50,SampleCalc!$B$15,SampleCalc!$B$9*$Z277,SampleCalc!$B$9)+M277</f>
        <v>0.99999786082011966</v>
      </c>
      <c r="O277">
        <f ca="1">HYPGEOMDIST(O$50,SampleCalc!$B$15,SampleCalc!$B$9*$Z277,SampleCalc!$B$9)+N277</f>
        <v>0.99999991875244354</v>
      </c>
      <c r="P277">
        <f ca="1">HYPGEOMDIST(P$50,SampleCalc!$B$15,SampleCalc!$B$9*$Z277,SampleCalc!$B$9)+O277</f>
        <v>0.99999999860003197</v>
      </c>
      <c r="Q277">
        <f ca="1">HYPGEOMDIST(Q$50,SampleCalc!$B$15,SampleCalc!$B$9*$Z277,SampleCalc!$B$9)+P277</f>
        <v>1</v>
      </c>
      <c r="R277" t="e">
        <f ca="1">HYPGEOMDIST(R$50,SampleCalc!$B$15,SampleCalc!$B$9*$Z277,SampleCalc!$B$9)+Q277</f>
        <v>#NUM!</v>
      </c>
      <c r="S277" t="e">
        <f ca="1">HYPGEOMDIST(S$50,SampleCalc!$B$15,SampleCalc!$B$9*$Z277,SampleCalc!$B$9)+R277</f>
        <v>#NUM!</v>
      </c>
      <c r="T277" t="e">
        <f ca="1">HYPGEOMDIST(T$50,SampleCalc!$B$15,SampleCalc!$B$9*$Z277,SampleCalc!$B$9)+S277</f>
        <v>#NUM!</v>
      </c>
      <c r="U277" t="e">
        <f ca="1">HYPGEOMDIST(U$50,SampleCalc!$B$15,SampleCalc!$B$9*$Z277,SampleCalc!$B$9)+T277</f>
        <v>#NUM!</v>
      </c>
      <c r="V277" t="e">
        <f ca="1">HYPGEOMDIST(V$50,SampleCalc!$B$15,SampleCalc!$B$9*$Z277,SampleCalc!$B$9)+U277</f>
        <v>#NUM!</v>
      </c>
      <c r="W277" t="e">
        <f ca="1">HYPGEOMDIST(W$50,SampleCalc!$B$15,SampleCalc!$B$9*$Z277,SampleCalc!$B$9)+V277</f>
        <v>#NUM!</v>
      </c>
      <c r="X277" t="e">
        <f ca="1">HYPGEOMDIST(X$50,SampleCalc!$B$15,SampleCalc!$B$9*$Z277,SampleCalc!$B$9)+W277</f>
        <v>#NUM!</v>
      </c>
      <c r="Y277" t="e">
        <f ca="1">HYPGEOMDIST(Y$50,SampleCalc!$B$15,SampleCalc!$B$9*$Z277,SampleCalc!$B$9)+X277</f>
        <v>#NUM!</v>
      </c>
      <c r="Z277">
        <v>2.4E-2</v>
      </c>
    </row>
    <row r="278" spans="5:26">
      <c r="E278">
        <f ca="1">HYPGEOMDIST(E$50,SampleCalc!$B$15,SampleCalc!$B$9*$Z278,SampleCalc!$B$9)</f>
        <v>9.3323733796193131E-2</v>
      </c>
      <c r="F278">
        <f ca="1">HYPGEOMDIST(F$50,SampleCalc!$B$15,SampleCalc!$B$9*$Z278,SampleCalc!$B$9)+E278</f>
        <v>0.34345028935147215</v>
      </c>
      <c r="G278">
        <f ca="1">HYPGEOMDIST(G$50,SampleCalc!$B$15,SampleCalc!$B$9*$Z278,SampleCalc!$B$9)+F278</f>
        <v>0.64423538780402334</v>
      </c>
      <c r="H278">
        <f ca="1">HYPGEOMDIST(H$50,SampleCalc!$B$15,SampleCalc!$B$9*$Z278,SampleCalc!$B$9)+G278</f>
        <v>0.85843083670205189</v>
      </c>
      <c r="I278">
        <f ca="1">HYPGEOMDIST(I$50,SampleCalc!$B$15,SampleCalc!$B$9*$Z278,SampleCalc!$B$9)+H278</f>
        <v>0.95878437195402488</v>
      </c>
      <c r="J278">
        <f ca="1">HYPGEOMDIST(J$50,SampleCalc!$B$15,SampleCalc!$B$9*$Z278,SampleCalc!$B$9)+I278</f>
        <v>0.99126059140240219</v>
      </c>
      <c r="K278">
        <f ca="1">HYPGEOMDIST(K$50,SampleCalc!$B$15,SampleCalc!$B$9*$Z278,SampleCalc!$B$9)+J278</f>
        <v>0.99866744846957589</v>
      </c>
      <c r="L278">
        <f ca="1">HYPGEOMDIST(L$50,SampleCalc!$B$15,SampleCalc!$B$9*$Z278,SampleCalc!$B$9)+K278</f>
        <v>0.99985783621251456</v>
      </c>
      <c r="M278">
        <f ca="1">HYPGEOMDIST(M$50,SampleCalc!$B$15,SampleCalc!$B$9*$Z278,SampleCalc!$B$9)+L278</f>
        <v>0.99998993659795288</v>
      </c>
      <c r="N278">
        <f ca="1">HYPGEOMDIST(N$50,SampleCalc!$B$15,SampleCalc!$B$9*$Z278,SampleCalc!$B$9)+M278</f>
        <v>0.99999957576372289</v>
      </c>
      <c r="O278">
        <f ca="1">HYPGEOMDIST(O$50,SampleCalc!$B$15,SampleCalc!$B$9*$Z278,SampleCalc!$B$9)+N278</f>
        <v>0.99999999194606626</v>
      </c>
      <c r="P278">
        <f ca="1">HYPGEOMDIST(P$50,SampleCalc!$B$15,SampleCalc!$B$9*$Z278,SampleCalc!$B$9)+O278</f>
        <v>1</v>
      </c>
      <c r="Q278" t="e">
        <f ca="1">HYPGEOMDIST(Q$50,SampleCalc!$B$15,SampleCalc!$B$9*$Z278,SampleCalc!$B$9)+P278</f>
        <v>#NUM!</v>
      </c>
      <c r="R278" t="e">
        <f ca="1">HYPGEOMDIST(R$50,SampleCalc!$B$15,SampleCalc!$B$9*$Z278,SampleCalc!$B$9)+Q278</f>
        <v>#NUM!</v>
      </c>
      <c r="S278" t="e">
        <f ca="1">HYPGEOMDIST(S$50,SampleCalc!$B$15,SampleCalc!$B$9*$Z278,SampleCalc!$B$9)+R278</f>
        <v>#NUM!</v>
      </c>
      <c r="T278" t="e">
        <f ca="1">HYPGEOMDIST(T$50,SampleCalc!$B$15,SampleCalc!$B$9*$Z278,SampleCalc!$B$9)+S278</f>
        <v>#NUM!</v>
      </c>
      <c r="U278" t="e">
        <f ca="1">HYPGEOMDIST(U$50,SampleCalc!$B$15,SampleCalc!$B$9*$Z278,SampleCalc!$B$9)+T278</f>
        <v>#NUM!</v>
      </c>
      <c r="V278" t="e">
        <f ca="1">HYPGEOMDIST(V$50,SampleCalc!$B$15,SampleCalc!$B$9*$Z278,SampleCalc!$B$9)+U278</f>
        <v>#NUM!</v>
      </c>
      <c r="W278" t="e">
        <f ca="1">HYPGEOMDIST(W$50,SampleCalc!$B$15,SampleCalc!$B$9*$Z278,SampleCalc!$B$9)+V278</f>
        <v>#NUM!</v>
      </c>
      <c r="X278" t="e">
        <f ca="1">HYPGEOMDIST(X$50,SampleCalc!$B$15,SampleCalc!$B$9*$Z278,SampleCalc!$B$9)+W278</f>
        <v>#NUM!</v>
      </c>
      <c r="Y278" t="e">
        <f ca="1">HYPGEOMDIST(Y$50,SampleCalc!$B$15,SampleCalc!$B$9*$Z278,SampleCalc!$B$9)+X278</f>
        <v>#NUM!</v>
      </c>
      <c r="Z278">
        <v>2.3E-2</v>
      </c>
    </row>
    <row r="279" spans="5:26">
      <c r="E279">
        <f ca="1">HYPGEOMDIST(E$50,SampleCalc!$B$15,SampleCalc!$B$9*$Z279,SampleCalc!$B$9)</f>
        <v>9.3323733796193131E-2</v>
      </c>
      <c r="F279">
        <f ca="1">HYPGEOMDIST(F$50,SampleCalc!$B$15,SampleCalc!$B$9*$Z279,SampleCalc!$B$9)+E279</f>
        <v>0.34345028935147215</v>
      </c>
      <c r="G279">
        <f ca="1">HYPGEOMDIST(G$50,SampleCalc!$B$15,SampleCalc!$B$9*$Z279,SampleCalc!$B$9)+F279</f>
        <v>0.64423538780402334</v>
      </c>
      <c r="H279">
        <f ca="1">HYPGEOMDIST(H$50,SampleCalc!$B$15,SampleCalc!$B$9*$Z279,SampleCalc!$B$9)+G279</f>
        <v>0.85843083670205189</v>
      </c>
      <c r="I279">
        <f ca="1">HYPGEOMDIST(I$50,SampleCalc!$B$15,SampleCalc!$B$9*$Z279,SampleCalc!$B$9)+H279</f>
        <v>0.95878437195402488</v>
      </c>
      <c r="J279">
        <f ca="1">HYPGEOMDIST(J$50,SampleCalc!$B$15,SampleCalc!$B$9*$Z279,SampleCalc!$B$9)+I279</f>
        <v>0.99126059140240219</v>
      </c>
      <c r="K279">
        <f ca="1">HYPGEOMDIST(K$50,SampleCalc!$B$15,SampleCalc!$B$9*$Z279,SampleCalc!$B$9)+J279</f>
        <v>0.99866744846957589</v>
      </c>
      <c r="L279">
        <f ca="1">HYPGEOMDIST(L$50,SampleCalc!$B$15,SampleCalc!$B$9*$Z279,SampleCalc!$B$9)+K279</f>
        <v>0.99985783621251456</v>
      </c>
      <c r="M279">
        <f ca="1">HYPGEOMDIST(M$50,SampleCalc!$B$15,SampleCalc!$B$9*$Z279,SampleCalc!$B$9)+L279</f>
        <v>0.99998993659795288</v>
      </c>
      <c r="N279">
        <f ca="1">HYPGEOMDIST(N$50,SampleCalc!$B$15,SampleCalc!$B$9*$Z279,SampleCalc!$B$9)+M279</f>
        <v>0.99999957576372289</v>
      </c>
      <c r="O279">
        <f ca="1">HYPGEOMDIST(O$50,SampleCalc!$B$15,SampleCalc!$B$9*$Z279,SampleCalc!$B$9)+N279</f>
        <v>0.99999999194606626</v>
      </c>
      <c r="P279">
        <f ca="1">HYPGEOMDIST(P$50,SampleCalc!$B$15,SampleCalc!$B$9*$Z279,SampleCalc!$B$9)+O279</f>
        <v>1</v>
      </c>
      <c r="Q279" t="e">
        <f ca="1">HYPGEOMDIST(Q$50,SampleCalc!$B$15,SampleCalc!$B$9*$Z279,SampleCalc!$B$9)+P279</f>
        <v>#NUM!</v>
      </c>
      <c r="R279" t="e">
        <f ca="1">HYPGEOMDIST(R$50,SampleCalc!$B$15,SampleCalc!$B$9*$Z279,SampleCalc!$B$9)+Q279</f>
        <v>#NUM!</v>
      </c>
      <c r="S279" t="e">
        <f ca="1">HYPGEOMDIST(S$50,SampleCalc!$B$15,SampleCalc!$B$9*$Z279,SampleCalc!$B$9)+R279</f>
        <v>#NUM!</v>
      </c>
      <c r="T279" t="e">
        <f ca="1">HYPGEOMDIST(T$50,SampleCalc!$B$15,SampleCalc!$B$9*$Z279,SampleCalc!$B$9)+S279</f>
        <v>#NUM!</v>
      </c>
      <c r="U279" t="e">
        <f ca="1">HYPGEOMDIST(U$50,SampleCalc!$B$15,SampleCalc!$B$9*$Z279,SampleCalc!$B$9)+T279</f>
        <v>#NUM!</v>
      </c>
      <c r="V279" t="e">
        <f ca="1">HYPGEOMDIST(V$50,SampleCalc!$B$15,SampleCalc!$B$9*$Z279,SampleCalc!$B$9)+U279</f>
        <v>#NUM!</v>
      </c>
      <c r="W279" t="e">
        <f ca="1">HYPGEOMDIST(W$50,SampleCalc!$B$15,SampleCalc!$B$9*$Z279,SampleCalc!$B$9)+V279</f>
        <v>#NUM!</v>
      </c>
      <c r="X279" t="e">
        <f ca="1">HYPGEOMDIST(X$50,SampleCalc!$B$15,SampleCalc!$B$9*$Z279,SampleCalc!$B$9)+W279</f>
        <v>#NUM!</v>
      </c>
      <c r="Y279" t="e">
        <f ca="1">HYPGEOMDIST(Y$50,SampleCalc!$B$15,SampleCalc!$B$9*$Z279,SampleCalc!$B$9)+X279</f>
        <v>#NUM!</v>
      </c>
      <c r="Z279">
        <v>2.1999999999999999E-2</v>
      </c>
    </row>
    <row r="280" spans="5:26">
      <c r="E280">
        <f ca="1">HYPGEOMDIST(E$50,SampleCalc!$B$15,SampleCalc!$B$9*$Z280,SampleCalc!$B$9)</f>
        <v>0.11606251157394577</v>
      </c>
      <c r="F280">
        <f ca="1">HYPGEOMDIST(F$50,SampleCalc!$B$15,SampleCalc!$B$9*$Z280,SampleCalc!$B$9)+E280</f>
        <v>0.39813848907011817</v>
      </c>
      <c r="G280">
        <f ca="1">HYPGEOMDIST(G$50,SampleCalc!$B$15,SampleCalc!$B$9*$Z280,SampleCalc!$B$9)+F280</f>
        <v>0.70265232841257652</v>
      </c>
      <c r="H280">
        <f ca="1">HYPGEOMDIST(H$50,SampleCalc!$B$15,SampleCalc!$B$9*$Z280,SampleCalc!$B$9)+G280</f>
        <v>0.89492303133913287</v>
      </c>
      <c r="I280">
        <f ca="1">HYPGEOMDIST(I$50,SampleCalc!$B$15,SampleCalc!$B$9*$Z280,SampleCalc!$B$9)+H280</f>
        <v>0.9735462898851055</v>
      </c>
      <c r="J280">
        <f ca="1">HYPGEOMDIST(J$50,SampleCalc!$B$15,SampleCalc!$B$9*$Z280,SampleCalc!$B$9)+I280</f>
        <v>0.9953006952572242</v>
      </c>
      <c r="K280">
        <f ca="1">HYPGEOMDIST(K$50,SampleCalc!$B$15,SampleCalc!$B$9*$Z280,SampleCalc!$B$9)+J280</f>
        <v>0.99942496794235502</v>
      </c>
      <c r="L280">
        <f ca="1">HYPGEOMDIST(L$50,SampleCalc!$B$15,SampleCalc!$B$9*$Z280,SampleCalc!$B$9)+K280</f>
        <v>0.99995390922010607</v>
      </c>
      <c r="M280">
        <f ca="1">HYPGEOMDIST(M$50,SampleCalc!$B$15,SampleCalc!$B$9*$Z280,SampleCalc!$B$9)+L280</f>
        <v>0.99999782318812835</v>
      </c>
      <c r="N280">
        <f ca="1">HYPGEOMDIST(N$50,SampleCalc!$B$15,SampleCalc!$B$9*$Z280,SampleCalc!$B$9)+M280</f>
        <v>0.99999995411130782</v>
      </c>
      <c r="O280">
        <f ca="1">HYPGEOMDIST(O$50,SampleCalc!$B$15,SampleCalc!$B$9*$Z280,SampleCalc!$B$9)+N280</f>
        <v>1</v>
      </c>
      <c r="P280" t="e">
        <f ca="1">HYPGEOMDIST(P$50,SampleCalc!$B$15,SampleCalc!$B$9*$Z280,SampleCalc!$B$9)+O280</f>
        <v>#NUM!</v>
      </c>
      <c r="Q280" t="e">
        <f ca="1">HYPGEOMDIST(Q$50,SampleCalc!$B$15,SampleCalc!$B$9*$Z280,SampleCalc!$B$9)+P280</f>
        <v>#NUM!</v>
      </c>
      <c r="R280" t="e">
        <f ca="1">HYPGEOMDIST(R$50,SampleCalc!$B$15,SampleCalc!$B$9*$Z280,SampleCalc!$B$9)+Q280</f>
        <v>#NUM!</v>
      </c>
      <c r="S280" t="e">
        <f ca="1">HYPGEOMDIST(S$50,SampleCalc!$B$15,SampleCalc!$B$9*$Z280,SampleCalc!$B$9)+R280</f>
        <v>#NUM!</v>
      </c>
      <c r="T280" t="e">
        <f ca="1">HYPGEOMDIST(T$50,SampleCalc!$B$15,SampleCalc!$B$9*$Z280,SampleCalc!$B$9)+S280</f>
        <v>#NUM!</v>
      </c>
      <c r="U280" t="e">
        <f ca="1">HYPGEOMDIST(U$50,SampleCalc!$B$15,SampleCalc!$B$9*$Z280,SampleCalc!$B$9)+T280</f>
        <v>#NUM!</v>
      </c>
      <c r="V280" t="e">
        <f ca="1">HYPGEOMDIST(V$50,SampleCalc!$B$15,SampleCalc!$B$9*$Z280,SampleCalc!$B$9)+U280</f>
        <v>#NUM!</v>
      </c>
      <c r="W280" t="e">
        <f ca="1">HYPGEOMDIST(W$50,SampleCalc!$B$15,SampleCalc!$B$9*$Z280,SampleCalc!$B$9)+V280</f>
        <v>#NUM!</v>
      </c>
      <c r="X280" t="e">
        <f ca="1">HYPGEOMDIST(X$50,SampleCalc!$B$15,SampleCalc!$B$9*$Z280,SampleCalc!$B$9)+W280</f>
        <v>#NUM!</v>
      </c>
      <c r="Y280" t="e">
        <f ca="1">HYPGEOMDIST(Y$50,SampleCalc!$B$15,SampleCalc!$B$9*$Z280,SampleCalc!$B$9)+X280</f>
        <v>#NUM!</v>
      </c>
      <c r="Z280">
        <v>2.1000000000000001E-2</v>
      </c>
    </row>
    <row r="281" spans="5:26">
      <c r="E281">
        <f ca="1">HYPGEOMDIST(E$50,SampleCalc!$B$15,SampleCalc!$B$9*$Z281,SampleCalc!$B$9)</f>
        <v>0.11606251157394577</v>
      </c>
      <c r="F281">
        <f ca="1">HYPGEOMDIST(F$50,SampleCalc!$B$15,SampleCalc!$B$9*$Z281,SampleCalc!$B$9)+E281</f>
        <v>0.39813848907011817</v>
      </c>
      <c r="G281">
        <f ca="1">HYPGEOMDIST(G$50,SampleCalc!$B$15,SampleCalc!$B$9*$Z281,SampleCalc!$B$9)+F281</f>
        <v>0.70265232841257652</v>
      </c>
      <c r="H281">
        <f ca="1">HYPGEOMDIST(H$50,SampleCalc!$B$15,SampleCalc!$B$9*$Z281,SampleCalc!$B$9)+G281</f>
        <v>0.89492303133913287</v>
      </c>
      <c r="I281">
        <f ca="1">HYPGEOMDIST(I$50,SampleCalc!$B$15,SampleCalc!$B$9*$Z281,SampleCalc!$B$9)+H281</f>
        <v>0.9735462898851055</v>
      </c>
      <c r="J281">
        <f ca="1">HYPGEOMDIST(J$50,SampleCalc!$B$15,SampleCalc!$B$9*$Z281,SampleCalc!$B$9)+I281</f>
        <v>0.9953006952572242</v>
      </c>
      <c r="K281">
        <f ca="1">HYPGEOMDIST(K$50,SampleCalc!$B$15,SampleCalc!$B$9*$Z281,SampleCalc!$B$9)+J281</f>
        <v>0.99942496794235502</v>
      </c>
      <c r="L281">
        <f ca="1">HYPGEOMDIST(L$50,SampleCalc!$B$15,SampleCalc!$B$9*$Z281,SampleCalc!$B$9)+K281</f>
        <v>0.99995390922010607</v>
      </c>
      <c r="M281">
        <f ca="1">HYPGEOMDIST(M$50,SampleCalc!$B$15,SampleCalc!$B$9*$Z281,SampleCalc!$B$9)+L281</f>
        <v>0.99999782318812835</v>
      </c>
      <c r="N281">
        <f ca="1">HYPGEOMDIST(N$50,SampleCalc!$B$15,SampleCalc!$B$9*$Z281,SampleCalc!$B$9)+M281</f>
        <v>0.99999995411130782</v>
      </c>
      <c r="O281">
        <f ca="1">HYPGEOMDIST(O$50,SampleCalc!$B$15,SampleCalc!$B$9*$Z281,SampleCalc!$B$9)+N281</f>
        <v>1</v>
      </c>
      <c r="P281" t="e">
        <f ca="1">HYPGEOMDIST(P$50,SampleCalc!$B$15,SampleCalc!$B$9*$Z281,SampleCalc!$B$9)+O281</f>
        <v>#NUM!</v>
      </c>
      <c r="Q281" t="e">
        <f ca="1">HYPGEOMDIST(Q$50,SampleCalc!$B$15,SampleCalc!$B$9*$Z281,SampleCalc!$B$9)+P281</f>
        <v>#NUM!</v>
      </c>
      <c r="R281" t="e">
        <f ca="1">HYPGEOMDIST(R$50,SampleCalc!$B$15,SampleCalc!$B$9*$Z281,SampleCalc!$B$9)+Q281</f>
        <v>#NUM!</v>
      </c>
      <c r="S281" t="e">
        <f ca="1">HYPGEOMDIST(S$50,SampleCalc!$B$15,SampleCalc!$B$9*$Z281,SampleCalc!$B$9)+R281</f>
        <v>#NUM!</v>
      </c>
      <c r="T281" t="e">
        <f ca="1">HYPGEOMDIST(T$50,SampleCalc!$B$15,SampleCalc!$B$9*$Z281,SampleCalc!$B$9)+S281</f>
        <v>#NUM!</v>
      </c>
      <c r="U281" t="e">
        <f ca="1">HYPGEOMDIST(U$50,SampleCalc!$B$15,SampleCalc!$B$9*$Z281,SampleCalc!$B$9)+T281</f>
        <v>#NUM!</v>
      </c>
      <c r="V281" t="e">
        <f ca="1">HYPGEOMDIST(V$50,SampleCalc!$B$15,SampleCalc!$B$9*$Z281,SampleCalc!$B$9)+U281</f>
        <v>#NUM!</v>
      </c>
      <c r="W281" t="e">
        <f ca="1">HYPGEOMDIST(W$50,SampleCalc!$B$15,SampleCalc!$B$9*$Z281,SampleCalc!$B$9)+V281</f>
        <v>#NUM!</v>
      </c>
      <c r="X281" t="e">
        <f ca="1">HYPGEOMDIST(X$50,SampleCalc!$B$15,SampleCalc!$B$9*$Z281,SampleCalc!$B$9)+W281</f>
        <v>#NUM!</v>
      </c>
      <c r="Y281" t="e">
        <f ca="1">HYPGEOMDIST(Y$50,SampleCalc!$B$15,SampleCalc!$B$9*$Z281,SampleCalc!$B$9)+X281</f>
        <v>#NUM!</v>
      </c>
      <c r="Z281">
        <v>0.02</v>
      </c>
    </row>
    <row r="282" spans="5:26">
      <c r="E282">
        <f ca="1">HYPGEOMDIST(E$50,SampleCalc!$B$15,SampleCalc!$B$9*$Z282,SampleCalc!$B$9)</f>
        <v>0.14427010932356318</v>
      </c>
      <c r="F282">
        <f ca="1">HYPGEOMDIST(F$50,SampleCalc!$B$15,SampleCalc!$B$9*$Z282,SampleCalc!$B$9)+E282</f>
        <v>0.45904125693860964</v>
      </c>
      <c r="G282">
        <f ca="1">HYPGEOMDIST(G$50,SampleCalc!$B$15,SampleCalc!$B$9*$Z282,SampleCalc!$B$9)+F282</f>
        <v>0.76033353929054304</v>
      </c>
      <c r="H282">
        <f ca="1">HYPGEOMDIST(H$50,SampleCalc!$B$15,SampleCalc!$B$9*$Z282,SampleCalc!$B$9)+G282</f>
        <v>0.9263723347575219</v>
      </c>
      <c r="I282">
        <f ca="1">HYPGEOMDIST(I$50,SampleCalc!$B$15,SampleCalc!$B$9*$Z282,SampleCalc!$B$9)+H282</f>
        <v>0.98442349257116468</v>
      </c>
      <c r="J282">
        <f ca="1">HYPGEOMDIST(J$50,SampleCalc!$B$15,SampleCalc!$B$9*$Z282,SampleCalc!$B$9)+I282</f>
        <v>0.99777525886830254</v>
      </c>
      <c r="K282">
        <f ca="1">HYPGEOMDIST(K$50,SampleCalc!$B$15,SampleCalc!$B$9*$Z282,SampleCalc!$B$9)+J282</f>
        <v>0.99979522683678057</v>
      </c>
      <c r="L282">
        <f ca="1">HYPGEOMDIST(L$50,SampleCalc!$B$15,SampleCalc!$B$9*$Z282,SampleCalc!$B$9)+K282</f>
        <v>0.99998904039452363</v>
      </c>
      <c r="M282">
        <f ca="1">HYPGEOMDIST(M$50,SampleCalc!$B$15,SampleCalc!$B$9*$Z282,SampleCalc!$B$9)+L282</f>
        <v>0.99999974101898959</v>
      </c>
      <c r="N282">
        <f ca="1">HYPGEOMDIST(N$50,SampleCalc!$B$15,SampleCalc!$B$9*$Z282,SampleCalc!$B$9)+M282</f>
        <v>0.99999999999999978</v>
      </c>
      <c r="O282" t="e">
        <f ca="1">HYPGEOMDIST(O$50,SampleCalc!$B$15,SampleCalc!$B$9*$Z282,SampleCalc!$B$9)+N282</f>
        <v>#NUM!</v>
      </c>
      <c r="P282" t="e">
        <f ca="1">HYPGEOMDIST(P$50,SampleCalc!$B$15,SampleCalc!$B$9*$Z282,SampleCalc!$B$9)+O282</f>
        <v>#NUM!</v>
      </c>
      <c r="Q282" t="e">
        <f ca="1">HYPGEOMDIST(Q$50,SampleCalc!$B$15,SampleCalc!$B$9*$Z282,SampleCalc!$B$9)+P282</f>
        <v>#NUM!</v>
      </c>
      <c r="R282" t="e">
        <f ca="1">HYPGEOMDIST(R$50,SampleCalc!$B$15,SampleCalc!$B$9*$Z282,SampleCalc!$B$9)+Q282</f>
        <v>#NUM!</v>
      </c>
      <c r="S282" t="e">
        <f ca="1">HYPGEOMDIST(S$50,SampleCalc!$B$15,SampleCalc!$B$9*$Z282,SampleCalc!$B$9)+R282</f>
        <v>#NUM!</v>
      </c>
      <c r="T282" t="e">
        <f ca="1">HYPGEOMDIST(T$50,SampleCalc!$B$15,SampleCalc!$B$9*$Z282,SampleCalc!$B$9)+S282</f>
        <v>#NUM!</v>
      </c>
      <c r="U282" t="e">
        <f ca="1">HYPGEOMDIST(U$50,SampleCalc!$B$15,SampleCalc!$B$9*$Z282,SampleCalc!$B$9)+T282</f>
        <v>#NUM!</v>
      </c>
      <c r="V282" t="e">
        <f ca="1">HYPGEOMDIST(V$50,SampleCalc!$B$15,SampleCalc!$B$9*$Z282,SampleCalc!$B$9)+U282</f>
        <v>#NUM!</v>
      </c>
      <c r="W282" t="e">
        <f ca="1">HYPGEOMDIST(W$50,SampleCalc!$B$15,SampleCalc!$B$9*$Z282,SampleCalc!$B$9)+V282</f>
        <v>#NUM!</v>
      </c>
      <c r="X282" t="e">
        <f ca="1">HYPGEOMDIST(X$50,SampleCalc!$B$15,SampleCalc!$B$9*$Z282,SampleCalc!$B$9)+W282</f>
        <v>#NUM!</v>
      </c>
      <c r="Y282" t="e">
        <f ca="1">HYPGEOMDIST(Y$50,SampleCalc!$B$15,SampleCalc!$B$9*$Z282,SampleCalc!$B$9)+X282</f>
        <v>#NUM!</v>
      </c>
      <c r="Z282">
        <v>1.9E-2</v>
      </c>
    </row>
    <row r="283" spans="5:26">
      <c r="E283">
        <f ca="1">HYPGEOMDIST(E$50,SampleCalc!$B$15,SampleCalc!$B$9*$Z283,SampleCalc!$B$9)</f>
        <v>0.14427010932356318</v>
      </c>
      <c r="F283">
        <f ca="1">HYPGEOMDIST(F$50,SampleCalc!$B$15,SampleCalc!$B$9*$Z283,SampleCalc!$B$9)+E283</f>
        <v>0.45904125693860964</v>
      </c>
      <c r="G283">
        <f ca="1">HYPGEOMDIST(G$50,SampleCalc!$B$15,SampleCalc!$B$9*$Z283,SampleCalc!$B$9)+F283</f>
        <v>0.76033353929054304</v>
      </c>
      <c r="H283">
        <f ca="1">HYPGEOMDIST(H$50,SampleCalc!$B$15,SampleCalc!$B$9*$Z283,SampleCalc!$B$9)+G283</f>
        <v>0.9263723347575219</v>
      </c>
      <c r="I283">
        <f ca="1">HYPGEOMDIST(I$50,SampleCalc!$B$15,SampleCalc!$B$9*$Z283,SampleCalc!$B$9)+H283</f>
        <v>0.98442349257116468</v>
      </c>
      <c r="J283">
        <f ca="1">HYPGEOMDIST(J$50,SampleCalc!$B$15,SampleCalc!$B$9*$Z283,SampleCalc!$B$9)+I283</f>
        <v>0.99777525886830254</v>
      </c>
      <c r="K283">
        <f ca="1">HYPGEOMDIST(K$50,SampleCalc!$B$15,SampleCalc!$B$9*$Z283,SampleCalc!$B$9)+J283</f>
        <v>0.99979522683678057</v>
      </c>
      <c r="L283">
        <f ca="1">HYPGEOMDIST(L$50,SampleCalc!$B$15,SampleCalc!$B$9*$Z283,SampleCalc!$B$9)+K283</f>
        <v>0.99998904039452363</v>
      </c>
      <c r="M283">
        <f ca="1">HYPGEOMDIST(M$50,SampleCalc!$B$15,SampleCalc!$B$9*$Z283,SampleCalc!$B$9)+L283</f>
        <v>0.99999974101898959</v>
      </c>
      <c r="N283">
        <f ca="1">HYPGEOMDIST(N$50,SampleCalc!$B$15,SampleCalc!$B$9*$Z283,SampleCalc!$B$9)+M283</f>
        <v>0.99999999999999978</v>
      </c>
      <c r="O283" t="e">
        <f ca="1">HYPGEOMDIST(O$50,SampleCalc!$B$15,SampleCalc!$B$9*$Z283,SampleCalc!$B$9)+N283</f>
        <v>#NUM!</v>
      </c>
      <c r="P283" t="e">
        <f ca="1">HYPGEOMDIST(P$50,SampleCalc!$B$15,SampleCalc!$B$9*$Z283,SampleCalc!$B$9)+O283</f>
        <v>#NUM!</v>
      </c>
      <c r="Q283" t="e">
        <f ca="1">HYPGEOMDIST(Q$50,SampleCalc!$B$15,SampleCalc!$B$9*$Z283,SampleCalc!$B$9)+P283</f>
        <v>#NUM!</v>
      </c>
      <c r="R283" t="e">
        <f ca="1">HYPGEOMDIST(R$50,SampleCalc!$B$15,SampleCalc!$B$9*$Z283,SampleCalc!$B$9)+Q283</f>
        <v>#NUM!</v>
      </c>
      <c r="S283" t="e">
        <f ca="1">HYPGEOMDIST(S$50,SampleCalc!$B$15,SampleCalc!$B$9*$Z283,SampleCalc!$B$9)+R283</f>
        <v>#NUM!</v>
      </c>
      <c r="T283" t="e">
        <f ca="1">HYPGEOMDIST(T$50,SampleCalc!$B$15,SampleCalc!$B$9*$Z283,SampleCalc!$B$9)+S283</f>
        <v>#NUM!</v>
      </c>
      <c r="U283" t="e">
        <f ca="1">HYPGEOMDIST(U$50,SampleCalc!$B$15,SampleCalc!$B$9*$Z283,SampleCalc!$B$9)+T283</f>
        <v>#NUM!</v>
      </c>
      <c r="V283" t="e">
        <f ca="1">HYPGEOMDIST(V$50,SampleCalc!$B$15,SampleCalc!$B$9*$Z283,SampleCalc!$B$9)+U283</f>
        <v>#NUM!</v>
      </c>
      <c r="W283" t="e">
        <f ca="1">HYPGEOMDIST(W$50,SampleCalc!$B$15,SampleCalc!$B$9*$Z283,SampleCalc!$B$9)+V283</f>
        <v>#NUM!</v>
      </c>
      <c r="X283" t="e">
        <f ca="1">HYPGEOMDIST(X$50,SampleCalc!$B$15,SampleCalc!$B$9*$Z283,SampleCalc!$B$9)+W283</f>
        <v>#NUM!</v>
      </c>
      <c r="Y283" t="e">
        <f ca="1">HYPGEOMDIST(Y$50,SampleCalc!$B$15,SampleCalc!$B$9*$Z283,SampleCalc!$B$9)+X283</f>
        <v>#NUM!</v>
      </c>
      <c r="Z283">
        <v>1.7999999999999999E-2</v>
      </c>
    </row>
    <row r="284" spans="5:26">
      <c r="E284">
        <f ca="1">HYPGEOMDIST(E$50,SampleCalc!$B$15,SampleCalc!$B$9*$Z284,SampleCalc!$B$9)</f>
        <v>0.17924468128079035</v>
      </c>
      <c r="F284">
        <f ca="1">HYPGEOMDIST(F$50,SampleCalc!$B$15,SampleCalc!$B$9*$Z284,SampleCalc!$B$9)+E284</f>
        <v>0.52599509746126105</v>
      </c>
      <c r="G284">
        <f ca="1">HYPGEOMDIST(G$50,SampleCalc!$B$15,SampleCalc!$B$9*$Z284,SampleCalc!$B$9)+F284</f>
        <v>0.81567980444620281</v>
      </c>
      <c r="H284">
        <f ca="1">HYPGEOMDIST(H$50,SampleCalc!$B$15,SampleCalc!$B$9*$Z284,SampleCalc!$B$9)+G284</f>
        <v>0.95217284934136281</v>
      </c>
      <c r="I284">
        <f ca="1">HYPGEOMDIST(I$50,SampleCalc!$B$15,SampleCalc!$B$9*$Z284,SampleCalc!$B$9)+H284</f>
        <v>0.99184114051401884</v>
      </c>
      <c r="J284">
        <f ca="1">HYPGEOMDIST(J$50,SampleCalc!$B$15,SampleCalc!$B$9*$Z284,SampleCalc!$B$9)+I284</f>
        <v>0.99912190418062108</v>
      </c>
      <c r="K284">
        <f ca="1">HYPGEOMDIST(K$50,SampleCalc!$B$15,SampleCalc!$B$9*$Z284,SampleCalc!$B$9)+J284</f>
        <v>0.99994597071502511</v>
      </c>
      <c r="L284">
        <f ca="1">HYPGEOMDIST(L$50,SampleCalc!$B$15,SampleCalc!$B$9*$Z284,SampleCalc!$B$9)+K284</f>
        <v>0.99999855206071553</v>
      </c>
      <c r="M284">
        <f ca="1">HYPGEOMDIST(M$50,SampleCalc!$B$15,SampleCalc!$B$9*$Z284,SampleCalc!$B$9)+L284</f>
        <v>0.99999999999999967</v>
      </c>
      <c r="N284" t="e">
        <f ca="1">HYPGEOMDIST(N$50,SampleCalc!$B$15,SampleCalc!$B$9*$Z284,SampleCalc!$B$9)+M284</f>
        <v>#NUM!</v>
      </c>
      <c r="O284" t="e">
        <f ca="1">HYPGEOMDIST(O$50,SampleCalc!$B$15,SampleCalc!$B$9*$Z284,SampleCalc!$B$9)+N284</f>
        <v>#NUM!</v>
      </c>
      <c r="P284" t="e">
        <f ca="1">HYPGEOMDIST(P$50,SampleCalc!$B$15,SampleCalc!$B$9*$Z284,SampleCalc!$B$9)+O284</f>
        <v>#NUM!</v>
      </c>
      <c r="Q284" t="e">
        <f ca="1">HYPGEOMDIST(Q$50,SampleCalc!$B$15,SampleCalc!$B$9*$Z284,SampleCalc!$B$9)+P284</f>
        <v>#NUM!</v>
      </c>
      <c r="R284" t="e">
        <f ca="1">HYPGEOMDIST(R$50,SampleCalc!$B$15,SampleCalc!$B$9*$Z284,SampleCalc!$B$9)+Q284</f>
        <v>#NUM!</v>
      </c>
      <c r="S284" t="e">
        <f ca="1">HYPGEOMDIST(S$50,SampleCalc!$B$15,SampleCalc!$B$9*$Z284,SampleCalc!$B$9)+R284</f>
        <v>#NUM!</v>
      </c>
      <c r="T284" t="e">
        <f ca="1">HYPGEOMDIST(T$50,SampleCalc!$B$15,SampleCalc!$B$9*$Z284,SampleCalc!$B$9)+S284</f>
        <v>#NUM!</v>
      </c>
      <c r="U284" t="e">
        <f ca="1">HYPGEOMDIST(U$50,SampleCalc!$B$15,SampleCalc!$B$9*$Z284,SampleCalc!$B$9)+T284</f>
        <v>#NUM!</v>
      </c>
      <c r="V284" t="e">
        <f ca="1">HYPGEOMDIST(V$50,SampleCalc!$B$15,SampleCalc!$B$9*$Z284,SampleCalc!$B$9)+U284</f>
        <v>#NUM!</v>
      </c>
      <c r="W284" t="e">
        <f ca="1">HYPGEOMDIST(W$50,SampleCalc!$B$15,SampleCalc!$B$9*$Z284,SampleCalc!$B$9)+V284</f>
        <v>#NUM!</v>
      </c>
      <c r="X284" t="e">
        <f ca="1">HYPGEOMDIST(X$50,SampleCalc!$B$15,SampleCalc!$B$9*$Z284,SampleCalc!$B$9)+W284</f>
        <v>#NUM!</v>
      </c>
      <c r="Y284" t="e">
        <f ca="1">HYPGEOMDIST(Y$50,SampleCalc!$B$15,SampleCalc!$B$9*$Z284,SampleCalc!$B$9)+X284</f>
        <v>#NUM!</v>
      </c>
      <c r="Z284">
        <v>1.7000000000000001E-2</v>
      </c>
    </row>
    <row r="285" spans="5:26">
      <c r="E285">
        <f ca="1">HYPGEOMDIST(E$50,SampleCalc!$B$15,SampleCalc!$B$9*$Z285,SampleCalc!$B$9)</f>
        <v>0.17924468128079035</v>
      </c>
      <c r="F285">
        <f ca="1">HYPGEOMDIST(F$50,SampleCalc!$B$15,SampleCalc!$B$9*$Z285,SampleCalc!$B$9)+E285</f>
        <v>0.52599509746126105</v>
      </c>
      <c r="G285">
        <f ca="1">HYPGEOMDIST(G$50,SampleCalc!$B$15,SampleCalc!$B$9*$Z285,SampleCalc!$B$9)+F285</f>
        <v>0.81567980444620281</v>
      </c>
      <c r="H285">
        <f ca="1">HYPGEOMDIST(H$50,SampleCalc!$B$15,SampleCalc!$B$9*$Z285,SampleCalc!$B$9)+G285</f>
        <v>0.95217284934136281</v>
      </c>
      <c r="I285">
        <f ca="1">HYPGEOMDIST(I$50,SampleCalc!$B$15,SampleCalc!$B$9*$Z285,SampleCalc!$B$9)+H285</f>
        <v>0.99184114051401884</v>
      </c>
      <c r="J285">
        <f ca="1">HYPGEOMDIST(J$50,SampleCalc!$B$15,SampleCalc!$B$9*$Z285,SampleCalc!$B$9)+I285</f>
        <v>0.99912190418062108</v>
      </c>
      <c r="K285">
        <f ca="1">HYPGEOMDIST(K$50,SampleCalc!$B$15,SampleCalc!$B$9*$Z285,SampleCalc!$B$9)+J285</f>
        <v>0.99994597071502511</v>
      </c>
      <c r="L285">
        <f ca="1">HYPGEOMDIST(L$50,SampleCalc!$B$15,SampleCalc!$B$9*$Z285,SampleCalc!$B$9)+K285</f>
        <v>0.99999855206071553</v>
      </c>
      <c r="M285">
        <f ca="1">HYPGEOMDIST(M$50,SampleCalc!$B$15,SampleCalc!$B$9*$Z285,SampleCalc!$B$9)+L285</f>
        <v>0.99999999999999967</v>
      </c>
      <c r="N285" t="e">
        <f ca="1">HYPGEOMDIST(N$50,SampleCalc!$B$15,SampleCalc!$B$9*$Z285,SampleCalc!$B$9)+M285</f>
        <v>#NUM!</v>
      </c>
      <c r="O285" t="e">
        <f ca="1">HYPGEOMDIST(O$50,SampleCalc!$B$15,SampleCalc!$B$9*$Z285,SampleCalc!$B$9)+N285</f>
        <v>#NUM!</v>
      </c>
      <c r="P285" t="e">
        <f ca="1">HYPGEOMDIST(P$50,SampleCalc!$B$15,SampleCalc!$B$9*$Z285,SampleCalc!$B$9)+O285</f>
        <v>#NUM!</v>
      </c>
      <c r="Q285" t="e">
        <f ca="1">HYPGEOMDIST(Q$50,SampleCalc!$B$15,SampleCalc!$B$9*$Z285,SampleCalc!$B$9)+P285</f>
        <v>#NUM!</v>
      </c>
      <c r="R285" t="e">
        <f ca="1">HYPGEOMDIST(R$50,SampleCalc!$B$15,SampleCalc!$B$9*$Z285,SampleCalc!$B$9)+Q285</f>
        <v>#NUM!</v>
      </c>
      <c r="S285" t="e">
        <f ca="1">HYPGEOMDIST(S$50,SampleCalc!$B$15,SampleCalc!$B$9*$Z285,SampleCalc!$B$9)+R285</f>
        <v>#NUM!</v>
      </c>
      <c r="T285" t="e">
        <f ca="1">HYPGEOMDIST(T$50,SampleCalc!$B$15,SampleCalc!$B$9*$Z285,SampleCalc!$B$9)+S285</f>
        <v>#NUM!</v>
      </c>
      <c r="U285" t="e">
        <f ca="1">HYPGEOMDIST(U$50,SampleCalc!$B$15,SampleCalc!$B$9*$Z285,SampleCalc!$B$9)+T285</f>
        <v>#NUM!</v>
      </c>
      <c r="V285" t="e">
        <f ca="1">HYPGEOMDIST(V$50,SampleCalc!$B$15,SampleCalc!$B$9*$Z285,SampleCalc!$B$9)+U285</f>
        <v>#NUM!</v>
      </c>
      <c r="W285" t="e">
        <f ca="1">HYPGEOMDIST(W$50,SampleCalc!$B$15,SampleCalc!$B$9*$Z285,SampleCalc!$B$9)+V285</f>
        <v>#NUM!</v>
      </c>
      <c r="X285" t="e">
        <f ca="1">HYPGEOMDIST(X$50,SampleCalc!$B$15,SampleCalc!$B$9*$Z285,SampleCalc!$B$9)+W285</f>
        <v>#NUM!</v>
      </c>
      <c r="Y285" t="e">
        <f ca="1">HYPGEOMDIST(Y$50,SampleCalc!$B$15,SampleCalc!$B$9*$Z285,SampleCalc!$B$9)+X285</f>
        <v>#NUM!</v>
      </c>
      <c r="Z285">
        <v>1.6E-2</v>
      </c>
    </row>
    <row r="286" spans="5:26">
      <c r="E286">
        <f ca="1">HYPGEOMDIST(E$50,SampleCalc!$B$15,SampleCalc!$B$9*$Z286,SampleCalc!$B$9)</f>
        <v>0.2225884833033491</v>
      </c>
      <c r="F286">
        <f ca="1">HYPGEOMDIST(F$50,SampleCalc!$B$15,SampleCalc!$B$9*$Z286,SampleCalc!$B$9)+E286</f>
        <v>0.59841627420749721</v>
      </c>
      <c r="G286">
        <f ca="1">HYPGEOMDIST(G$50,SampleCalc!$B$15,SampleCalc!$B$9*$Z286,SampleCalc!$B$9)+F286</f>
        <v>0.86686469628188778</v>
      </c>
      <c r="H286">
        <f ca="1">HYPGEOMDIST(H$50,SampleCalc!$B$15,SampleCalc!$B$9*$Z286,SampleCalc!$B$9)+G286</f>
        <v>0.97200699492769116</v>
      </c>
      <c r="I286">
        <f ca="1">HYPGEOMDIST(I$50,SampleCalc!$B$15,SampleCalc!$B$9*$Z286,SampleCalc!$B$9)+H286</f>
        <v>0.99639161780564556</v>
      </c>
      <c r="J286">
        <f ca="1">HYPGEOMDIST(J$50,SampleCalc!$B$15,SampleCalc!$B$9*$Z286,SampleCalc!$B$9)+I286</f>
        <v>0.99973995408142435</v>
      </c>
      <c r="K286">
        <f ca="1">HYPGEOMDIST(K$50,SampleCalc!$B$15,SampleCalc!$B$9*$Z286,SampleCalc!$B$9)+J286</f>
        <v>0.9999919793925045</v>
      </c>
      <c r="L286">
        <f ca="1">HYPGEOMDIST(L$50,SampleCalc!$B$15,SampleCalc!$B$9*$Z286,SampleCalc!$B$9)+K286</f>
        <v>1</v>
      </c>
      <c r="M286" t="e">
        <f ca="1">HYPGEOMDIST(M$50,SampleCalc!$B$15,SampleCalc!$B$9*$Z286,SampleCalc!$B$9)+L286</f>
        <v>#NUM!</v>
      </c>
      <c r="N286" t="e">
        <f ca="1">HYPGEOMDIST(N$50,SampleCalc!$B$15,SampleCalc!$B$9*$Z286,SampleCalc!$B$9)+M286</f>
        <v>#NUM!</v>
      </c>
      <c r="O286" t="e">
        <f ca="1">HYPGEOMDIST(O$50,SampleCalc!$B$15,SampleCalc!$B$9*$Z286,SampleCalc!$B$9)+N286</f>
        <v>#NUM!</v>
      </c>
      <c r="P286" t="e">
        <f ca="1">HYPGEOMDIST(P$50,SampleCalc!$B$15,SampleCalc!$B$9*$Z286,SampleCalc!$B$9)+O286</f>
        <v>#NUM!</v>
      </c>
      <c r="Q286" t="e">
        <f ca="1">HYPGEOMDIST(Q$50,SampleCalc!$B$15,SampleCalc!$B$9*$Z286,SampleCalc!$B$9)+P286</f>
        <v>#NUM!</v>
      </c>
      <c r="R286" t="e">
        <f ca="1">HYPGEOMDIST(R$50,SampleCalc!$B$15,SampleCalc!$B$9*$Z286,SampleCalc!$B$9)+Q286</f>
        <v>#NUM!</v>
      </c>
      <c r="S286" t="e">
        <f ca="1">HYPGEOMDIST(S$50,SampleCalc!$B$15,SampleCalc!$B$9*$Z286,SampleCalc!$B$9)+R286</f>
        <v>#NUM!</v>
      </c>
      <c r="T286" t="e">
        <f ca="1">HYPGEOMDIST(T$50,SampleCalc!$B$15,SampleCalc!$B$9*$Z286,SampleCalc!$B$9)+S286</f>
        <v>#NUM!</v>
      </c>
      <c r="U286" t="e">
        <f ca="1">HYPGEOMDIST(U$50,SampleCalc!$B$15,SampleCalc!$B$9*$Z286,SampleCalc!$B$9)+T286</f>
        <v>#NUM!</v>
      </c>
      <c r="V286" t="e">
        <f ca="1">HYPGEOMDIST(V$50,SampleCalc!$B$15,SampleCalc!$B$9*$Z286,SampleCalc!$B$9)+U286</f>
        <v>#NUM!</v>
      </c>
      <c r="W286" t="e">
        <f ca="1">HYPGEOMDIST(W$50,SampleCalc!$B$15,SampleCalc!$B$9*$Z286,SampleCalc!$B$9)+V286</f>
        <v>#NUM!</v>
      </c>
      <c r="X286" t="e">
        <f ca="1">HYPGEOMDIST(X$50,SampleCalc!$B$15,SampleCalc!$B$9*$Z286,SampleCalc!$B$9)+W286</f>
        <v>#NUM!</v>
      </c>
      <c r="Y286" t="e">
        <f ca="1">HYPGEOMDIST(Y$50,SampleCalc!$B$15,SampleCalc!$B$9*$Z286,SampleCalc!$B$9)+X286</f>
        <v>#NUM!</v>
      </c>
      <c r="Z286">
        <v>1.4999999999999999E-2</v>
      </c>
    </row>
    <row r="287" spans="5:26">
      <c r="E287">
        <f ca="1">HYPGEOMDIST(E$50,SampleCalc!$B$15,SampleCalc!$B$9*$Z287,SampleCalc!$B$9)</f>
        <v>0.2225884833033491</v>
      </c>
      <c r="F287">
        <f ca="1">HYPGEOMDIST(F$50,SampleCalc!$B$15,SampleCalc!$B$9*$Z287,SampleCalc!$B$9)+E287</f>
        <v>0.59841627420749721</v>
      </c>
      <c r="G287">
        <f ca="1">HYPGEOMDIST(G$50,SampleCalc!$B$15,SampleCalc!$B$9*$Z287,SampleCalc!$B$9)+F287</f>
        <v>0.86686469628188778</v>
      </c>
      <c r="H287">
        <f ca="1">HYPGEOMDIST(H$50,SampleCalc!$B$15,SampleCalc!$B$9*$Z287,SampleCalc!$B$9)+G287</f>
        <v>0.97200699492769116</v>
      </c>
      <c r="I287">
        <f ca="1">HYPGEOMDIST(I$50,SampleCalc!$B$15,SampleCalc!$B$9*$Z287,SampleCalc!$B$9)+H287</f>
        <v>0.99639161780564556</v>
      </c>
      <c r="J287">
        <f ca="1">HYPGEOMDIST(J$50,SampleCalc!$B$15,SampleCalc!$B$9*$Z287,SampleCalc!$B$9)+I287</f>
        <v>0.99973995408142435</v>
      </c>
      <c r="K287">
        <f ca="1">HYPGEOMDIST(K$50,SampleCalc!$B$15,SampleCalc!$B$9*$Z287,SampleCalc!$B$9)+J287</f>
        <v>0.9999919793925045</v>
      </c>
      <c r="L287">
        <f ca="1">HYPGEOMDIST(L$50,SampleCalc!$B$15,SampleCalc!$B$9*$Z287,SampleCalc!$B$9)+K287</f>
        <v>1</v>
      </c>
      <c r="M287" t="e">
        <f ca="1">HYPGEOMDIST(M$50,SampleCalc!$B$15,SampleCalc!$B$9*$Z287,SampleCalc!$B$9)+L287</f>
        <v>#NUM!</v>
      </c>
      <c r="N287" t="e">
        <f ca="1">HYPGEOMDIST(N$50,SampleCalc!$B$15,SampleCalc!$B$9*$Z287,SampleCalc!$B$9)+M287</f>
        <v>#NUM!</v>
      </c>
      <c r="O287" t="e">
        <f ca="1">HYPGEOMDIST(O$50,SampleCalc!$B$15,SampleCalc!$B$9*$Z287,SampleCalc!$B$9)+N287</f>
        <v>#NUM!</v>
      </c>
      <c r="P287" t="e">
        <f ca="1">HYPGEOMDIST(P$50,SampleCalc!$B$15,SampleCalc!$B$9*$Z287,SampleCalc!$B$9)+O287</f>
        <v>#NUM!</v>
      </c>
      <c r="Q287" t="e">
        <f ca="1">HYPGEOMDIST(Q$50,SampleCalc!$B$15,SampleCalc!$B$9*$Z287,SampleCalc!$B$9)+P287</f>
        <v>#NUM!</v>
      </c>
      <c r="R287" t="e">
        <f ca="1">HYPGEOMDIST(R$50,SampleCalc!$B$15,SampleCalc!$B$9*$Z287,SampleCalc!$B$9)+Q287</f>
        <v>#NUM!</v>
      </c>
      <c r="S287" t="e">
        <f ca="1">HYPGEOMDIST(S$50,SampleCalc!$B$15,SampleCalc!$B$9*$Z287,SampleCalc!$B$9)+R287</f>
        <v>#NUM!</v>
      </c>
      <c r="T287" t="e">
        <f ca="1">HYPGEOMDIST(T$50,SampleCalc!$B$15,SampleCalc!$B$9*$Z287,SampleCalc!$B$9)+S287</f>
        <v>#NUM!</v>
      </c>
      <c r="U287" t="e">
        <f ca="1">HYPGEOMDIST(U$50,SampleCalc!$B$15,SampleCalc!$B$9*$Z287,SampleCalc!$B$9)+T287</f>
        <v>#NUM!</v>
      </c>
      <c r="V287" t="e">
        <f ca="1">HYPGEOMDIST(V$50,SampleCalc!$B$15,SampleCalc!$B$9*$Z287,SampleCalc!$B$9)+U287</f>
        <v>#NUM!</v>
      </c>
      <c r="W287" t="e">
        <f ca="1">HYPGEOMDIST(W$50,SampleCalc!$B$15,SampleCalc!$B$9*$Z287,SampleCalc!$B$9)+V287</f>
        <v>#NUM!</v>
      </c>
      <c r="X287" t="e">
        <f ca="1">HYPGEOMDIST(X$50,SampleCalc!$B$15,SampleCalc!$B$9*$Z287,SampleCalc!$B$9)+W287</f>
        <v>#NUM!</v>
      </c>
      <c r="Y287" t="e">
        <f ca="1">HYPGEOMDIST(Y$50,SampleCalc!$B$15,SampleCalc!$B$9*$Z287,SampleCalc!$B$9)+X287</f>
        <v>#NUM!</v>
      </c>
      <c r="Z287">
        <v>1.4E-2</v>
      </c>
    </row>
    <row r="288" spans="5:26">
      <c r="E288">
        <f ca="1">HYPGEOMDIST(E$50,SampleCalc!$B$15,SampleCalc!$B$9*$Z288,SampleCalc!$B$9)</f>
        <v>0.27627816771822794</v>
      </c>
      <c r="F288">
        <f ca="1">HYPGEOMDIST(F$50,SampleCalc!$B$15,SampleCalc!$B$9*$Z288,SampleCalc!$B$9)+E288</f>
        <v>0.67511582337160836</v>
      </c>
      <c r="G288">
        <f ca="1">HYPGEOMDIST(G$50,SampleCalc!$B$15,SampleCalc!$B$9*$Z288,SampleCalc!$B$9)+F288</f>
        <v>0.91192568141580366</v>
      </c>
      <c r="H288">
        <f ca="1">HYPGEOMDIST(H$50,SampleCalc!$B$15,SampleCalc!$B$9*$Z288,SampleCalc!$B$9)+G288</f>
        <v>0.9859410651436652</v>
      </c>
      <c r="I288">
        <f ca="1">HYPGEOMDIST(I$50,SampleCalc!$B$15,SampleCalc!$B$9*$Z288,SampleCalc!$B$9)+H288</f>
        <v>0.99878328657405901</v>
      </c>
      <c r="J288">
        <f ca="1">HYPGEOMDIST(J$50,SampleCalc!$B$15,SampleCalc!$B$9*$Z288,SampleCalc!$B$9)+I288</f>
        <v>0.99995597577663597</v>
      </c>
      <c r="K288">
        <f ca="1">HYPGEOMDIST(K$50,SampleCalc!$B$15,SampleCalc!$B$9*$Z288,SampleCalc!$B$9)+J288</f>
        <v>1</v>
      </c>
      <c r="L288" t="e">
        <f ca="1">HYPGEOMDIST(L$50,SampleCalc!$B$15,SampleCalc!$B$9*$Z288,SampleCalc!$B$9)+K288</f>
        <v>#NUM!</v>
      </c>
      <c r="M288" t="e">
        <f ca="1">HYPGEOMDIST(M$50,SampleCalc!$B$15,SampleCalc!$B$9*$Z288,SampleCalc!$B$9)+L288</f>
        <v>#NUM!</v>
      </c>
      <c r="N288" t="e">
        <f ca="1">HYPGEOMDIST(N$50,SampleCalc!$B$15,SampleCalc!$B$9*$Z288,SampleCalc!$B$9)+M288</f>
        <v>#NUM!</v>
      </c>
      <c r="O288" t="e">
        <f ca="1">HYPGEOMDIST(O$50,SampleCalc!$B$15,SampleCalc!$B$9*$Z288,SampleCalc!$B$9)+N288</f>
        <v>#NUM!</v>
      </c>
      <c r="P288" t="e">
        <f ca="1">HYPGEOMDIST(P$50,SampleCalc!$B$15,SampleCalc!$B$9*$Z288,SampleCalc!$B$9)+O288</f>
        <v>#NUM!</v>
      </c>
      <c r="Q288" t="e">
        <f ca="1">HYPGEOMDIST(Q$50,SampleCalc!$B$15,SampleCalc!$B$9*$Z288,SampleCalc!$B$9)+P288</f>
        <v>#NUM!</v>
      </c>
      <c r="R288" t="e">
        <f ca="1">HYPGEOMDIST(R$50,SampleCalc!$B$15,SampleCalc!$B$9*$Z288,SampleCalc!$B$9)+Q288</f>
        <v>#NUM!</v>
      </c>
      <c r="S288" t="e">
        <f ca="1">HYPGEOMDIST(S$50,SampleCalc!$B$15,SampleCalc!$B$9*$Z288,SampleCalc!$B$9)+R288</f>
        <v>#NUM!</v>
      </c>
      <c r="T288" t="e">
        <f ca="1">HYPGEOMDIST(T$50,SampleCalc!$B$15,SampleCalc!$B$9*$Z288,SampleCalc!$B$9)+S288</f>
        <v>#NUM!</v>
      </c>
      <c r="U288" t="e">
        <f ca="1">HYPGEOMDIST(U$50,SampleCalc!$B$15,SampleCalc!$B$9*$Z288,SampleCalc!$B$9)+T288</f>
        <v>#NUM!</v>
      </c>
      <c r="V288" t="e">
        <f ca="1">HYPGEOMDIST(V$50,SampleCalc!$B$15,SampleCalc!$B$9*$Z288,SampleCalc!$B$9)+U288</f>
        <v>#NUM!</v>
      </c>
      <c r="W288" t="e">
        <f ca="1">HYPGEOMDIST(W$50,SampleCalc!$B$15,SampleCalc!$B$9*$Z288,SampleCalc!$B$9)+V288</f>
        <v>#NUM!</v>
      </c>
      <c r="X288" t="e">
        <f ca="1">HYPGEOMDIST(X$50,SampleCalc!$B$15,SampleCalc!$B$9*$Z288,SampleCalc!$B$9)+W288</f>
        <v>#NUM!</v>
      </c>
      <c r="Y288" t="e">
        <f ca="1">HYPGEOMDIST(Y$50,SampleCalc!$B$15,SampleCalc!$B$9*$Z288,SampleCalc!$B$9)+X288</f>
        <v>#NUM!</v>
      </c>
      <c r="Z288">
        <v>1.2999999999999999E-2</v>
      </c>
    </row>
    <row r="289" spans="5:26">
      <c r="E289">
        <f ca="1">HYPGEOMDIST(E$50,SampleCalc!$B$15,SampleCalc!$B$9*$Z289,SampleCalc!$B$9)</f>
        <v>0.27627816771822794</v>
      </c>
      <c r="F289">
        <f ca="1">HYPGEOMDIST(F$50,SampleCalc!$B$15,SampleCalc!$B$9*$Z289,SampleCalc!$B$9)+E289</f>
        <v>0.67511582337160836</v>
      </c>
      <c r="G289">
        <f ca="1">HYPGEOMDIST(G$50,SampleCalc!$B$15,SampleCalc!$B$9*$Z289,SampleCalc!$B$9)+F289</f>
        <v>0.91192568141580366</v>
      </c>
      <c r="H289">
        <f ca="1">HYPGEOMDIST(H$50,SampleCalc!$B$15,SampleCalc!$B$9*$Z289,SampleCalc!$B$9)+G289</f>
        <v>0.9859410651436652</v>
      </c>
      <c r="I289">
        <f ca="1">HYPGEOMDIST(I$50,SampleCalc!$B$15,SampleCalc!$B$9*$Z289,SampleCalc!$B$9)+H289</f>
        <v>0.99878328657405901</v>
      </c>
      <c r="J289">
        <f ca="1">HYPGEOMDIST(J$50,SampleCalc!$B$15,SampleCalc!$B$9*$Z289,SampleCalc!$B$9)+I289</f>
        <v>0.99995597577663597</v>
      </c>
      <c r="K289">
        <f ca="1">HYPGEOMDIST(K$50,SampleCalc!$B$15,SampleCalc!$B$9*$Z289,SampleCalc!$B$9)+J289</f>
        <v>1</v>
      </c>
      <c r="L289" t="e">
        <f ca="1">HYPGEOMDIST(L$50,SampleCalc!$B$15,SampleCalc!$B$9*$Z289,SampleCalc!$B$9)+K289</f>
        <v>#NUM!</v>
      </c>
      <c r="M289" t="e">
        <f ca="1">HYPGEOMDIST(M$50,SampleCalc!$B$15,SampleCalc!$B$9*$Z289,SampleCalc!$B$9)+L289</f>
        <v>#NUM!</v>
      </c>
      <c r="N289" t="e">
        <f ca="1">HYPGEOMDIST(N$50,SampleCalc!$B$15,SampleCalc!$B$9*$Z289,SampleCalc!$B$9)+M289</f>
        <v>#NUM!</v>
      </c>
      <c r="O289" t="e">
        <f ca="1">HYPGEOMDIST(O$50,SampleCalc!$B$15,SampleCalc!$B$9*$Z289,SampleCalc!$B$9)+N289</f>
        <v>#NUM!</v>
      </c>
      <c r="P289" t="e">
        <f ca="1">HYPGEOMDIST(P$50,SampleCalc!$B$15,SampleCalc!$B$9*$Z289,SampleCalc!$B$9)+O289</f>
        <v>#NUM!</v>
      </c>
      <c r="Q289" t="e">
        <f ca="1">HYPGEOMDIST(Q$50,SampleCalc!$B$15,SampleCalc!$B$9*$Z289,SampleCalc!$B$9)+P289</f>
        <v>#NUM!</v>
      </c>
      <c r="R289" t="e">
        <f ca="1">HYPGEOMDIST(R$50,SampleCalc!$B$15,SampleCalc!$B$9*$Z289,SampleCalc!$B$9)+Q289</f>
        <v>#NUM!</v>
      </c>
      <c r="S289" t="e">
        <f ca="1">HYPGEOMDIST(S$50,SampleCalc!$B$15,SampleCalc!$B$9*$Z289,SampleCalc!$B$9)+R289</f>
        <v>#NUM!</v>
      </c>
      <c r="T289" t="e">
        <f ca="1">HYPGEOMDIST(T$50,SampleCalc!$B$15,SampleCalc!$B$9*$Z289,SampleCalc!$B$9)+S289</f>
        <v>#NUM!</v>
      </c>
      <c r="U289" t="e">
        <f ca="1">HYPGEOMDIST(U$50,SampleCalc!$B$15,SampleCalc!$B$9*$Z289,SampleCalc!$B$9)+T289</f>
        <v>#NUM!</v>
      </c>
      <c r="V289" t="e">
        <f ca="1">HYPGEOMDIST(V$50,SampleCalc!$B$15,SampleCalc!$B$9*$Z289,SampleCalc!$B$9)+U289</f>
        <v>#NUM!</v>
      </c>
      <c r="W289" t="e">
        <f ca="1">HYPGEOMDIST(W$50,SampleCalc!$B$15,SampleCalc!$B$9*$Z289,SampleCalc!$B$9)+V289</f>
        <v>#NUM!</v>
      </c>
      <c r="X289" t="e">
        <f ca="1">HYPGEOMDIST(X$50,SampleCalc!$B$15,SampleCalc!$B$9*$Z289,SampleCalc!$B$9)+W289</f>
        <v>#NUM!</v>
      </c>
      <c r="Y289" t="e">
        <f ca="1">HYPGEOMDIST(Y$50,SampleCalc!$B$15,SampleCalc!$B$9*$Z289,SampleCalc!$B$9)+X289</f>
        <v>#NUM!</v>
      </c>
      <c r="Z289">
        <v>1.2E-2</v>
      </c>
    </row>
    <row r="290" spans="5:26">
      <c r="E290">
        <f ca="1">HYPGEOMDIST(E$50,SampleCalc!$B$15,SampleCalc!$B$9*$Z290,SampleCalc!$B$9)</f>
        <v>0.34275111032712374</v>
      </c>
      <c r="F290">
        <f ca="1">HYPGEOMDIST(F$50,SampleCalc!$B$15,SampleCalc!$B$9*$Z290,SampleCalc!$B$9)+E290</f>
        <v>0.75405244271967375</v>
      </c>
      <c r="G290">
        <f ca="1">HYPGEOMDIST(G$50,SampleCalc!$B$15,SampleCalc!$B$9*$Z290,SampleCalc!$B$9)+F290</f>
        <v>0.94893337327973459</v>
      </c>
      <c r="H290">
        <f ca="1">HYPGEOMDIST(H$50,SampleCalc!$B$15,SampleCalc!$B$9*$Z290,SampleCalc!$B$9)+G290</f>
        <v>0.9945025460972613</v>
      </c>
      <c r="I290">
        <f ca="1">HYPGEOMDIST(I$50,SampleCalc!$B$15,SampleCalc!$B$9*$Z290,SampleCalc!$B$9)+H290</f>
        <v>0.9997605275762067</v>
      </c>
      <c r="J290">
        <f ca="1">HYPGEOMDIST(J$50,SampleCalc!$B$15,SampleCalc!$B$9*$Z290,SampleCalc!$B$9)+I290</f>
        <v>1.0000000000000002</v>
      </c>
      <c r="K290" t="e">
        <f ca="1">HYPGEOMDIST(K$50,SampleCalc!$B$15,SampleCalc!$B$9*$Z290,SampleCalc!$B$9)+J290</f>
        <v>#NUM!</v>
      </c>
      <c r="L290" t="e">
        <f ca="1">HYPGEOMDIST(L$50,SampleCalc!$B$15,SampleCalc!$B$9*$Z290,SampleCalc!$B$9)+K290</f>
        <v>#NUM!</v>
      </c>
      <c r="M290" t="e">
        <f ca="1">HYPGEOMDIST(M$50,SampleCalc!$B$15,SampleCalc!$B$9*$Z290,SampleCalc!$B$9)+L290</f>
        <v>#NUM!</v>
      </c>
      <c r="N290" t="e">
        <f ca="1">HYPGEOMDIST(N$50,SampleCalc!$B$15,SampleCalc!$B$9*$Z290,SampleCalc!$B$9)+M290</f>
        <v>#NUM!</v>
      </c>
      <c r="O290" t="e">
        <f ca="1">HYPGEOMDIST(O$50,SampleCalc!$B$15,SampleCalc!$B$9*$Z290,SampleCalc!$B$9)+N290</f>
        <v>#NUM!</v>
      </c>
      <c r="P290" t="e">
        <f ca="1">HYPGEOMDIST(P$50,SampleCalc!$B$15,SampleCalc!$B$9*$Z290,SampleCalc!$B$9)+O290</f>
        <v>#NUM!</v>
      </c>
      <c r="Q290" t="e">
        <f ca="1">HYPGEOMDIST(Q$50,SampleCalc!$B$15,SampleCalc!$B$9*$Z290,SampleCalc!$B$9)+P290</f>
        <v>#NUM!</v>
      </c>
      <c r="R290" t="e">
        <f ca="1">HYPGEOMDIST(R$50,SampleCalc!$B$15,SampleCalc!$B$9*$Z290,SampleCalc!$B$9)+Q290</f>
        <v>#NUM!</v>
      </c>
      <c r="S290" t="e">
        <f ca="1">HYPGEOMDIST(S$50,SampleCalc!$B$15,SampleCalc!$B$9*$Z290,SampleCalc!$B$9)+R290</f>
        <v>#NUM!</v>
      </c>
      <c r="T290" t="e">
        <f ca="1">HYPGEOMDIST(T$50,SampleCalc!$B$15,SampleCalc!$B$9*$Z290,SampleCalc!$B$9)+S290</f>
        <v>#NUM!</v>
      </c>
      <c r="U290" t="e">
        <f ca="1">HYPGEOMDIST(U$50,SampleCalc!$B$15,SampleCalc!$B$9*$Z290,SampleCalc!$B$9)+T290</f>
        <v>#NUM!</v>
      </c>
      <c r="V290" t="e">
        <f ca="1">HYPGEOMDIST(V$50,SampleCalc!$B$15,SampleCalc!$B$9*$Z290,SampleCalc!$B$9)+U290</f>
        <v>#NUM!</v>
      </c>
      <c r="W290" t="e">
        <f ca="1">HYPGEOMDIST(W$50,SampleCalc!$B$15,SampleCalc!$B$9*$Z290,SampleCalc!$B$9)+V290</f>
        <v>#NUM!</v>
      </c>
      <c r="X290" t="e">
        <f ca="1">HYPGEOMDIST(X$50,SampleCalc!$B$15,SampleCalc!$B$9*$Z290,SampleCalc!$B$9)+W290</f>
        <v>#NUM!</v>
      </c>
      <c r="Y290" t="e">
        <f ca="1">HYPGEOMDIST(Y$50,SampleCalc!$B$15,SampleCalc!$B$9*$Z290,SampleCalc!$B$9)+X290</f>
        <v>#NUM!</v>
      </c>
      <c r="Z290">
        <v>1.0999999999999999E-2</v>
      </c>
    </row>
    <row r="291" spans="5:26">
      <c r="E291">
        <f ca="1">HYPGEOMDIST(E$50,SampleCalc!$B$15,SampleCalc!$B$9*$Z291,SampleCalc!$B$9)</f>
        <v>0.34275111032712374</v>
      </c>
      <c r="F291">
        <f ca="1">HYPGEOMDIST(F$50,SampleCalc!$B$15,SampleCalc!$B$9*$Z291,SampleCalc!$B$9)+E291</f>
        <v>0.75405244271967375</v>
      </c>
      <c r="G291">
        <f ca="1">HYPGEOMDIST(G$50,SampleCalc!$B$15,SampleCalc!$B$9*$Z291,SampleCalc!$B$9)+F291</f>
        <v>0.94893337327973459</v>
      </c>
      <c r="H291">
        <f ca="1">HYPGEOMDIST(H$50,SampleCalc!$B$15,SampleCalc!$B$9*$Z291,SampleCalc!$B$9)+G291</f>
        <v>0.9945025460972613</v>
      </c>
      <c r="I291">
        <f ca="1">HYPGEOMDIST(I$50,SampleCalc!$B$15,SampleCalc!$B$9*$Z291,SampleCalc!$B$9)+H291</f>
        <v>0.9997605275762067</v>
      </c>
      <c r="J291">
        <f ca="1">HYPGEOMDIST(J$50,SampleCalc!$B$15,SampleCalc!$B$9*$Z291,SampleCalc!$B$9)+I291</f>
        <v>1.0000000000000002</v>
      </c>
      <c r="K291" t="e">
        <f ca="1">HYPGEOMDIST(K$50,SampleCalc!$B$15,SampleCalc!$B$9*$Z291,SampleCalc!$B$9)+J291</f>
        <v>#NUM!</v>
      </c>
      <c r="L291" t="e">
        <f ca="1">HYPGEOMDIST(L$50,SampleCalc!$B$15,SampleCalc!$B$9*$Z291,SampleCalc!$B$9)+K291</f>
        <v>#NUM!</v>
      </c>
      <c r="M291" t="e">
        <f ca="1">HYPGEOMDIST(M$50,SampleCalc!$B$15,SampleCalc!$B$9*$Z291,SampleCalc!$B$9)+L291</f>
        <v>#NUM!</v>
      </c>
      <c r="N291" t="e">
        <f ca="1">HYPGEOMDIST(N$50,SampleCalc!$B$15,SampleCalc!$B$9*$Z291,SampleCalc!$B$9)+M291</f>
        <v>#NUM!</v>
      </c>
      <c r="O291" t="e">
        <f ca="1">HYPGEOMDIST(O$50,SampleCalc!$B$15,SampleCalc!$B$9*$Z291,SampleCalc!$B$9)+N291</f>
        <v>#NUM!</v>
      </c>
      <c r="P291" t="e">
        <f ca="1">HYPGEOMDIST(P$50,SampleCalc!$B$15,SampleCalc!$B$9*$Z291,SampleCalc!$B$9)+O291</f>
        <v>#NUM!</v>
      </c>
      <c r="Q291" t="e">
        <f ca="1">HYPGEOMDIST(Q$50,SampleCalc!$B$15,SampleCalc!$B$9*$Z291,SampleCalc!$B$9)+P291</f>
        <v>#NUM!</v>
      </c>
      <c r="R291" t="e">
        <f ca="1">HYPGEOMDIST(R$50,SampleCalc!$B$15,SampleCalc!$B$9*$Z291,SampleCalc!$B$9)+Q291</f>
        <v>#NUM!</v>
      </c>
      <c r="S291" t="e">
        <f ca="1">HYPGEOMDIST(S$50,SampleCalc!$B$15,SampleCalc!$B$9*$Z291,SampleCalc!$B$9)+R291</f>
        <v>#NUM!</v>
      </c>
      <c r="T291" t="e">
        <f ca="1">HYPGEOMDIST(T$50,SampleCalc!$B$15,SampleCalc!$B$9*$Z291,SampleCalc!$B$9)+S291</f>
        <v>#NUM!</v>
      </c>
      <c r="U291" t="e">
        <f ca="1">HYPGEOMDIST(U$50,SampleCalc!$B$15,SampleCalc!$B$9*$Z291,SampleCalc!$B$9)+T291</f>
        <v>#NUM!</v>
      </c>
      <c r="V291" t="e">
        <f ca="1">HYPGEOMDIST(V$50,SampleCalc!$B$15,SampleCalc!$B$9*$Z291,SampleCalc!$B$9)+U291</f>
        <v>#NUM!</v>
      </c>
      <c r="W291" t="e">
        <f ca="1">HYPGEOMDIST(W$50,SampleCalc!$B$15,SampleCalc!$B$9*$Z291,SampleCalc!$B$9)+V291</f>
        <v>#NUM!</v>
      </c>
      <c r="X291" t="e">
        <f ca="1">HYPGEOMDIST(X$50,SampleCalc!$B$15,SampleCalc!$B$9*$Z291,SampleCalc!$B$9)+W291</f>
        <v>#NUM!</v>
      </c>
      <c r="Y291" t="e">
        <f ca="1">HYPGEOMDIST(Y$50,SampleCalc!$B$15,SampleCalc!$B$9*$Z291,SampleCalc!$B$9)+X291</f>
        <v>#NUM!</v>
      </c>
      <c r="Z291">
        <v>0.01</v>
      </c>
    </row>
    <row r="292" spans="5:26">
      <c r="E292">
        <f ca="1">HYPGEOMDIST(E$50,SampleCalc!$B$15,SampleCalc!$B$9*$Z292,SampleCalc!$B$9)</f>
        <v>0.42501137680563489</v>
      </c>
      <c r="F292">
        <f ca="1">HYPGEOMDIST(F$50,SampleCalc!$B$15,SampleCalc!$B$9*$Z292,SampleCalc!$B$9)+E292</f>
        <v>0.83200481494369882</v>
      </c>
      <c r="G292">
        <f ca="1">HYPGEOMDIST(G$50,SampleCalc!$B$15,SampleCalc!$B$9*$Z292,SampleCalc!$B$9)+F292</f>
        <v>0.97627487697025128</v>
      </c>
      <c r="H292">
        <f ca="1">HYPGEOMDIST(H$50,SampleCalc!$B$15,SampleCalc!$B$9*$Z292,SampleCalc!$B$9)+G292</f>
        <v>0.99870893128041827</v>
      </c>
      <c r="I292">
        <f ca="1">HYPGEOMDIST(I$50,SampleCalc!$B$15,SampleCalc!$B$9*$Z292,SampleCalc!$B$9)+H292</f>
        <v>1.0000000000000009</v>
      </c>
      <c r="J292" t="e">
        <f ca="1">HYPGEOMDIST(J$50,SampleCalc!$B$15,SampleCalc!$B$9*$Z292,SampleCalc!$B$9)+I292</f>
        <v>#NUM!</v>
      </c>
      <c r="K292" t="e">
        <f ca="1">HYPGEOMDIST(K$50,SampleCalc!$B$15,SampleCalc!$B$9*$Z292,SampleCalc!$B$9)+J292</f>
        <v>#NUM!</v>
      </c>
      <c r="L292" t="e">
        <f ca="1">HYPGEOMDIST(L$50,SampleCalc!$B$15,SampleCalc!$B$9*$Z292,SampleCalc!$B$9)+K292</f>
        <v>#NUM!</v>
      </c>
      <c r="M292" t="e">
        <f ca="1">HYPGEOMDIST(M$50,SampleCalc!$B$15,SampleCalc!$B$9*$Z292,SampleCalc!$B$9)+L292</f>
        <v>#NUM!</v>
      </c>
      <c r="N292" t="e">
        <f ca="1">HYPGEOMDIST(N$50,SampleCalc!$B$15,SampleCalc!$B$9*$Z292,SampleCalc!$B$9)+M292</f>
        <v>#NUM!</v>
      </c>
      <c r="O292" t="e">
        <f ca="1">HYPGEOMDIST(O$50,SampleCalc!$B$15,SampleCalc!$B$9*$Z292,SampleCalc!$B$9)+N292</f>
        <v>#NUM!</v>
      </c>
      <c r="P292" t="e">
        <f ca="1">HYPGEOMDIST(P$50,SampleCalc!$B$15,SampleCalc!$B$9*$Z292,SampleCalc!$B$9)+O292</f>
        <v>#NUM!</v>
      </c>
      <c r="Q292" t="e">
        <f ca="1">HYPGEOMDIST(Q$50,SampleCalc!$B$15,SampleCalc!$B$9*$Z292,SampleCalc!$B$9)+P292</f>
        <v>#NUM!</v>
      </c>
      <c r="R292" t="e">
        <f ca="1">HYPGEOMDIST(R$50,SampleCalc!$B$15,SampleCalc!$B$9*$Z292,SampleCalc!$B$9)+Q292</f>
        <v>#NUM!</v>
      </c>
      <c r="S292" t="e">
        <f ca="1">HYPGEOMDIST(S$50,SampleCalc!$B$15,SampleCalc!$B$9*$Z292,SampleCalc!$B$9)+R292</f>
        <v>#NUM!</v>
      </c>
      <c r="T292" t="e">
        <f ca="1">HYPGEOMDIST(T$50,SampleCalc!$B$15,SampleCalc!$B$9*$Z292,SampleCalc!$B$9)+S292</f>
        <v>#NUM!</v>
      </c>
      <c r="U292" t="e">
        <f ca="1">HYPGEOMDIST(U$50,SampleCalc!$B$15,SampleCalc!$B$9*$Z292,SampleCalc!$B$9)+T292</f>
        <v>#NUM!</v>
      </c>
      <c r="V292" t="e">
        <f ca="1">HYPGEOMDIST(V$50,SampleCalc!$B$15,SampleCalc!$B$9*$Z292,SampleCalc!$B$9)+U292</f>
        <v>#NUM!</v>
      </c>
      <c r="W292" t="e">
        <f ca="1">HYPGEOMDIST(W$50,SampleCalc!$B$15,SampleCalc!$B$9*$Z292,SampleCalc!$B$9)+V292</f>
        <v>#NUM!</v>
      </c>
      <c r="X292" t="e">
        <f ca="1">HYPGEOMDIST(X$50,SampleCalc!$B$15,SampleCalc!$B$9*$Z292,SampleCalc!$B$9)+W292</f>
        <v>#NUM!</v>
      </c>
      <c r="Y292" t="e">
        <f ca="1">HYPGEOMDIST(Y$50,SampleCalc!$B$15,SampleCalc!$B$9*$Z292,SampleCalc!$B$9)+X292</f>
        <v>#NUM!</v>
      </c>
      <c r="Z292">
        <v>9.0000000000000097E-3</v>
      </c>
    </row>
    <row r="293" spans="5:26">
      <c r="E293">
        <f ca="1">HYPGEOMDIST(E$50,SampleCalc!$B$15,SampleCalc!$B$9*$Z293,SampleCalc!$B$9)</f>
        <v>0.42501137680563489</v>
      </c>
      <c r="F293">
        <f ca="1">HYPGEOMDIST(F$50,SampleCalc!$B$15,SampleCalc!$B$9*$Z293,SampleCalc!$B$9)+E293</f>
        <v>0.83200481494369882</v>
      </c>
      <c r="G293">
        <f ca="1">HYPGEOMDIST(G$50,SampleCalc!$B$15,SampleCalc!$B$9*$Z293,SampleCalc!$B$9)+F293</f>
        <v>0.97627487697025128</v>
      </c>
      <c r="H293">
        <f ca="1">HYPGEOMDIST(H$50,SampleCalc!$B$15,SampleCalc!$B$9*$Z293,SampleCalc!$B$9)+G293</f>
        <v>0.99870893128041827</v>
      </c>
      <c r="I293">
        <f ca="1">HYPGEOMDIST(I$50,SampleCalc!$B$15,SampleCalc!$B$9*$Z293,SampleCalc!$B$9)+H293</f>
        <v>1.0000000000000009</v>
      </c>
      <c r="J293" t="e">
        <f ca="1">HYPGEOMDIST(J$50,SampleCalc!$B$15,SampleCalc!$B$9*$Z293,SampleCalc!$B$9)+I293</f>
        <v>#NUM!</v>
      </c>
      <c r="K293" t="e">
        <f ca="1">HYPGEOMDIST(K$50,SampleCalc!$B$15,SampleCalc!$B$9*$Z293,SampleCalc!$B$9)+J293</f>
        <v>#NUM!</v>
      </c>
      <c r="L293" t="e">
        <f ca="1">HYPGEOMDIST(L$50,SampleCalc!$B$15,SampleCalc!$B$9*$Z293,SampleCalc!$B$9)+K293</f>
        <v>#NUM!</v>
      </c>
      <c r="M293" t="e">
        <f ca="1">HYPGEOMDIST(M$50,SampleCalc!$B$15,SampleCalc!$B$9*$Z293,SampleCalc!$B$9)+L293</f>
        <v>#NUM!</v>
      </c>
      <c r="N293" t="e">
        <f ca="1">HYPGEOMDIST(N$50,SampleCalc!$B$15,SampleCalc!$B$9*$Z293,SampleCalc!$B$9)+M293</f>
        <v>#NUM!</v>
      </c>
      <c r="O293" t="e">
        <f ca="1">HYPGEOMDIST(O$50,SampleCalc!$B$15,SampleCalc!$B$9*$Z293,SampleCalc!$B$9)+N293</f>
        <v>#NUM!</v>
      </c>
      <c r="P293" t="e">
        <f ca="1">HYPGEOMDIST(P$50,SampleCalc!$B$15,SampleCalc!$B$9*$Z293,SampleCalc!$B$9)+O293</f>
        <v>#NUM!</v>
      </c>
      <c r="Q293" t="e">
        <f ca="1">HYPGEOMDIST(Q$50,SampleCalc!$B$15,SampleCalc!$B$9*$Z293,SampleCalc!$B$9)+P293</f>
        <v>#NUM!</v>
      </c>
      <c r="R293" t="e">
        <f ca="1">HYPGEOMDIST(R$50,SampleCalc!$B$15,SampleCalc!$B$9*$Z293,SampleCalc!$B$9)+Q293</f>
        <v>#NUM!</v>
      </c>
      <c r="S293" t="e">
        <f ca="1">HYPGEOMDIST(S$50,SampleCalc!$B$15,SampleCalc!$B$9*$Z293,SampleCalc!$B$9)+R293</f>
        <v>#NUM!</v>
      </c>
      <c r="T293" t="e">
        <f ca="1">HYPGEOMDIST(T$50,SampleCalc!$B$15,SampleCalc!$B$9*$Z293,SampleCalc!$B$9)+S293</f>
        <v>#NUM!</v>
      </c>
      <c r="U293" t="e">
        <f ca="1">HYPGEOMDIST(U$50,SampleCalc!$B$15,SampleCalc!$B$9*$Z293,SampleCalc!$B$9)+T293</f>
        <v>#NUM!</v>
      </c>
      <c r="V293" t="e">
        <f ca="1">HYPGEOMDIST(V$50,SampleCalc!$B$15,SampleCalc!$B$9*$Z293,SampleCalc!$B$9)+U293</f>
        <v>#NUM!</v>
      </c>
      <c r="W293" t="e">
        <f ca="1">HYPGEOMDIST(W$50,SampleCalc!$B$15,SampleCalc!$B$9*$Z293,SampleCalc!$B$9)+V293</f>
        <v>#NUM!</v>
      </c>
      <c r="X293" t="e">
        <f ca="1">HYPGEOMDIST(X$50,SampleCalc!$B$15,SampleCalc!$B$9*$Z293,SampleCalc!$B$9)+W293</f>
        <v>#NUM!</v>
      </c>
      <c r="Y293" t="e">
        <f ca="1">HYPGEOMDIST(Y$50,SampleCalc!$B$15,SampleCalc!$B$9*$Z293,SampleCalc!$B$9)+X293</f>
        <v>#NUM!</v>
      </c>
      <c r="Z293">
        <v>8.0000000000000106E-3</v>
      </c>
    </row>
    <row r="294" spans="5:26">
      <c r="E294">
        <f ca="1">HYPGEOMDIST(E$50,SampleCalc!$B$15,SampleCalc!$B$9*$Z294,SampleCalc!$B$9)</f>
        <v>0.5267597363401505</v>
      </c>
      <c r="F294">
        <f ca="1">HYPGEOMDIST(F$50,SampleCalc!$B$15,SampleCalc!$B$9*$Z294,SampleCalc!$B$9)+E294</f>
        <v>0.9041398459569745</v>
      </c>
      <c r="G294">
        <f ca="1">HYPGEOMDIST(G$50,SampleCalc!$B$15,SampleCalc!$B$9*$Z294,SampleCalc!$B$9)+F294</f>
        <v>0.99310041770287594</v>
      </c>
      <c r="H294">
        <f ca="1">HYPGEOMDIST(H$50,SampleCalc!$B$15,SampleCalc!$B$9*$Z294,SampleCalc!$B$9)+G294</f>
        <v>1.0000000000000002</v>
      </c>
      <c r="I294" t="e">
        <f ca="1">HYPGEOMDIST(I$50,SampleCalc!$B$15,SampleCalc!$B$9*$Z294,SampleCalc!$B$9)+H294</f>
        <v>#NUM!</v>
      </c>
      <c r="J294" t="e">
        <f ca="1">HYPGEOMDIST(J$50,SampleCalc!$B$15,SampleCalc!$B$9*$Z294,SampleCalc!$B$9)+I294</f>
        <v>#NUM!</v>
      </c>
      <c r="K294" t="e">
        <f ca="1">HYPGEOMDIST(K$50,SampleCalc!$B$15,SampleCalc!$B$9*$Z294,SampleCalc!$B$9)+J294</f>
        <v>#NUM!</v>
      </c>
      <c r="L294" t="e">
        <f ca="1">HYPGEOMDIST(L$50,SampleCalc!$B$15,SampleCalc!$B$9*$Z294,SampleCalc!$B$9)+K294</f>
        <v>#NUM!</v>
      </c>
      <c r="M294" t="e">
        <f ca="1">HYPGEOMDIST(M$50,SampleCalc!$B$15,SampleCalc!$B$9*$Z294,SampleCalc!$B$9)+L294</f>
        <v>#NUM!</v>
      </c>
      <c r="N294" t="e">
        <f ca="1">HYPGEOMDIST(N$50,SampleCalc!$B$15,SampleCalc!$B$9*$Z294,SampleCalc!$B$9)+M294</f>
        <v>#NUM!</v>
      </c>
      <c r="O294" t="e">
        <f ca="1">HYPGEOMDIST(O$50,SampleCalc!$B$15,SampleCalc!$B$9*$Z294,SampleCalc!$B$9)+N294</f>
        <v>#NUM!</v>
      </c>
      <c r="P294" t="e">
        <f ca="1">HYPGEOMDIST(P$50,SampleCalc!$B$15,SampleCalc!$B$9*$Z294,SampleCalc!$B$9)+O294</f>
        <v>#NUM!</v>
      </c>
      <c r="Q294" t="e">
        <f ca="1">HYPGEOMDIST(Q$50,SampleCalc!$B$15,SampleCalc!$B$9*$Z294,SampleCalc!$B$9)+P294</f>
        <v>#NUM!</v>
      </c>
      <c r="R294" t="e">
        <f ca="1">HYPGEOMDIST(R$50,SampleCalc!$B$15,SampleCalc!$B$9*$Z294,SampleCalc!$B$9)+Q294</f>
        <v>#NUM!</v>
      </c>
      <c r="S294" t="e">
        <f ca="1">HYPGEOMDIST(S$50,SampleCalc!$B$15,SampleCalc!$B$9*$Z294,SampleCalc!$B$9)+R294</f>
        <v>#NUM!</v>
      </c>
      <c r="T294" t="e">
        <f ca="1">HYPGEOMDIST(T$50,SampleCalc!$B$15,SampleCalc!$B$9*$Z294,SampleCalc!$B$9)+S294</f>
        <v>#NUM!</v>
      </c>
      <c r="U294" t="e">
        <f ca="1">HYPGEOMDIST(U$50,SampleCalc!$B$15,SampleCalc!$B$9*$Z294,SampleCalc!$B$9)+T294</f>
        <v>#NUM!</v>
      </c>
      <c r="V294" t="e">
        <f ca="1">HYPGEOMDIST(V$50,SampleCalc!$B$15,SampleCalc!$B$9*$Z294,SampleCalc!$B$9)+U294</f>
        <v>#NUM!</v>
      </c>
      <c r="W294" t="e">
        <f ca="1">HYPGEOMDIST(W$50,SampleCalc!$B$15,SampleCalc!$B$9*$Z294,SampleCalc!$B$9)+V294</f>
        <v>#NUM!</v>
      </c>
      <c r="X294" t="e">
        <f ca="1">HYPGEOMDIST(X$50,SampleCalc!$B$15,SampleCalc!$B$9*$Z294,SampleCalc!$B$9)+W294</f>
        <v>#NUM!</v>
      </c>
      <c r="Y294" t="e">
        <f ca="1">HYPGEOMDIST(Y$50,SampleCalc!$B$15,SampleCalc!$B$9*$Z294,SampleCalc!$B$9)+X294</f>
        <v>#NUM!</v>
      </c>
      <c r="Z294">
        <v>7.0000000000000097E-3</v>
      </c>
    </row>
    <row r="295" spans="5:26">
      <c r="E295">
        <f ca="1">HYPGEOMDIST(E$50,SampleCalc!$B$15,SampleCalc!$B$9*$Z295,SampleCalc!$B$9)</f>
        <v>0.5267597363401505</v>
      </c>
      <c r="F295">
        <f ca="1">HYPGEOMDIST(F$50,SampleCalc!$B$15,SampleCalc!$B$9*$Z295,SampleCalc!$B$9)+E295</f>
        <v>0.9041398459569745</v>
      </c>
      <c r="G295">
        <f ca="1">HYPGEOMDIST(G$50,SampleCalc!$B$15,SampleCalc!$B$9*$Z295,SampleCalc!$B$9)+F295</f>
        <v>0.99310041770287594</v>
      </c>
      <c r="H295">
        <f ca="1">HYPGEOMDIST(H$50,SampleCalc!$B$15,SampleCalc!$B$9*$Z295,SampleCalc!$B$9)+G295</f>
        <v>1.0000000000000002</v>
      </c>
      <c r="I295" t="e">
        <f ca="1">HYPGEOMDIST(I$50,SampleCalc!$B$15,SampleCalc!$B$9*$Z295,SampleCalc!$B$9)+H295</f>
        <v>#NUM!</v>
      </c>
      <c r="J295" t="e">
        <f ca="1">HYPGEOMDIST(J$50,SampleCalc!$B$15,SampleCalc!$B$9*$Z295,SampleCalc!$B$9)+I295</f>
        <v>#NUM!</v>
      </c>
      <c r="K295" t="e">
        <f ca="1">HYPGEOMDIST(K$50,SampleCalc!$B$15,SampleCalc!$B$9*$Z295,SampleCalc!$B$9)+J295</f>
        <v>#NUM!</v>
      </c>
      <c r="L295" t="e">
        <f ca="1">HYPGEOMDIST(L$50,SampleCalc!$B$15,SampleCalc!$B$9*$Z295,SampleCalc!$B$9)+K295</f>
        <v>#NUM!</v>
      </c>
      <c r="M295" t="e">
        <f ca="1">HYPGEOMDIST(M$50,SampleCalc!$B$15,SampleCalc!$B$9*$Z295,SampleCalc!$B$9)+L295</f>
        <v>#NUM!</v>
      </c>
      <c r="N295" t="e">
        <f ca="1">HYPGEOMDIST(N$50,SampleCalc!$B$15,SampleCalc!$B$9*$Z295,SampleCalc!$B$9)+M295</f>
        <v>#NUM!</v>
      </c>
      <c r="O295" t="e">
        <f ca="1">HYPGEOMDIST(O$50,SampleCalc!$B$15,SampleCalc!$B$9*$Z295,SampleCalc!$B$9)+N295</f>
        <v>#NUM!</v>
      </c>
      <c r="P295" t="e">
        <f ca="1">HYPGEOMDIST(P$50,SampleCalc!$B$15,SampleCalc!$B$9*$Z295,SampleCalc!$B$9)+O295</f>
        <v>#NUM!</v>
      </c>
      <c r="Q295" t="e">
        <f ca="1">HYPGEOMDIST(Q$50,SampleCalc!$B$15,SampleCalc!$B$9*$Z295,SampleCalc!$B$9)+P295</f>
        <v>#NUM!</v>
      </c>
      <c r="R295" t="e">
        <f ca="1">HYPGEOMDIST(R$50,SampleCalc!$B$15,SampleCalc!$B$9*$Z295,SampleCalc!$B$9)+Q295</f>
        <v>#NUM!</v>
      </c>
      <c r="S295" t="e">
        <f ca="1">HYPGEOMDIST(S$50,SampleCalc!$B$15,SampleCalc!$B$9*$Z295,SampleCalc!$B$9)+R295</f>
        <v>#NUM!</v>
      </c>
      <c r="T295" t="e">
        <f ca="1">HYPGEOMDIST(T$50,SampleCalc!$B$15,SampleCalc!$B$9*$Z295,SampleCalc!$B$9)+S295</f>
        <v>#NUM!</v>
      </c>
      <c r="U295" t="e">
        <f ca="1">HYPGEOMDIST(U$50,SampleCalc!$B$15,SampleCalc!$B$9*$Z295,SampleCalc!$B$9)+T295</f>
        <v>#NUM!</v>
      </c>
      <c r="V295" t="e">
        <f ca="1">HYPGEOMDIST(V$50,SampleCalc!$B$15,SampleCalc!$B$9*$Z295,SampleCalc!$B$9)+U295</f>
        <v>#NUM!</v>
      </c>
      <c r="W295" t="e">
        <f ca="1">HYPGEOMDIST(W$50,SampleCalc!$B$15,SampleCalc!$B$9*$Z295,SampleCalc!$B$9)+V295</f>
        <v>#NUM!</v>
      </c>
      <c r="X295" t="e">
        <f ca="1">HYPGEOMDIST(X$50,SampleCalc!$B$15,SampleCalc!$B$9*$Z295,SampleCalc!$B$9)+W295</f>
        <v>#NUM!</v>
      </c>
      <c r="Y295" t="e">
        <f ca="1">HYPGEOMDIST(Y$50,SampleCalc!$B$15,SampleCalc!$B$9*$Z295,SampleCalc!$B$9)+X295</f>
        <v>#NUM!</v>
      </c>
      <c r="Z295">
        <v>6.0000000000000097E-3</v>
      </c>
    </row>
    <row r="296" spans="5:26">
      <c r="E296">
        <f ca="1">HYPGEOMDIST(E$50,SampleCalc!$B$15,SampleCalc!$B$9*$Z296,SampleCalc!$B$9)</f>
        <v>0.6525531062124249</v>
      </c>
      <c r="F296">
        <f ca="1">HYPGEOMDIST(F$50,SampleCalc!$B$15,SampleCalc!$B$9*$Z296,SampleCalc!$B$9)+E296</f>
        <v>0.9634468937875752</v>
      </c>
      <c r="G296">
        <f ca="1">HYPGEOMDIST(G$50,SampleCalc!$B$15,SampleCalc!$B$9*$Z296,SampleCalc!$B$9)+F296</f>
        <v>1</v>
      </c>
      <c r="H296" t="e">
        <f ca="1">HYPGEOMDIST(H$50,SampleCalc!$B$15,SampleCalc!$B$9*$Z296,SampleCalc!$B$9)+G296</f>
        <v>#NUM!</v>
      </c>
      <c r="I296" t="e">
        <f ca="1">HYPGEOMDIST(I$50,SampleCalc!$B$15,SampleCalc!$B$9*$Z296,SampleCalc!$B$9)+H296</f>
        <v>#NUM!</v>
      </c>
      <c r="J296" t="e">
        <f ca="1">HYPGEOMDIST(J$50,SampleCalc!$B$15,SampleCalc!$B$9*$Z296,SampleCalc!$B$9)+I296</f>
        <v>#NUM!</v>
      </c>
      <c r="K296" t="e">
        <f ca="1">HYPGEOMDIST(K$50,SampleCalc!$B$15,SampleCalc!$B$9*$Z296,SampleCalc!$B$9)+J296</f>
        <v>#NUM!</v>
      </c>
      <c r="L296" t="e">
        <f ca="1">HYPGEOMDIST(L$50,SampleCalc!$B$15,SampleCalc!$B$9*$Z296,SampleCalc!$B$9)+K296</f>
        <v>#NUM!</v>
      </c>
      <c r="M296" t="e">
        <f ca="1">HYPGEOMDIST(M$50,SampleCalc!$B$15,SampleCalc!$B$9*$Z296,SampleCalc!$B$9)+L296</f>
        <v>#NUM!</v>
      </c>
      <c r="N296" t="e">
        <f ca="1">HYPGEOMDIST(N$50,SampleCalc!$B$15,SampleCalc!$B$9*$Z296,SampleCalc!$B$9)+M296</f>
        <v>#NUM!</v>
      </c>
      <c r="O296" t="e">
        <f ca="1">HYPGEOMDIST(O$50,SampleCalc!$B$15,SampleCalc!$B$9*$Z296,SampleCalc!$B$9)+N296</f>
        <v>#NUM!</v>
      </c>
      <c r="P296" t="e">
        <f ca="1">HYPGEOMDIST(P$50,SampleCalc!$B$15,SampleCalc!$B$9*$Z296,SampleCalc!$B$9)+O296</f>
        <v>#NUM!</v>
      </c>
      <c r="Q296" t="e">
        <f ca="1">HYPGEOMDIST(Q$50,SampleCalc!$B$15,SampleCalc!$B$9*$Z296,SampleCalc!$B$9)+P296</f>
        <v>#NUM!</v>
      </c>
      <c r="R296" t="e">
        <f ca="1">HYPGEOMDIST(R$50,SampleCalc!$B$15,SampleCalc!$B$9*$Z296,SampleCalc!$B$9)+Q296</f>
        <v>#NUM!</v>
      </c>
      <c r="S296" t="e">
        <f ca="1">HYPGEOMDIST(S$50,SampleCalc!$B$15,SampleCalc!$B$9*$Z296,SampleCalc!$B$9)+R296</f>
        <v>#NUM!</v>
      </c>
      <c r="T296" t="e">
        <f ca="1">HYPGEOMDIST(T$50,SampleCalc!$B$15,SampleCalc!$B$9*$Z296,SampleCalc!$B$9)+S296</f>
        <v>#NUM!</v>
      </c>
      <c r="U296" t="e">
        <f ca="1">HYPGEOMDIST(U$50,SampleCalc!$B$15,SampleCalc!$B$9*$Z296,SampleCalc!$B$9)+T296</f>
        <v>#NUM!</v>
      </c>
      <c r="V296" t="e">
        <f ca="1">HYPGEOMDIST(V$50,SampleCalc!$B$15,SampleCalc!$B$9*$Z296,SampleCalc!$B$9)+U296</f>
        <v>#NUM!</v>
      </c>
      <c r="W296" t="e">
        <f ca="1">HYPGEOMDIST(W$50,SampleCalc!$B$15,SampleCalc!$B$9*$Z296,SampleCalc!$B$9)+V296</f>
        <v>#NUM!</v>
      </c>
      <c r="X296" t="e">
        <f ca="1">HYPGEOMDIST(X$50,SampleCalc!$B$15,SampleCalc!$B$9*$Z296,SampleCalc!$B$9)+W296</f>
        <v>#NUM!</v>
      </c>
      <c r="Y296" t="e">
        <f ca="1">HYPGEOMDIST(Y$50,SampleCalc!$B$15,SampleCalc!$B$9*$Z296,SampleCalc!$B$9)+X296</f>
        <v>#NUM!</v>
      </c>
      <c r="Z296">
        <v>5.0000000000000001E-3</v>
      </c>
    </row>
    <row r="297" spans="5:26">
      <c r="E297">
        <f ca="1">HYPGEOMDIST(E$50,SampleCalc!$B$15,SampleCalc!$B$9*$Z297,SampleCalc!$B$9)</f>
        <v>0.6525531062124249</v>
      </c>
      <c r="F297">
        <f ca="1">HYPGEOMDIST(F$50,SampleCalc!$B$15,SampleCalc!$B$9*$Z297,SampleCalc!$B$9)+E297</f>
        <v>0.9634468937875752</v>
      </c>
      <c r="G297">
        <f ca="1">HYPGEOMDIST(G$50,SampleCalc!$B$15,SampleCalc!$B$9*$Z297,SampleCalc!$B$9)+F297</f>
        <v>1</v>
      </c>
      <c r="H297" t="e">
        <f ca="1">HYPGEOMDIST(H$50,SampleCalc!$B$15,SampleCalc!$B$9*$Z297,SampleCalc!$B$9)+G297</f>
        <v>#NUM!</v>
      </c>
      <c r="I297" t="e">
        <f ca="1">HYPGEOMDIST(I$50,SampleCalc!$B$15,SampleCalc!$B$9*$Z297,SampleCalc!$B$9)+H297</f>
        <v>#NUM!</v>
      </c>
      <c r="J297" t="e">
        <f ca="1">HYPGEOMDIST(J$50,SampleCalc!$B$15,SampleCalc!$B$9*$Z297,SampleCalc!$B$9)+I297</f>
        <v>#NUM!</v>
      </c>
      <c r="K297" t="e">
        <f ca="1">HYPGEOMDIST(K$50,SampleCalc!$B$15,SampleCalc!$B$9*$Z297,SampleCalc!$B$9)+J297</f>
        <v>#NUM!</v>
      </c>
      <c r="L297" t="e">
        <f ca="1">HYPGEOMDIST(L$50,SampleCalc!$B$15,SampleCalc!$B$9*$Z297,SampleCalc!$B$9)+K297</f>
        <v>#NUM!</v>
      </c>
      <c r="M297" t="e">
        <f ca="1">HYPGEOMDIST(M$50,SampleCalc!$B$15,SampleCalc!$B$9*$Z297,SampleCalc!$B$9)+L297</f>
        <v>#NUM!</v>
      </c>
      <c r="N297" t="e">
        <f ca="1">HYPGEOMDIST(N$50,SampleCalc!$B$15,SampleCalc!$B$9*$Z297,SampleCalc!$B$9)+M297</f>
        <v>#NUM!</v>
      </c>
      <c r="O297" t="e">
        <f ca="1">HYPGEOMDIST(O$50,SampleCalc!$B$15,SampleCalc!$B$9*$Z297,SampleCalc!$B$9)+N297</f>
        <v>#NUM!</v>
      </c>
      <c r="P297" t="e">
        <f ca="1">HYPGEOMDIST(P$50,SampleCalc!$B$15,SampleCalc!$B$9*$Z297,SampleCalc!$B$9)+O297</f>
        <v>#NUM!</v>
      </c>
      <c r="Q297" t="e">
        <f ca="1">HYPGEOMDIST(Q$50,SampleCalc!$B$15,SampleCalc!$B$9*$Z297,SampleCalc!$B$9)+P297</f>
        <v>#NUM!</v>
      </c>
      <c r="R297" t="e">
        <f ca="1">HYPGEOMDIST(R$50,SampleCalc!$B$15,SampleCalc!$B$9*$Z297,SampleCalc!$B$9)+Q297</f>
        <v>#NUM!</v>
      </c>
      <c r="S297" t="e">
        <f ca="1">HYPGEOMDIST(S$50,SampleCalc!$B$15,SampleCalc!$B$9*$Z297,SampleCalc!$B$9)+R297</f>
        <v>#NUM!</v>
      </c>
      <c r="T297" t="e">
        <f ca="1">HYPGEOMDIST(T$50,SampleCalc!$B$15,SampleCalc!$B$9*$Z297,SampleCalc!$B$9)+S297</f>
        <v>#NUM!</v>
      </c>
      <c r="U297" t="e">
        <f ca="1">HYPGEOMDIST(U$50,SampleCalc!$B$15,SampleCalc!$B$9*$Z297,SampleCalc!$B$9)+T297</f>
        <v>#NUM!</v>
      </c>
      <c r="V297" t="e">
        <f ca="1">HYPGEOMDIST(V$50,SampleCalc!$B$15,SampleCalc!$B$9*$Z297,SampleCalc!$B$9)+U297</f>
        <v>#NUM!</v>
      </c>
      <c r="W297" t="e">
        <f ca="1">HYPGEOMDIST(W$50,SampleCalc!$B$15,SampleCalc!$B$9*$Z297,SampleCalc!$B$9)+V297</f>
        <v>#NUM!</v>
      </c>
      <c r="X297" t="e">
        <f ca="1">HYPGEOMDIST(X$50,SampleCalc!$B$15,SampleCalc!$B$9*$Z297,SampleCalc!$B$9)+W297</f>
        <v>#NUM!</v>
      </c>
      <c r="Y297" t="e">
        <f ca="1">HYPGEOMDIST(Y$50,SampleCalc!$B$15,SampleCalc!$B$9*$Z297,SampleCalc!$B$9)+X297</f>
        <v>#NUM!</v>
      </c>
      <c r="Z297">
        <v>4.0000000000000001E-3</v>
      </c>
    </row>
    <row r="298" spans="5:26">
      <c r="E298">
        <f ca="1">HYPGEOMDIST(E$50,SampleCalc!$B$15,SampleCalc!$B$9*$Z298,SampleCalc!$B$9)</f>
        <v>0.80799999999999983</v>
      </c>
      <c r="F298">
        <f ca="1">HYPGEOMDIST(F$50,SampleCalc!$B$15,SampleCalc!$B$9*$Z298,SampleCalc!$B$9)+E298</f>
        <v>0.99999999999999978</v>
      </c>
      <c r="G298" t="e">
        <f ca="1">HYPGEOMDIST(G$50,SampleCalc!$B$15,SampleCalc!$B$9*$Z298,SampleCalc!$B$9)+F298</f>
        <v>#NUM!</v>
      </c>
      <c r="H298" t="e">
        <f ca="1">HYPGEOMDIST(H$50,SampleCalc!$B$15,SampleCalc!$B$9*$Z298,SampleCalc!$B$9)+G298</f>
        <v>#NUM!</v>
      </c>
      <c r="I298" t="e">
        <f ca="1">HYPGEOMDIST(I$50,SampleCalc!$B$15,SampleCalc!$B$9*$Z298,SampleCalc!$B$9)+H298</f>
        <v>#NUM!</v>
      </c>
      <c r="J298" t="e">
        <f ca="1">HYPGEOMDIST(J$50,SampleCalc!$B$15,SampleCalc!$B$9*$Z298,SampleCalc!$B$9)+I298</f>
        <v>#NUM!</v>
      </c>
      <c r="K298" t="e">
        <f ca="1">HYPGEOMDIST(K$50,SampleCalc!$B$15,SampleCalc!$B$9*$Z298,SampleCalc!$B$9)+J298</f>
        <v>#NUM!</v>
      </c>
      <c r="L298" t="e">
        <f ca="1">HYPGEOMDIST(L$50,SampleCalc!$B$15,SampleCalc!$B$9*$Z298,SampleCalc!$B$9)+K298</f>
        <v>#NUM!</v>
      </c>
      <c r="M298" t="e">
        <f ca="1">HYPGEOMDIST(M$50,SampleCalc!$B$15,SampleCalc!$B$9*$Z298,SampleCalc!$B$9)+L298</f>
        <v>#NUM!</v>
      </c>
      <c r="N298" t="e">
        <f ca="1">HYPGEOMDIST(N$50,SampleCalc!$B$15,SampleCalc!$B$9*$Z298,SampleCalc!$B$9)+M298</f>
        <v>#NUM!</v>
      </c>
      <c r="O298" t="e">
        <f ca="1">HYPGEOMDIST(O$50,SampleCalc!$B$15,SampleCalc!$B$9*$Z298,SampleCalc!$B$9)+N298</f>
        <v>#NUM!</v>
      </c>
      <c r="P298" t="e">
        <f ca="1">HYPGEOMDIST(P$50,SampleCalc!$B$15,SampleCalc!$B$9*$Z298,SampleCalc!$B$9)+O298</f>
        <v>#NUM!</v>
      </c>
      <c r="Q298" t="e">
        <f ca="1">HYPGEOMDIST(Q$50,SampleCalc!$B$15,SampleCalc!$B$9*$Z298,SampleCalc!$B$9)+P298</f>
        <v>#NUM!</v>
      </c>
      <c r="R298" t="e">
        <f ca="1">HYPGEOMDIST(R$50,SampleCalc!$B$15,SampleCalc!$B$9*$Z298,SampleCalc!$B$9)+Q298</f>
        <v>#NUM!</v>
      </c>
      <c r="S298" t="e">
        <f ca="1">HYPGEOMDIST(S$50,SampleCalc!$B$15,SampleCalc!$B$9*$Z298,SampleCalc!$B$9)+R298</f>
        <v>#NUM!</v>
      </c>
      <c r="T298" t="e">
        <f ca="1">HYPGEOMDIST(T$50,SampleCalc!$B$15,SampleCalc!$B$9*$Z298,SampleCalc!$B$9)+S298</f>
        <v>#NUM!</v>
      </c>
      <c r="U298" t="e">
        <f ca="1">HYPGEOMDIST(U$50,SampleCalc!$B$15,SampleCalc!$B$9*$Z298,SampleCalc!$B$9)+T298</f>
        <v>#NUM!</v>
      </c>
      <c r="V298" t="e">
        <f ca="1">HYPGEOMDIST(V$50,SampleCalc!$B$15,SampleCalc!$B$9*$Z298,SampleCalc!$B$9)+U298</f>
        <v>#NUM!</v>
      </c>
      <c r="W298" t="e">
        <f ca="1">HYPGEOMDIST(W$50,SampleCalc!$B$15,SampleCalc!$B$9*$Z298,SampleCalc!$B$9)+V298</f>
        <v>#NUM!</v>
      </c>
      <c r="X298" t="e">
        <f ca="1">HYPGEOMDIST(X$50,SampleCalc!$B$15,SampleCalc!$B$9*$Z298,SampleCalc!$B$9)+W298</f>
        <v>#NUM!</v>
      </c>
      <c r="Y298" t="e">
        <f ca="1">HYPGEOMDIST(Y$50,SampleCalc!$B$15,SampleCalc!$B$9*$Z298,SampleCalc!$B$9)+X298</f>
        <v>#NUM!</v>
      </c>
      <c r="Z298">
        <v>3.0000000000000001E-3</v>
      </c>
    </row>
    <row r="299" spans="5:26">
      <c r="E299">
        <f ca="1">HYPGEOMDIST(E$50,SampleCalc!$B$15,SampleCalc!$B$9*$Z299,SampleCalc!$B$9)</f>
        <v>0.80799999999999983</v>
      </c>
      <c r="F299">
        <f ca="1">HYPGEOMDIST(F$50,SampleCalc!$B$15,SampleCalc!$B$9*$Z299,SampleCalc!$B$9)+E299</f>
        <v>0.99999999999999978</v>
      </c>
      <c r="G299" t="e">
        <f ca="1">HYPGEOMDIST(G$50,SampleCalc!$B$15,SampleCalc!$B$9*$Z299,SampleCalc!$B$9)+F299</f>
        <v>#NUM!</v>
      </c>
      <c r="H299" t="e">
        <f ca="1">HYPGEOMDIST(H$50,SampleCalc!$B$15,SampleCalc!$B$9*$Z299,SampleCalc!$B$9)+G299</f>
        <v>#NUM!</v>
      </c>
      <c r="I299" t="e">
        <f ca="1">HYPGEOMDIST(I$50,SampleCalc!$B$15,SampleCalc!$B$9*$Z299,SampleCalc!$B$9)+H299</f>
        <v>#NUM!</v>
      </c>
      <c r="J299" t="e">
        <f ca="1">HYPGEOMDIST(J$50,SampleCalc!$B$15,SampleCalc!$B$9*$Z299,SampleCalc!$B$9)+I299</f>
        <v>#NUM!</v>
      </c>
      <c r="K299" t="e">
        <f ca="1">HYPGEOMDIST(K$50,SampleCalc!$B$15,SampleCalc!$B$9*$Z299,SampleCalc!$B$9)+J299</f>
        <v>#NUM!</v>
      </c>
      <c r="L299" t="e">
        <f ca="1">HYPGEOMDIST(L$50,SampleCalc!$B$15,SampleCalc!$B$9*$Z299,SampleCalc!$B$9)+K299</f>
        <v>#NUM!</v>
      </c>
      <c r="M299" t="e">
        <f ca="1">HYPGEOMDIST(M$50,SampleCalc!$B$15,SampleCalc!$B$9*$Z299,SampleCalc!$B$9)+L299</f>
        <v>#NUM!</v>
      </c>
      <c r="N299" t="e">
        <f ca="1">HYPGEOMDIST(N$50,SampleCalc!$B$15,SampleCalc!$B$9*$Z299,SampleCalc!$B$9)+M299</f>
        <v>#NUM!</v>
      </c>
      <c r="O299" t="e">
        <f ca="1">HYPGEOMDIST(O$50,SampleCalc!$B$15,SampleCalc!$B$9*$Z299,SampleCalc!$B$9)+N299</f>
        <v>#NUM!</v>
      </c>
      <c r="P299" t="e">
        <f ca="1">HYPGEOMDIST(P$50,SampleCalc!$B$15,SampleCalc!$B$9*$Z299,SampleCalc!$B$9)+O299</f>
        <v>#NUM!</v>
      </c>
      <c r="Q299" t="e">
        <f ca="1">HYPGEOMDIST(Q$50,SampleCalc!$B$15,SampleCalc!$B$9*$Z299,SampleCalc!$B$9)+P299</f>
        <v>#NUM!</v>
      </c>
      <c r="R299" t="e">
        <f ca="1">HYPGEOMDIST(R$50,SampleCalc!$B$15,SampleCalc!$B$9*$Z299,SampleCalc!$B$9)+Q299</f>
        <v>#NUM!</v>
      </c>
      <c r="S299" t="e">
        <f ca="1">HYPGEOMDIST(S$50,SampleCalc!$B$15,SampleCalc!$B$9*$Z299,SampleCalc!$B$9)+R299</f>
        <v>#NUM!</v>
      </c>
      <c r="T299" t="e">
        <f ca="1">HYPGEOMDIST(T$50,SampleCalc!$B$15,SampleCalc!$B$9*$Z299,SampleCalc!$B$9)+S299</f>
        <v>#NUM!</v>
      </c>
      <c r="U299" t="e">
        <f ca="1">HYPGEOMDIST(U$50,SampleCalc!$B$15,SampleCalc!$B$9*$Z299,SampleCalc!$B$9)+T299</f>
        <v>#NUM!</v>
      </c>
      <c r="V299" t="e">
        <f ca="1">HYPGEOMDIST(V$50,SampleCalc!$B$15,SampleCalc!$B$9*$Z299,SampleCalc!$B$9)+U299</f>
        <v>#NUM!</v>
      </c>
      <c r="W299" t="e">
        <f ca="1">HYPGEOMDIST(W$50,SampleCalc!$B$15,SampleCalc!$B$9*$Z299,SampleCalc!$B$9)+V299</f>
        <v>#NUM!</v>
      </c>
      <c r="X299" t="e">
        <f ca="1">HYPGEOMDIST(X$50,SampleCalc!$B$15,SampleCalc!$B$9*$Z299,SampleCalc!$B$9)+W299</f>
        <v>#NUM!</v>
      </c>
      <c r="Y299" t="e">
        <f ca="1">HYPGEOMDIST(Y$50,SampleCalc!$B$15,SampleCalc!$B$9*$Z299,SampleCalc!$B$9)+X299</f>
        <v>#NUM!</v>
      </c>
      <c r="Z299">
        <v>2E-3</v>
      </c>
    </row>
    <row r="300" spans="5:26">
      <c r="E300">
        <f ca="1">HYPGEOMDIST(E$50,SampleCalc!$B$15,SampleCalc!$B$9*$Z300,SampleCalc!$B$9)</f>
        <v>1</v>
      </c>
      <c r="F300" t="e">
        <f ca="1">HYPGEOMDIST(F$50,SampleCalc!$B$15,SampleCalc!$B$9*$Z300,SampleCalc!$B$9)+E300</f>
        <v>#NUM!</v>
      </c>
      <c r="G300" t="e">
        <f ca="1">HYPGEOMDIST(G$50,SampleCalc!$B$15,SampleCalc!$B$9*$Z300,SampleCalc!$B$9)+F300</f>
        <v>#NUM!</v>
      </c>
      <c r="H300" t="e">
        <f ca="1">HYPGEOMDIST(H$50,SampleCalc!$B$15,SampleCalc!$B$9*$Z300,SampleCalc!$B$9)+G300</f>
        <v>#NUM!</v>
      </c>
      <c r="I300" t="e">
        <f ca="1">HYPGEOMDIST(I$50,SampleCalc!$B$15,SampleCalc!$B$9*$Z300,SampleCalc!$B$9)+H300</f>
        <v>#NUM!</v>
      </c>
      <c r="J300" t="e">
        <f ca="1">HYPGEOMDIST(J$50,SampleCalc!$B$15,SampleCalc!$B$9*$Z300,SampleCalc!$B$9)+I300</f>
        <v>#NUM!</v>
      </c>
      <c r="K300" t="e">
        <f ca="1">HYPGEOMDIST(K$50,SampleCalc!$B$15,SampleCalc!$B$9*$Z300,SampleCalc!$B$9)+J300</f>
        <v>#NUM!</v>
      </c>
      <c r="L300" t="e">
        <f ca="1">HYPGEOMDIST(L$50,SampleCalc!$B$15,SampleCalc!$B$9*$Z300,SampleCalc!$B$9)+K300</f>
        <v>#NUM!</v>
      </c>
      <c r="M300" t="e">
        <f ca="1">HYPGEOMDIST(M$50,SampleCalc!$B$15,SampleCalc!$B$9*$Z300,SampleCalc!$B$9)+L300</f>
        <v>#NUM!</v>
      </c>
      <c r="N300" t="e">
        <f ca="1">HYPGEOMDIST(N$50,SampleCalc!$B$15,SampleCalc!$B$9*$Z300,SampleCalc!$B$9)+M300</f>
        <v>#NUM!</v>
      </c>
      <c r="O300" t="e">
        <f ca="1">HYPGEOMDIST(O$50,SampleCalc!$B$15,SampleCalc!$B$9*$Z300,SampleCalc!$B$9)+N300</f>
        <v>#NUM!</v>
      </c>
      <c r="P300" t="e">
        <f ca="1">HYPGEOMDIST(P$50,SampleCalc!$B$15,SampleCalc!$B$9*$Z300,SampleCalc!$B$9)+O300</f>
        <v>#NUM!</v>
      </c>
      <c r="Q300" t="e">
        <f ca="1">HYPGEOMDIST(Q$50,SampleCalc!$B$15,SampleCalc!$B$9*$Z300,SampleCalc!$B$9)+P300</f>
        <v>#NUM!</v>
      </c>
      <c r="R300" t="e">
        <f ca="1">HYPGEOMDIST(R$50,SampleCalc!$B$15,SampleCalc!$B$9*$Z300,SampleCalc!$B$9)+Q300</f>
        <v>#NUM!</v>
      </c>
      <c r="S300" t="e">
        <f ca="1">HYPGEOMDIST(S$50,SampleCalc!$B$15,SampleCalc!$B$9*$Z300,SampleCalc!$B$9)+R300</f>
        <v>#NUM!</v>
      </c>
      <c r="T300" t="e">
        <f ca="1">HYPGEOMDIST(T$50,SampleCalc!$B$15,SampleCalc!$B$9*$Z300,SampleCalc!$B$9)+S300</f>
        <v>#NUM!</v>
      </c>
      <c r="U300" t="e">
        <f ca="1">HYPGEOMDIST(U$50,SampleCalc!$B$15,SampleCalc!$B$9*$Z300,SampleCalc!$B$9)+T300</f>
        <v>#NUM!</v>
      </c>
      <c r="V300" t="e">
        <f ca="1">HYPGEOMDIST(V$50,SampleCalc!$B$15,SampleCalc!$B$9*$Z300,SampleCalc!$B$9)+U300</f>
        <v>#NUM!</v>
      </c>
      <c r="W300" t="e">
        <f ca="1">HYPGEOMDIST(W$50,SampleCalc!$B$15,SampleCalc!$B$9*$Z300,SampleCalc!$B$9)+V300</f>
        <v>#NUM!</v>
      </c>
      <c r="X300" t="e">
        <f ca="1">HYPGEOMDIST(X$50,SampleCalc!$B$15,SampleCalc!$B$9*$Z300,SampleCalc!$B$9)+W300</f>
        <v>#NUM!</v>
      </c>
      <c r="Y300" t="e">
        <f ca="1">HYPGEOMDIST(Y$50,SampleCalc!$B$15,SampleCalc!$B$9*$Z300,SampleCalc!$B$9)+X300</f>
        <v>#NUM!</v>
      </c>
      <c r="Z300">
        <v>1E-3</v>
      </c>
    </row>
  </sheetData>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sheetPr codeName="Sheet4"/>
  <dimension ref="A1:I40"/>
  <sheetViews>
    <sheetView zoomScaleNormal="100" workbookViewId="0">
      <selection sqref="A1:B1"/>
    </sheetView>
  </sheetViews>
  <sheetFormatPr defaultRowHeight="12.75"/>
  <cols>
    <col min="1" max="1" width="23.42578125" style="15" customWidth="1"/>
    <col min="2" max="2" width="60.5703125" style="16" customWidth="1"/>
  </cols>
  <sheetData>
    <row r="1" spans="1:9">
      <c r="A1" s="34" t="s">
        <v>21</v>
      </c>
      <c r="B1" s="34"/>
      <c r="C1" s="2"/>
      <c r="D1" s="2"/>
      <c r="E1" s="2"/>
      <c r="F1" s="2"/>
      <c r="G1" s="2"/>
      <c r="H1" s="2"/>
      <c r="I1" s="2"/>
    </row>
    <row r="2" spans="1:9">
      <c r="A2" s="6"/>
      <c r="B2" s="6"/>
      <c r="C2" s="2"/>
      <c r="D2" s="2"/>
      <c r="E2" s="2"/>
      <c r="F2" s="2"/>
      <c r="G2" s="2"/>
      <c r="H2" s="2"/>
      <c r="I2" s="2"/>
    </row>
    <row r="3" spans="1:9">
      <c r="A3" s="6"/>
      <c r="B3" s="6"/>
      <c r="C3" s="2"/>
      <c r="D3" s="2"/>
      <c r="E3" s="2"/>
      <c r="F3" s="2"/>
      <c r="G3" s="2"/>
      <c r="H3" s="2"/>
      <c r="I3" s="2"/>
    </row>
    <row r="5" spans="1:9" ht="56.25">
      <c r="A5" s="17" t="s">
        <v>9</v>
      </c>
      <c r="B5" s="21" t="s">
        <v>66</v>
      </c>
    </row>
    <row r="7" spans="1:9" ht="78" customHeight="1">
      <c r="A7" s="17" t="s">
        <v>10</v>
      </c>
      <c r="B7" s="22" t="s">
        <v>41</v>
      </c>
    </row>
    <row r="9" spans="1:9" ht="33.75">
      <c r="A9" s="17" t="s">
        <v>22</v>
      </c>
      <c r="B9" s="16" t="s">
        <v>67</v>
      </c>
    </row>
    <row r="11" spans="1:9">
      <c r="A11" s="33" t="s">
        <v>13</v>
      </c>
      <c r="B11" s="33"/>
    </row>
    <row r="12" spans="1:9" ht="12.75" customHeight="1">
      <c r="A12" s="19"/>
      <c r="B12" s="19"/>
    </row>
    <row r="13" spans="1:9" ht="22.5">
      <c r="A13" s="23" t="s">
        <v>32</v>
      </c>
      <c r="B13" s="24" t="s">
        <v>51</v>
      </c>
    </row>
    <row r="14" spans="1:9" ht="56.25">
      <c r="A14" s="23" t="s">
        <v>33</v>
      </c>
      <c r="B14" s="28" t="s">
        <v>52</v>
      </c>
    </row>
    <row r="15" spans="1:9" ht="135.75" customHeight="1">
      <c r="A15" s="17" t="s">
        <v>14</v>
      </c>
      <c r="B15" s="16" t="s">
        <v>45</v>
      </c>
    </row>
    <row r="16" spans="1:9" ht="78.75">
      <c r="A16" s="17" t="s">
        <v>15</v>
      </c>
      <c r="B16" s="16" t="s">
        <v>46</v>
      </c>
    </row>
    <row r="17" spans="1:2" ht="135.75" customHeight="1">
      <c r="A17" s="17" t="s">
        <v>1</v>
      </c>
      <c r="B17" s="16" t="s">
        <v>47</v>
      </c>
    </row>
    <row r="18" spans="1:2" ht="45">
      <c r="A18" s="17" t="s">
        <v>23</v>
      </c>
      <c r="B18" s="16" t="s">
        <v>24</v>
      </c>
    </row>
    <row r="19" spans="1:2" ht="45">
      <c r="A19" s="17" t="s">
        <v>16</v>
      </c>
      <c r="B19" s="16" t="s">
        <v>48</v>
      </c>
    </row>
    <row r="20" spans="1:2" ht="45">
      <c r="A20" s="17" t="s">
        <v>43</v>
      </c>
      <c r="B20" s="16" t="s">
        <v>44</v>
      </c>
    </row>
    <row r="21" spans="1:2" ht="33.75">
      <c r="A21" s="35" t="s">
        <v>53</v>
      </c>
      <c r="B21" s="30" t="s">
        <v>54</v>
      </c>
    </row>
    <row r="22" spans="1:2" ht="12.75" customHeight="1">
      <c r="A22" s="35"/>
      <c r="B22" s="31" t="s">
        <v>55</v>
      </c>
    </row>
    <row r="23" spans="1:2" ht="12.75" customHeight="1">
      <c r="A23" s="35"/>
      <c r="B23" s="31" t="s">
        <v>56</v>
      </c>
    </row>
    <row r="24" spans="1:2" ht="12.75" customHeight="1">
      <c r="A24" s="35"/>
      <c r="B24" s="31" t="s">
        <v>57</v>
      </c>
    </row>
    <row r="25" spans="1:2" ht="12.75" customHeight="1">
      <c r="A25" s="35"/>
      <c r="B25" s="31" t="s">
        <v>58</v>
      </c>
    </row>
    <row r="26" spans="1:2" ht="22.5">
      <c r="A26" s="35"/>
      <c r="B26" s="31" t="s">
        <v>59</v>
      </c>
    </row>
    <row r="27" spans="1:2" ht="33.75">
      <c r="A27" s="35"/>
      <c r="B27" s="31" t="s">
        <v>60</v>
      </c>
    </row>
    <row r="28" spans="1:2" ht="12.75" customHeight="1">
      <c r="A28" s="35"/>
      <c r="B28" s="31" t="s">
        <v>61</v>
      </c>
    </row>
    <row r="29" spans="1:2" ht="12.75" customHeight="1">
      <c r="A29" s="35"/>
      <c r="B29" s="31" t="s">
        <v>62</v>
      </c>
    </row>
    <row r="30" spans="1:2" ht="12.75" customHeight="1">
      <c r="A30" s="35"/>
      <c r="B30" s="31" t="s">
        <v>63</v>
      </c>
    </row>
    <row r="31" spans="1:2" ht="12.75" customHeight="1">
      <c r="A31" s="35"/>
      <c r="B31" s="31" t="s">
        <v>64</v>
      </c>
    </row>
    <row r="32" spans="1:2" ht="45">
      <c r="A32" s="35"/>
      <c r="B32" s="32" t="s">
        <v>65</v>
      </c>
    </row>
    <row r="33" spans="1:2" ht="12.75" customHeight="1">
      <c r="A33" s="17"/>
      <c r="B33" s="29"/>
    </row>
    <row r="34" spans="1:2">
      <c r="A34" s="33" t="s">
        <v>26</v>
      </c>
      <c r="B34" s="33"/>
    </row>
    <row r="35" spans="1:2" ht="33.75">
      <c r="A35" s="27" t="s">
        <v>42</v>
      </c>
      <c r="B35" s="16" t="s">
        <v>25</v>
      </c>
    </row>
    <row r="36" spans="1:2" ht="101.25">
      <c r="A36" s="18" t="s">
        <v>17</v>
      </c>
      <c r="B36" s="16" t="s">
        <v>49</v>
      </c>
    </row>
    <row r="37" spans="1:2" ht="137.25" customHeight="1">
      <c r="A37" s="18" t="s">
        <v>18</v>
      </c>
      <c r="B37" s="16" t="s">
        <v>50</v>
      </c>
    </row>
    <row r="38" spans="1:2" ht="90">
      <c r="A38" s="17" t="s">
        <v>19</v>
      </c>
      <c r="B38" s="16" t="s">
        <v>34</v>
      </c>
    </row>
    <row r="39" spans="1:2" ht="78.75">
      <c r="A39" s="17" t="s">
        <v>20</v>
      </c>
      <c r="B39" s="16" t="s">
        <v>35</v>
      </c>
    </row>
    <row r="40" spans="1:2">
      <c r="A40" s="15" t="s">
        <v>12</v>
      </c>
    </row>
  </sheetData>
  <mergeCells count="4">
    <mergeCell ref="A11:B11"/>
    <mergeCell ref="A34:B34"/>
    <mergeCell ref="A1:B1"/>
    <mergeCell ref="A21:A32"/>
  </mergeCells>
  <pageMargins left="0.75" right="0.75" top="1" bottom="1" header="0.5" footer="0.5"/>
  <pageSetup orientation="portrait" r:id="rId1"/>
  <headerFooter alignWithMargins="0"/>
  <rowBreaks count="1" manualBreakCount="1">
    <brk id="33" max="16383" man="1"/>
  </rowBreaks>
  <legacyDrawing r:id="rId2"/>
</worksheet>
</file>

<file path=xl/worksheets/sheet3.xml><?xml version="1.0" encoding="utf-8"?>
<worksheet xmlns="http://schemas.openxmlformats.org/spreadsheetml/2006/main" xmlns:r="http://schemas.openxmlformats.org/officeDocument/2006/relationships">
  <sheetPr codeName="Sheet1"/>
  <dimension ref="A1:AB241"/>
  <sheetViews>
    <sheetView tabSelected="1" workbookViewId="0">
      <selection activeCell="A5" sqref="A5:B5"/>
    </sheetView>
  </sheetViews>
  <sheetFormatPr defaultRowHeight="12.75"/>
  <cols>
    <col min="1" max="1" width="43" bestFit="1" customWidth="1"/>
    <col min="2" max="2" width="15.7109375" customWidth="1"/>
    <col min="3" max="3" width="20" bestFit="1" customWidth="1"/>
    <col min="5" max="5" width="11.42578125" bestFit="1" customWidth="1"/>
    <col min="6" max="10" width="12.42578125" bestFit="1" customWidth="1"/>
  </cols>
  <sheetData>
    <row r="1" spans="1:28">
      <c r="A1" s="36" t="s">
        <v>36</v>
      </c>
      <c r="B1" s="36"/>
      <c r="AA1">
        <v>896</v>
      </c>
      <c r="AB1">
        <v>1721</v>
      </c>
    </row>
    <row r="2" spans="1:28">
      <c r="A2" s="36"/>
      <c r="B2" s="36"/>
      <c r="AA2">
        <v>2115</v>
      </c>
      <c r="AB2">
        <v>2642</v>
      </c>
    </row>
    <row r="3" spans="1:28" ht="19.5" customHeight="1">
      <c r="A3" s="36"/>
      <c r="B3" s="36"/>
      <c r="AA3">
        <v>2716</v>
      </c>
      <c r="AB3">
        <v>2128</v>
      </c>
    </row>
    <row r="4" spans="1:28">
      <c r="AA4">
        <v>4074</v>
      </c>
      <c r="AB4">
        <v>2866</v>
      </c>
    </row>
    <row r="5" spans="1:28">
      <c r="A5" s="34" t="s">
        <v>37</v>
      </c>
      <c r="B5" s="34"/>
      <c r="C5" s="20"/>
      <c r="AA5">
        <v>2705</v>
      </c>
      <c r="AB5">
        <v>251</v>
      </c>
    </row>
    <row r="6" spans="1:28">
      <c r="A6" s="37" t="s">
        <v>38</v>
      </c>
      <c r="B6" s="37"/>
      <c r="AA6">
        <v>2138</v>
      </c>
      <c r="AB6">
        <v>2738</v>
      </c>
    </row>
    <row r="7" spans="1:28">
      <c r="AA7">
        <v>2546</v>
      </c>
      <c r="AB7">
        <v>1033</v>
      </c>
    </row>
    <row r="8" spans="1:28">
      <c r="A8" s="7" t="s">
        <v>0</v>
      </c>
      <c r="B8" s="3" t="s">
        <v>2</v>
      </c>
      <c r="AA8">
        <v>1139</v>
      </c>
      <c r="AB8">
        <v>4814</v>
      </c>
    </row>
    <row r="9" spans="1:28">
      <c r="A9" t="s">
        <v>27</v>
      </c>
      <c r="B9" s="26">
        <v>500</v>
      </c>
    </row>
    <row r="10" spans="1:28">
      <c r="A10" s="25" t="s">
        <v>39</v>
      </c>
      <c r="B10" s="9">
        <v>0.02</v>
      </c>
      <c r="AA10">
        <v>3096</v>
      </c>
      <c r="AB10">
        <v>4666</v>
      </c>
    </row>
    <row r="11" spans="1:28">
      <c r="A11" s="25" t="s">
        <v>40</v>
      </c>
      <c r="B11" s="9">
        <v>0.06</v>
      </c>
      <c r="AA11">
        <v>2450</v>
      </c>
      <c r="AB11">
        <v>4963</v>
      </c>
    </row>
    <row r="12" spans="1:28">
      <c r="A12" t="s">
        <v>4</v>
      </c>
      <c r="B12" s="10">
        <v>0.05</v>
      </c>
      <c r="AA12">
        <v>3405</v>
      </c>
    </row>
    <row r="13" spans="1:28">
      <c r="B13" s="1"/>
      <c r="AA13">
        <v>4434</v>
      </c>
    </row>
    <row r="14" spans="1:28" hidden="1">
      <c r="B14" s="8">
        <f ca="1">IF(B14&lt;B15,B14+1,B15)</f>
        <v>96</v>
      </c>
      <c r="AA14">
        <v>1853</v>
      </c>
    </row>
    <row r="15" spans="1:28">
      <c r="A15" t="s">
        <v>3</v>
      </c>
      <c r="B15" s="11">
        <f ca="1">IF(LOOKUP(B17,A21:A41,B21:B41)&gt;B12,B14+1,B14)</f>
        <v>96</v>
      </c>
      <c r="C15" s="6" t="str">
        <f ca="1">IF(B15&gt;300,"It is not cost effective","")</f>
        <v/>
      </c>
      <c r="AA15">
        <v>1513</v>
      </c>
    </row>
    <row r="16" spans="1:28">
      <c r="C16" s="6" t="str">
        <f ca="1">IF(B15&gt;300,"to test this control","")</f>
        <v/>
      </c>
      <c r="AA16">
        <v>1465</v>
      </c>
    </row>
    <row r="17" spans="1:27">
      <c r="A17" t="s">
        <v>28</v>
      </c>
      <c r="B17" s="11">
        <f ca="1">ROUNDUP(B15*B10,0)</f>
        <v>2</v>
      </c>
      <c r="AA17">
        <v>752</v>
      </c>
    </row>
    <row r="18" spans="1:27">
      <c r="AA18">
        <v>2650</v>
      </c>
    </row>
    <row r="19" spans="1:27">
      <c r="A19" s="7" t="s">
        <v>1</v>
      </c>
      <c r="B19" s="2"/>
      <c r="C19" s="2"/>
      <c r="AA19">
        <v>1117</v>
      </c>
    </row>
    <row r="20" spans="1:27">
      <c r="A20" s="4" t="s">
        <v>29</v>
      </c>
      <c r="B20" s="4" t="s">
        <v>5</v>
      </c>
      <c r="C20" s="4" t="s">
        <v>6</v>
      </c>
      <c r="AA20">
        <v>2923</v>
      </c>
    </row>
    <row r="21" spans="1:27">
      <c r="A21" s="6">
        <v>0</v>
      </c>
      <c r="B21" s="12">
        <f ca="1">HYPGEOMDIST(A21,B$15,B$9*B$11,B$9)</f>
        <v>1.3440009823707541E-3</v>
      </c>
      <c r="C21" s="13">
        <f ca="1">VLOOKUP(B$12,_atr0,22,TRUE)</f>
        <v>2.8000000000000001E-2</v>
      </c>
      <c r="D21" s="1"/>
      <c r="AA21">
        <v>1818</v>
      </c>
    </row>
    <row r="22" spans="1:27">
      <c r="A22" s="6">
        <f ca="1">IF(A21&lt;(B$17+2),A21+1,"")</f>
        <v>1</v>
      </c>
      <c r="B22" s="12">
        <f ca="1">IF(A22="","",B21+HYPGEOMDIST(A22,B$15,B$9*B$11,B$9))</f>
        <v>1.1665928526978142E-2</v>
      </c>
      <c r="C22" s="13">
        <f ca="1">IF(A22="","",VLOOKUP(B$12,_atr1,21,TRUE))</f>
        <v>4.5999999999999999E-2</v>
      </c>
      <c r="D22" s="1"/>
      <c r="AA22">
        <v>4380</v>
      </c>
    </row>
    <row r="23" spans="1:27">
      <c r="A23" s="6">
        <f t="shared" ref="A23:A41" ca="1" si="0">IF(A22&lt;(B$17+2),A22+1,"")</f>
        <v>2</v>
      </c>
      <c r="B23" s="12">
        <f t="shared" ref="B23:B41" ca="1" si="1">IF(A23="","",B22+HYPGEOMDIST(A23,B$15,B$9*B$11,B$9))</f>
        <v>4.9480968933086303E-2</v>
      </c>
      <c r="C23" s="13">
        <f ca="1">IF(A23="","",VLOOKUP(B$12,_atr2,20,TRUE))</f>
        <v>0.06</v>
      </c>
      <c r="D23" s="1"/>
      <c r="AA23">
        <v>2391</v>
      </c>
    </row>
    <row r="24" spans="1:27">
      <c r="A24" s="6">
        <f t="shared" ca="1" si="0"/>
        <v>3</v>
      </c>
      <c r="B24" s="12">
        <f t="shared" ca="1" si="1"/>
        <v>0.13748201787108516</v>
      </c>
      <c r="C24" s="13">
        <f ca="1">IF(A24="","",VLOOKUP(B$12,_atr3,19,TRUE))</f>
        <v>7.5999999999999998E-2</v>
      </c>
      <c r="D24" s="1"/>
      <c r="AA24">
        <v>954</v>
      </c>
    </row>
    <row r="25" spans="1:27">
      <c r="A25" s="6">
        <f t="shared" ca="1" si="0"/>
        <v>4</v>
      </c>
      <c r="B25" s="12">
        <f t="shared" ca="1" si="1"/>
        <v>0.28362661700026182</v>
      </c>
      <c r="C25" s="13">
        <f ca="1">IF(A25="","",VLOOKUP(B$12,_atr4,18,TRUE))</f>
        <v>8.7999999999999995E-2</v>
      </c>
      <c r="D25" s="1"/>
      <c r="AA25">
        <v>3421</v>
      </c>
    </row>
    <row r="26" spans="1:27">
      <c r="A26" s="6" t="str">
        <f t="shared" ca="1" si="0"/>
        <v/>
      </c>
      <c r="B26" s="12" t="str">
        <f t="shared" ca="1" si="1"/>
        <v/>
      </c>
      <c r="C26" s="13" t="str">
        <f ca="1">IF(A26="","",VLOOKUP(B$12,_atr5,17,TRUE))</f>
        <v/>
      </c>
      <c r="D26" s="1"/>
      <c r="AA26">
        <v>3738</v>
      </c>
    </row>
    <row r="27" spans="1:27">
      <c r="A27" s="6" t="str">
        <f t="shared" ca="1" si="0"/>
        <v/>
      </c>
      <c r="B27" s="12" t="str">
        <f t="shared" ca="1" si="1"/>
        <v/>
      </c>
      <c r="C27" s="13" t="str">
        <f ca="1">IF(A27="","",VLOOKUP(B$12,_atr6,16,TRUE))</f>
        <v/>
      </c>
      <c r="AA27">
        <v>3070</v>
      </c>
    </row>
    <row r="28" spans="1:27">
      <c r="A28" s="6" t="str">
        <f t="shared" ca="1" si="0"/>
        <v/>
      </c>
      <c r="B28" s="12" t="str">
        <f t="shared" ca="1" si="1"/>
        <v/>
      </c>
      <c r="C28" s="13" t="str">
        <f ca="1">IF(A28="","",VLOOKUP(B$12,_atr7,15,TRUE))</f>
        <v/>
      </c>
      <c r="AA28">
        <v>3911</v>
      </c>
    </row>
    <row r="29" spans="1:27">
      <c r="A29" s="6" t="str">
        <f t="shared" ca="1" si="0"/>
        <v/>
      </c>
      <c r="B29" s="12" t="str">
        <f t="shared" ca="1" si="1"/>
        <v/>
      </c>
      <c r="C29" s="13" t="str">
        <f ca="1">IF(A29="","",VLOOKUP(B$12,_atr8,14,TRUE))</f>
        <v/>
      </c>
      <c r="AA29">
        <v>809</v>
      </c>
    </row>
    <row r="30" spans="1:27">
      <c r="A30" s="6" t="str">
        <f t="shared" ca="1" si="0"/>
        <v/>
      </c>
      <c r="B30" s="12" t="str">
        <f t="shared" ca="1" si="1"/>
        <v/>
      </c>
      <c r="C30" s="13" t="str">
        <f ca="1">IF(A30="","",VLOOKUP(B$12,_atr9,13,TRUE))</f>
        <v/>
      </c>
      <c r="AA30">
        <v>4039</v>
      </c>
    </row>
    <row r="31" spans="1:27">
      <c r="A31" s="6" t="str">
        <f t="shared" ca="1" si="0"/>
        <v/>
      </c>
      <c r="B31" s="12" t="str">
        <f t="shared" ca="1" si="1"/>
        <v/>
      </c>
      <c r="C31" s="13" t="str">
        <f ca="1">IF(A31="","",VLOOKUP(B$12,_atr10,12,TRUE))</f>
        <v/>
      </c>
      <c r="AA31">
        <v>1014</v>
      </c>
    </row>
    <row r="32" spans="1:27">
      <c r="A32" s="6" t="str">
        <f t="shared" ca="1" si="0"/>
        <v/>
      </c>
      <c r="B32" s="12" t="str">
        <f t="shared" ca="1" si="1"/>
        <v/>
      </c>
      <c r="C32" s="13" t="str">
        <f ca="1">IF(A32="","",VLOOKUP(B$12,_atr11,11,TRUE))</f>
        <v/>
      </c>
      <c r="AA32">
        <v>4784</v>
      </c>
    </row>
    <row r="33" spans="1:27">
      <c r="A33" s="6" t="str">
        <f t="shared" ca="1" si="0"/>
        <v/>
      </c>
      <c r="B33" s="12" t="str">
        <f t="shared" ca="1" si="1"/>
        <v/>
      </c>
      <c r="C33" s="13" t="str">
        <f ca="1">IF(A33="","",VLOOKUP(B$12,_atr12,10,TRUE))</f>
        <v/>
      </c>
      <c r="AA33">
        <v>330</v>
      </c>
    </row>
    <row r="34" spans="1:27">
      <c r="A34" s="6" t="str">
        <f t="shared" ca="1" si="0"/>
        <v/>
      </c>
      <c r="B34" s="12" t="str">
        <f t="shared" ca="1" si="1"/>
        <v/>
      </c>
      <c r="C34" s="13" t="str">
        <f ca="1">IF(A34="","",VLOOKUP(B$12,_atr13,9,TRUE))</f>
        <v/>
      </c>
      <c r="AA34">
        <v>308</v>
      </c>
    </row>
    <row r="35" spans="1:27">
      <c r="A35" s="6" t="str">
        <f t="shared" ca="1" si="0"/>
        <v/>
      </c>
      <c r="B35" s="12" t="str">
        <f t="shared" ca="1" si="1"/>
        <v/>
      </c>
      <c r="C35" s="13" t="str">
        <f ca="1">IF(A35="","",VLOOKUP(B$12,_atr14,8,TRUE))</f>
        <v/>
      </c>
      <c r="AA35">
        <v>3966</v>
      </c>
    </row>
    <row r="36" spans="1:27">
      <c r="A36" s="6" t="str">
        <f t="shared" ca="1" si="0"/>
        <v/>
      </c>
      <c r="B36" s="12" t="str">
        <f t="shared" ca="1" si="1"/>
        <v/>
      </c>
      <c r="C36" s="13" t="str">
        <f ca="1">IF(A36="","",VLOOKUP(B$12,_atr15,7,TRUE))</f>
        <v/>
      </c>
      <c r="AA36">
        <v>1899</v>
      </c>
    </row>
    <row r="37" spans="1:27">
      <c r="A37" s="6" t="str">
        <f t="shared" ca="1" si="0"/>
        <v/>
      </c>
      <c r="B37" s="12" t="str">
        <f t="shared" ca="1" si="1"/>
        <v/>
      </c>
      <c r="C37" s="13" t="str">
        <f ca="1">IF(A37="","",VLOOKUP(B$12,_atr16,6,TRUE))</f>
        <v/>
      </c>
      <c r="AA37">
        <v>2318</v>
      </c>
    </row>
    <row r="38" spans="1:27">
      <c r="A38" s="6" t="str">
        <f t="shared" ca="1" si="0"/>
        <v/>
      </c>
      <c r="B38" s="12" t="str">
        <f t="shared" ca="1" si="1"/>
        <v/>
      </c>
      <c r="C38" s="13" t="str">
        <f ca="1">IF(A38="","",VLOOKUP(B$12,_atr17,5,TRUE))</f>
        <v/>
      </c>
      <c r="AA38">
        <v>598</v>
      </c>
    </row>
    <row r="39" spans="1:27">
      <c r="A39" s="6" t="str">
        <f t="shared" ca="1" si="0"/>
        <v/>
      </c>
      <c r="B39" s="12" t="str">
        <f t="shared" ca="1" si="1"/>
        <v/>
      </c>
      <c r="C39" s="13" t="str">
        <f ca="1">IF(A39="","",VLOOKUP(B$12,_atr18,4,TRUE))</f>
        <v/>
      </c>
      <c r="AA39">
        <v>578</v>
      </c>
    </row>
    <row r="40" spans="1:27">
      <c r="A40" s="6" t="str">
        <f t="shared" ca="1" si="0"/>
        <v/>
      </c>
      <c r="B40" s="12" t="str">
        <f t="shared" ca="1" si="1"/>
        <v/>
      </c>
      <c r="C40" s="13" t="str">
        <f ca="1">IF(A40="","",VLOOKUP(B$12,_atr19,3,TRUE))</f>
        <v/>
      </c>
      <c r="AA40">
        <v>869</v>
      </c>
    </row>
    <row r="41" spans="1:27">
      <c r="A41" s="6" t="str">
        <f t="shared" ca="1" si="0"/>
        <v/>
      </c>
      <c r="B41" s="12" t="str">
        <f t="shared" ca="1" si="1"/>
        <v/>
      </c>
      <c r="C41" s="13" t="str">
        <f ca="1">IF(A41="","",VLOOKUP(B$12,_atr20,2,TRUE))</f>
        <v/>
      </c>
      <c r="AA41">
        <v>241</v>
      </c>
    </row>
    <row r="42" spans="1:27">
      <c r="A42" s="2"/>
      <c r="B42" s="5"/>
      <c r="AA42">
        <v>3575</v>
      </c>
    </row>
    <row r="43" spans="1:27">
      <c r="A43" s="2"/>
      <c r="B43" s="5"/>
      <c r="AA43">
        <v>2666</v>
      </c>
    </row>
    <row r="44" spans="1:27">
      <c r="A44" s="2"/>
      <c r="B44" s="5"/>
      <c r="AA44">
        <v>2806</v>
      </c>
    </row>
    <row r="45" spans="1:27">
      <c r="A45" s="2"/>
      <c r="B45" s="5"/>
      <c r="AA45">
        <v>1084</v>
      </c>
    </row>
    <row r="46" spans="1:27">
      <c r="A46" s="2"/>
      <c r="B46" s="5"/>
      <c r="AA46">
        <v>2341</v>
      </c>
    </row>
    <row r="47" spans="1:27">
      <c r="AA47">
        <v>3732</v>
      </c>
    </row>
    <row r="48" spans="1:27">
      <c r="AA48">
        <v>3762</v>
      </c>
    </row>
    <row r="49" spans="27:27">
      <c r="AA49">
        <v>1995</v>
      </c>
    </row>
    <row r="50" spans="27:27">
      <c r="AA50">
        <v>4516</v>
      </c>
    </row>
    <row r="51" spans="27:27">
      <c r="AA51">
        <v>3731</v>
      </c>
    </row>
    <row r="52" spans="27:27">
      <c r="AA52">
        <v>443</v>
      </c>
    </row>
    <row r="53" spans="27:27">
      <c r="AA53">
        <v>3173</v>
      </c>
    </row>
    <row r="54" spans="27:27">
      <c r="AA54">
        <v>3566</v>
      </c>
    </row>
    <row r="55" spans="27:27">
      <c r="AA55">
        <v>79</v>
      </c>
    </row>
    <row r="56" spans="27:27">
      <c r="AA56">
        <v>2156</v>
      </c>
    </row>
    <row r="57" spans="27:27">
      <c r="AA57">
        <v>2010</v>
      </c>
    </row>
    <row r="58" spans="27:27">
      <c r="AA58">
        <v>1377</v>
      </c>
    </row>
    <row r="59" spans="27:27">
      <c r="AA59">
        <v>4927</v>
      </c>
    </row>
    <row r="60" spans="27:27">
      <c r="AA60">
        <v>4013</v>
      </c>
    </row>
    <row r="61" spans="27:27">
      <c r="AA61">
        <v>3481</v>
      </c>
    </row>
    <row r="62" spans="27:27">
      <c r="AA62">
        <v>2088</v>
      </c>
    </row>
    <row r="63" spans="27:27">
      <c r="AA63">
        <v>3673</v>
      </c>
    </row>
    <row r="64" spans="27:27">
      <c r="AA64">
        <v>1386</v>
      </c>
    </row>
    <row r="65" spans="27:27">
      <c r="AA65">
        <v>1783</v>
      </c>
    </row>
    <row r="66" spans="27:27">
      <c r="AA66">
        <v>2168</v>
      </c>
    </row>
    <row r="67" spans="27:27">
      <c r="AA67">
        <v>4725</v>
      </c>
    </row>
    <row r="68" spans="27:27">
      <c r="AA68">
        <v>608</v>
      </c>
    </row>
    <row r="69" spans="27:27">
      <c r="AA69">
        <v>3230</v>
      </c>
    </row>
    <row r="70" spans="27:27">
      <c r="AA70">
        <v>1740</v>
      </c>
    </row>
    <row r="71" spans="27:27">
      <c r="AA71">
        <v>523</v>
      </c>
    </row>
    <row r="72" spans="27:27">
      <c r="AA72">
        <v>928</v>
      </c>
    </row>
    <row r="73" spans="27:27">
      <c r="AA73">
        <v>389</v>
      </c>
    </row>
    <row r="74" spans="27:27">
      <c r="AA74">
        <v>2164</v>
      </c>
    </row>
    <row r="75" spans="27:27">
      <c r="AA75">
        <v>4797</v>
      </c>
    </row>
    <row r="76" spans="27:27">
      <c r="AA76">
        <v>2711</v>
      </c>
    </row>
    <row r="77" spans="27:27">
      <c r="AA77">
        <v>2472</v>
      </c>
    </row>
    <row r="78" spans="27:27">
      <c r="AA78">
        <v>4865</v>
      </c>
    </row>
    <row r="79" spans="27:27">
      <c r="AA79">
        <v>1089</v>
      </c>
    </row>
    <row r="80" spans="27:27">
      <c r="AA80">
        <v>1895</v>
      </c>
    </row>
    <row r="81" spans="27:27">
      <c r="AA81">
        <v>1980</v>
      </c>
    </row>
    <row r="82" spans="27:27">
      <c r="AA82">
        <v>1408</v>
      </c>
    </row>
    <row r="83" spans="27:27">
      <c r="AA83">
        <v>2517</v>
      </c>
    </row>
    <row r="84" spans="27:27">
      <c r="AA84">
        <v>694</v>
      </c>
    </row>
    <row r="85" spans="27:27">
      <c r="AA85">
        <v>2587</v>
      </c>
    </row>
    <row r="86" spans="27:27">
      <c r="AA86">
        <v>4827</v>
      </c>
    </row>
    <row r="87" spans="27:27">
      <c r="AA87">
        <v>2788</v>
      </c>
    </row>
    <row r="88" spans="27:27">
      <c r="AA88">
        <v>4547</v>
      </c>
    </row>
    <row r="89" spans="27:27">
      <c r="AA89">
        <v>3287</v>
      </c>
    </row>
    <row r="90" spans="27:27">
      <c r="AA90">
        <v>2206</v>
      </c>
    </row>
    <row r="91" spans="27:27">
      <c r="AA91">
        <v>3465</v>
      </c>
    </row>
    <row r="92" spans="27:27">
      <c r="AA92">
        <v>323</v>
      </c>
    </row>
    <row r="93" spans="27:27">
      <c r="AA93">
        <v>3781</v>
      </c>
    </row>
    <row r="94" spans="27:27">
      <c r="AA94">
        <v>3503</v>
      </c>
    </row>
    <row r="95" spans="27:27">
      <c r="AA95">
        <v>2486</v>
      </c>
    </row>
    <row r="96" spans="27:27">
      <c r="AA96">
        <v>778</v>
      </c>
    </row>
    <row r="97" spans="27:27">
      <c r="AA97">
        <v>1119</v>
      </c>
    </row>
    <row r="98" spans="27:27">
      <c r="AA98">
        <v>1631</v>
      </c>
    </row>
    <row r="99" spans="27:27">
      <c r="AA99">
        <v>3923</v>
      </c>
    </row>
    <row r="100" spans="27:27">
      <c r="AA100">
        <v>252</v>
      </c>
    </row>
    <row r="101" spans="27:27">
      <c r="AA101">
        <v>2591</v>
      </c>
    </row>
    <row r="102" spans="27:27">
      <c r="AA102">
        <v>3786</v>
      </c>
    </row>
    <row r="103" spans="27:27">
      <c r="AA103">
        <v>4004</v>
      </c>
    </row>
    <row r="104" spans="27:27">
      <c r="AA104">
        <v>1627</v>
      </c>
    </row>
    <row r="105" spans="27:27">
      <c r="AA105">
        <v>4864</v>
      </c>
    </row>
    <row r="106" spans="27:27">
      <c r="AA106">
        <v>4022</v>
      </c>
    </row>
    <row r="107" spans="27:27">
      <c r="AA107">
        <v>3375</v>
      </c>
    </row>
    <row r="108" spans="27:27">
      <c r="AA108">
        <v>4526</v>
      </c>
    </row>
    <row r="109" spans="27:27">
      <c r="AA109">
        <v>4379</v>
      </c>
    </row>
    <row r="110" spans="27:27">
      <c r="AA110">
        <v>2084</v>
      </c>
    </row>
    <row r="111" spans="27:27">
      <c r="AA111">
        <v>616</v>
      </c>
    </row>
    <row r="112" spans="27:27">
      <c r="AA112">
        <v>4771</v>
      </c>
    </row>
    <row r="113" spans="27:27">
      <c r="AA113">
        <v>3987</v>
      </c>
    </row>
    <row r="114" spans="27:27">
      <c r="AA114">
        <v>3482</v>
      </c>
    </row>
    <row r="115" spans="27:27">
      <c r="AA115">
        <v>2009</v>
      </c>
    </row>
    <row r="116" spans="27:27">
      <c r="AA116">
        <v>82</v>
      </c>
    </row>
    <row r="117" spans="27:27">
      <c r="AA117">
        <v>839</v>
      </c>
    </row>
    <row r="118" spans="27:27">
      <c r="AA118">
        <v>822</v>
      </c>
    </row>
    <row r="119" spans="27:27">
      <c r="AA119">
        <v>2549</v>
      </c>
    </row>
    <row r="120" spans="27:27">
      <c r="AA120">
        <v>2031</v>
      </c>
    </row>
    <row r="121" spans="27:27">
      <c r="AA121">
        <v>531</v>
      </c>
    </row>
    <row r="122" spans="27:27">
      <c r="AA122">
        <v>1381</v>
      </c>
    </row>
    <row r="123" spans="27:27">
      <c r="AA123">
        <v>3216</v>
      </c>
    </row>
    <row r="124" spans="27:27">
      <c r="AA124">
        <v>4246</v>
      </c>
    </row>
    <row r="125" spans="27:27">
      <c r="AA125">
        <v>2490</v>
      </c>
    </row>
    <row r="126" spans="27:27">
      <c r="AA126">
        <v>939</v>
      </c>
    </row>
    <row r="127" spans="27:27">
      <c r="AA127">
        <v>4484</v>
      </c>
    </row>
    <row r="128" spans="27:27">
      <c r="AA128">
        <v>1865</v>
      </c>
    </row>
    <row r="129" spans="27:27">
      <c r="AA129">
        <v>1618</v>
      </c>
    </row>
    <row r="130" spans="27:27">
      <c r="AA130">
        <v>3855</v>
      </c>
    </row>
    <row r="131" spans="27:27">
      <c r="AA131">
        <v>1091</v>
      </c>
    </row>
    <row r="132" spans="27:27">
      <c r="AA132">
        <v>2235</v>
      </c>
    </row>
    <row r="133" spans="27:27">
      <c r="AA133">
        <v>1181</v>
      </c>
    </row>
    <row r="134" spans="27:27">
      <c r="AA134">
        <v>4392</v>
      </c>
    </row>
    <row r="135" spans="27:27">
      <c r="AA135">
        <v>3053</v>
      </c>
    </row>
    <row r="136" spans="27:27">
      <c r="AA136">
        <v>1873</v>
      </c>
    </row>
    <row r="137" spans="27:27">
      <c r="AA137">
        <v>1948</v>
      </c>
    </row>
    <row r="138" spans="27:27">
      <c r="AA138">
        <v>4303</v>
      </c>
    </row>
    <row r="139" spans="27:27">
      <c r="AA139">
        <v>2930</v>
      </c>
    </row>
    <row r="140" spans="27:27">
      <c r="AA140">
        <v>4658</v>
      </c>
    </row>
    <row r="141" spans="27:27">
      <c r="AA141">
        <v>2586</v>
      </c>
    </row>
    <row r="142" spans="27:27">
      <c r="AA142">
        <v>1652</v>
      </c>
    </row>
    <row r="143" spans="27:27">
      <c r="AA143">
        <v>4343</v>
      </c>
    </row>
    <row r="144" spans="27:27">
      <c r="AA144">
        <v>1296</v>
      </c>
    </row>
    <row r="145" spans="27:27">
      <c r="AA145">
        <v>1298</v>
      </c>
    </row>
    <row r="146" spans="27:27">
      <c r="AA146">
        <v>894</v>
      </c>
    </row>
    <row r="147" spans="27:27">
      <c r="AA147">
        <v>1735</v>
      </c>
    </row>
    <row r="148" spans="27:27">
      <c r="AA148">
        <v>13</v>
      </c>
    </row>
    <row r="149" spans="27:27">
      <c r="AA149">
        <v>3712</v>
      </c>
    </row>
    <row r="150" spans="27:27">
      <c r="AA150">
        <v>4205</v>
      </c>
    </row>
    <row r="151" spans="27:27">
      <c r="AA151">
        <v>1393</v>
      </c>
    </row>
    <row r="152" spans="27:27">
      <c r="AA152">
        <v>3515</v>
      </c>
    </row>
    <row r="153" spans="27:27">
      <c r="AA153">
        <v>2025</v>
      </c>
    </row>
    <row r="154" spans="27:27">
      <c r="AA154">
        <v>4058</v>
      </c>
    </row>
    <row r="155" spans="27:27">
      <c r="AA155">
        <v>3709</v>
      </c>
    </row>
    <row r="156" spans="27:27">
      <c r="AA156">
        <v>2189</v>
      </c>
    </row>
    <row r="157" spans="27:27">
      <c r="AA157">
        <v>390</v>
      </c>
    </row>
    <row r="158" spans="27:27">
      <c r="AA158">
        <v>2054</v>
      </c>
    </row>
    <row r="159" spans="27:27">
      <c r="AA159">
        <v>1697</v>
      </c>
    </row>
    <row r="160" spans="27:27">
      <c r="AA160">
        <v>3553</v>
      </c>
    </row>
    <row r="161" spans="27:27">
      <c r="AA161">
        <v>1562</v>
      </c>
    </row>
    <row r="162" spans="27:27">
      <c r="AA162">
        <v>3994</v>
      </c>
    </row>
    <row r="163" spans="27:27">
      <c r="AA163">
        <v>759</v>
      </c>
    </row>
    <row r="164" spans="27:27">
      <c r="AA164">
        <v>2965</v>
      </c>
    </row>
    <row r="165" spans="27:27">
      <c r="AA165">
        <v>4782</v>
      </c>
    </row>
    <row r="166" spans="27:27">
      <c r="AA166">
        <v>1216</v>
      </c>
    </row>
    <row r="167" spans="27:27">
      <c r="AA167">
        <v>4700</v>
      </c>
    </row>
    <row r="168" spans="27:27">
      <c r="AA168">
        <v>572</v>
      </c>
    </row>
    <row r="169" spans="27:27">
      <c r="AA169">
        <v>4922</v>
      </c>
    </row>
    <row r="170" spans="27:27">
      <c r="AA170">
        <v>3165</v>
      </c>
    </row>
    <row r="171" spans="27:27">
      <c r="AA171">
        <v>2995</v>
      </c>
    </row>
    <row r="172" spans="27:27">
      <c r="AA172">
        <v>4513</v>
      </c>
    </row>
    <row r="173" spans="27:27">
      <c r="AA173">
        <v>2875</v>
      </c>
    </row>
    <row r="174" spans="27:27">
      <c r="AA174">
        <v>1226</v>
      </c>
    </row>
    <row r="175" spans="27:27">
      <c r="AA175">
        <v>4301</v>
      </c>
    </row>
    <row r="176" spans="27:27">
      <c r="AA176">
        <v>375</v>
      </c>
    </row>
    <row r="177" spans="27:27">
      <c r="AA177">
        <v>2195</v>
      </c>
    </row>
    <row r="178" spans="27:27">
      <c r="AA178">
        <v>3800</v>
      </c>
    </row>
    <row r="179" spans="27:27">
      <c r="AA179">
        <v>1229</v>
      </c>
    </row>
    <row r="180" spans="27:27">
      <c r="AA180">
        <v>1894</v>
      </c>
    </row>
    <row r="181" spans="27:27">
      <c r="AA181">
        <v>1987</v>
      </c>
    </row>
    <row r="182" spans="27:27">
      <c r="AA182">
        <v>2633</v>
      </c>
    </row>
    <row r="183" spans="27:27">
      <c r="AA183">
        <v>1352</v>
      </c>
    </row>
    <row r="184" spans="27:27">
      <c r="AA184">
        <v>2906</v>
      </c>
    </row>
    <row r="185" spans="27:27">
      <c r="AA185">
        <v>1049</v>
      </c>
    </row>
    <row r="186" spans="27:27">
      <c r="AA186">
        <v>394</v>
      </c>
    </row>
    <row r="187" spans="27:27">
      <c r="AA187">
        <v>4478</v>
      </c>
    </row>
    <row r="188" spans="27:27">
      <c r="AA188">
        <v>558</v>
      </c>
    </row>
    <row r="189" spans="27:27">
      <c r="AA189">
        <v>3262</v>
      </c>
    </row>
    <row r="190" spans="27:27">
      <c r="AA190">
        <v>4502</v>
      </c>
    </row>
    <row r="191" spans="27:27">
      <c r="AA191">
        <v>1158</v>
      </c>
    </row>
    <row r="192" spans="27:27">
      <c r="AA192">
        <v>4750</v>
      </c>
    </row>
    <row r="193" spans="27:27">
      <c r="AA193">
        <v>4231</v>
      </c>
    </row>
    <row r="194" spans="27:27">
      <c r="AA194">
        <v>2207</v>
      </c>
    </row>
    <row r="195" spans="27:27">
      <c r="AA195">
        <v>2461</v>
      </c>
    </row>
    <row r="196" spans="27:27">
      <c r="AA196">
        <v>3848</v>
      </c>
    </row>
    <row r="197" spans="27:27">
      <c r="AA197">
        <v>4175</v>
      </c>
    </row>
    <row r="198" spans="27:27">
      <c r="AA198">
        <v>1913</v>
      </c>
    </row>
    <row r="199" spans="27:27">
      <c r="AA199">
        <v>978</v>
      </c>
    </row>
    <row r="200" spans="27:27">
      <c r="AA200">
        <v>1631</v>
      </c>
    </row>
    <row r="201" spans="27:27">
      <c r="AA201">
        <v>2067</v>
      </c>
    </row>
    <row r="202" spans="27:27">
      <c r="AA202">
        <v>764</v>
      </c>
    </row>
    <row r="203" spans="27:27">
      <c r="AA203">
        <v>3100</v>
      </c>
    </row>
    <row r="204" spans="27:27">
      <c r="AA204">
        <v>498</v>
      </c>
    </row>
    <row r="205" spans="27:27">
      <c r="AA205">
        <v>1026</v>
      </c>
    </row>
    <row r="206" spans="27:27">
      <c r="AA206">
        <v>3463</v>
      </c>
    </row>
    <row r="207" spans="27:27">
      <c r="AA207">
        <v>2523</v>
      </c>
    </row>
    <row r="208" spans="27:27">
      <c r="AA208">
        <v>916</v>
      </c>
    </row>
    <row r="209" spans="27:27">
      <c r="AA209">
        <v>4958</v>
      </c>
    </row>
    <row r="210" spans="27:27">
      <c r="AA210">
        <v>2357</v>
      </c>
    </row>
    <row r="211" spans="27:27">
      <c r="AA211">
        <v>21</v>
      </c>
    </row>
    <row r="212" spans="27:27">
      <c r="AA212">
        <v>2130</v>
      </c>
    </row>
    <row r="213" spans="27:27">
      <c r="AA213">
        <v>1444</v>
      </c>
    </row>
    <row r="214" spans="27:27">
      <c r="AA214">
        <v>3763</v>
      </c>
    </row>
    <row r="215" spans="27:27">
      <c r="AA215">
        <v>4457</v>
      </c>
    </row>
    <row r="216" spans="27:27">
      <c r="AA216">
        <v>4110</v>
      </c>
    </row>
    <row r="217" spans="27:27">
      <c r="AA217">
        <v>885</v>
      </c>
    </row>
    <row r="218" spans="27:27">
      <c r="AA218">
        <v>544</v>
      </c>
    </row>
    <row r="219" spans="27:27">
      <c r="AA219">
        <v>52</v>
      </c>
    </row>
    <row r="220" spans="27:27">
      <c r="AA220">
        <v>759</v>
      </c>
    </row>
    <row r="221" spans="27:27">
      <c r="AA221">
        <v>1888</v>
      </c>
    </row>
    <row r="222" spans="27:27">
      <c r="AA222">
        <v>941</v>
      </c>
    </row>
    <row r="223" spans="27:27">
      <c r="AA223">
        <v>4898</v>
      </c>
    </row>
    <row r="224" spans="27:27">
      <c r="AA224">
        <v>4361</v>
      </c>
    </row>
    <row r="225" spans="27:27">
      <c r="AA225">
        <v>2908</v>
      </c>
    </row>
    <row r="226" spans="27:27">
      <c r="AA226">
        <v>3648</v>
      </c>
    </row>
    <row r="227" spans="27:27">
      <c r="AA227">
        <v>726</v>
      </c>
    </row>
    <row r="228" spans="27:27">
      <c r="AA228">
        <v>1289</v>
      </c>
    </row>
    <row r="229" spans="27:27">
      <c r="AA229">
        <v>142</v>
      </c>
    </row>
    <row r="230" spans="27:27">
      <c r="AA230">
        <v>4140</v>
      </c>
    </row>
    <row r="231" spans="27:27">
      <c r="AA231">
        <v>3917</v>
      </c>
    </row>
    <row r="232" spans="27:27">
      <c r="AA232">
        <v>3956</v>
      </c>
    </row>
    <row r="233" spans="27:27">
      <c r="AA233">
        <v>1664</v>
      </c>
    </row>
    <row r="234" spans="27:27">
      <c r="AA234">
        <v>2255</v>
      </c>
    </row>
    <row r="235" spans="27:27">
      <c r="AA235">
        <v>2776</v>
      </c>
    </row>
    <row r="236" spans="27:27">
      <c r="AA236">
        <v>4017</v>
      </c>
    </row>
    <row r="237" spans="27:27">
      <c r="AA237">
        <v>2820</v>
      </c>
    </row>
    <row r="238" spans="27:27">
      <c r="AA238">
        <v>1018</v>
      </c>
    </row>
    <row r="239" spans="27:27">
      <c r="AA239">
        <v>1038</v>
      </c>
    </row>
    <row r="240" spans="27:27">
      <c r="AA240">
        <v>1824</v>
      </c>
    </row>
    <row r="241" spans="27:27">
      <c r="AA241">
        <v>2868</v>
      </c>
    </row>
  </sheetData>
  <sheetProtection sheet="1" objects="1" scenarios="1"/>
  <mergeCells count="3">
    <mergeCell ref="A1:B3"/>
    <mergeCell ref="A5:B5"/>
    <mergeCell ref="A6:B6"/>
  </mergeCells>
  <conditionalFormatting sqref="B15">
    <cfRule type="cellIs" dxfId="0" priority="1" stopIfTrue="1" operator="greaterThan">
      <formula>300</formula>
    </cfRule>
  </conditionalFormatting>
  <dataValidations xWindow="444" yWindow="320" count="4">
    <dataValidation type="decimal" allowBlank="1" showInputMessage="1" showErrorMessage="1" errorTitle="Invalid Entry" error="The expected population exception rate must be between zero and 25%." promptTitle="EPER" prompt="Enter in cell B10 a value between zero and 25% (0.25)." sqref="B10">
      <formula1>0</formula1>
      <formula2>0.25</formula2>
    </dataValidation>
    <dataValidation type="decimal" allowBlank="1" showInputMessage="1" showErrorMessage="1" errorTitle="Invalid Entry" error="RACRTL must be greater than zero but not greater than 25%." promptTitle="RACRTL" prompt="Enter in cell B12 a value greater than zero but not greater than 25% (0.25)." sqref="B12">
      <formula1>0.00000001</formula1>
      <formula2>0.25</formula2>
    </dataValidation>
    <dataValidation type="whole" allowBlank="1" showInputMessage="1" showErrorMessage="1" error="Population size must be between 1 and 100,000. If population size exceeds 100,000 or is unknown, enter 100,000." promptTitle="Population Size" prompt="Enter in cell B9 a value between 1 and 100,000. If population size exceeds 100,000 or is unknown, enter 100,000." sqref="B9">
      <formula1>1</formula1>
      <formula2>100000</formula2>
    </dataValidation>
    <dataValidation type="decimal" allowBlank="1" showInputMessage="1" showErrorMessage="1" errorTitle="Invalid Entry" error="The tolerable exception rate must be greater than zero but not greater than 25%." promptTitle="TER" prompt="Enter in cell B11 a value greater than the EPER but not greater than 25% (0.25)." sqref="B11">
      <formula1>0.00000001</formula1>
      <formula2>0.25</formula2>
    </dataValidation>
  </dataValidations>
  <printOptions horizontalCentered="1"/>
  <pageMargins left="0.75" right="0.75" top="1" bottom="1" header="0.5" footer="0.5"/>
  <pageSetup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3"/>
  <dimension ref="A1:BB307"/>
  <sheetViews>
    <sheetView zoomScale="84" zoomScaleNormal="84" workbookViewId="0">
      <selection activeCell="K61" sqref="K61"/>
    </sheetView>
  </sheetViews>
  <sheetFormatPr defaultRowHeight="12.75"/>
  <cols>
    <col min="1" max="1" width="7.42578125" style="2" bestFit="1" customWidth="1"/>
    <col min="2" max="2" width="11.42578125" style="2" bestFit="1" customWidth="1"/>
    <col min="3" max="3" width="10.28515625" style="2" bestFit="1" customWidth="1"/>
    <col min="4" max="4" width="11.85546875" style="2" bestFit="1" customWidth="1"/>
    <col min="5" max="6" width="7.42578125" style="2" bestFit="1" customWidth="1"/>
    <col min="7" max="7" width="11.42578125" style="2" bestFit="1" customWidth="1"/>
    <col min="8" max="8" width="10.28515625" style="2" bestFit="1" customWidth="1"/>
    <col min="9" max="9" width="11.85546875" style="2" bestFit="1" customWidth="1"/>
    <col min="10" max="10" width="11.42578125" style="2" bestFit="1" customWidth="1"/>
    <col min="11" max="11" width="9.42578125" style="2" bestFit="1" customWidth="1"/>
    <col min="12" max="12" width="10.7109375" style="2" bestFit="1" customWidth="1"/>
    <col min="13" max="13" width="2" bestFit="1" customWidth="1"/>
    <col min="14" max="14" width="21" bestFit="1" customWidth="1"/>
    <col min="15" max="15" width="2" bestFit="1" customWidth="1"/>
    <col min="16" max="16" width="9.42578125" bestFit="1" customWidth="1"/>
    <col min="17" max="17" width="11.85546875" bestFit="1" customWidth="1"/>
    <col min="18" max="18" width="19" bestFit="1" customWidth="1"/>
    <col min="19" max="19" width="9.42578125" bestFit="1" customWidth="1"/>
    <col min="20" max="20" width="11.85546875" bestFit="1" customWidth="1"/>
    <col min="25" max="25" width="3" bestFit="1" customWidth="1"/>
    <col min="26" max="26" width="4" bestFit="1" customWidth="1"/>
    <col min="27" max="27" width="4" style="2" bestFit="1" customWidth="1"/>
    <col min="28" max="28" width="5.42578125" bestFit="1" customWidth="1"/>
    <col min="29" max="29" width="4" style="2" bestFit="1" customWidth="1"/>
    <col min="31" max="31" width="3" style="2" bestFit="1" customWidth="1"/>
    <col min="32" max="32" width="4" style="2" bestFit="1" customWidth="1"/>
    <col min="54" max="54" width="5" style="2" bestFit="1" customWidth="1"/>
  </cols>
  <sheetData>
    <row r="1" spans="1:32">
      <c r="A1" s="14" t="s">
        <v>7</v>
      </c>
      <c r="B1" s="14" t="s">
        <v>8</v>
      </c>
      <c r="C1" s="14" t="s">
        <v>31</v>
      </c>
      <c r="D1" s="14" t="s">
        <v>11</v>
      </c>
      <c r="E1" s="14"/>
      <c r="F1" s="14" t="s">
        <v>7</v>
      </c>
      <c r="G1" s="14" t="s">
        <v>8</v>
      </c>
      <c r="H1" s="14" t="s">
        <v>31</v>
      </c>
      <c r="I1" s="14" t="s">
        <v>11</v>
      </c>
      <c r="J1" s="14"/>
      <c r="K1" s="14"/>
      <c r="L1" s="14"/>
      <c r="AA1"/>
      <c r="AC1"/>
      <c r="AE1"/>
      <c r="AF1"/>
    </row>
    <row r="2" spans="1:32">
      <c r="A2" s="2">
        <v>1</v>
      </c>
      <c r="B2" s="2">
        <v>4003</v>
      </c>
      <c r="C2" s="14"/>
      <c r="D2" s="14"/>
      <c r="E2" s="14"/>
      <c r="F2" s="2">
        <v>51</v>
      </c>
      <c r="G2" s="2">
        <v>4266</v>
      </c>
      <c r="H2" s="14"/>
      <c r="I2" s="14"/>
      <c r="K2" s="14"/>
      <c r="L2" s="14"/>
      <c r="AA2"/>
      <c r="AC2"/>
      <c r="AE2"/>
      <c r="AF2"/>
    </row>
    <row r="3" spans="1:32">
      <c r="A3" s="2">
        <v>2</v>
      </c>
      <c r="B3" s="2">
        <v>4006</v>
      </c>
      <c r="C3" s="14"/>
      <c r="D3" s="14"/>
      <c r="E3" s="14"/>
      <c r="F3" s="2">
        <v>52</v>
      </c>
      <c r="G3" s="2">
        <v>4268</v>
      </c>
      <c r="H3" s="14"/>
      <c r="I3" s="14"/>
      <c r="K3" s="14"/>
      <c r="L3" s="14"/>
      <c r="AA3"/>
      <c r="AC3"/>
      <c r="AE3"/>
      <c r="AF3"/>
    </row>
    <row r="4" spans="1:32">
      <c r="A4" s="2">
        <v>3</v>
      </c>
      <c r="B4" s="2">
        <v>4007</v>
      </c>
      <c r="C4" s="14"/>
      <c r="D4" s="14"/>
      <c r="E4" s="14"/>
      <c r="F4" s="2">
        <v>53</v>
      </c>
      <c r="G4" s="2">
        <v>4269</v>
      </c>
      <c r="H4" s="14"/>
      <c r="I4" s="14"/>
      <c r="K4" s="14"/>
      <c r="L4" s="14"/>
      <c r="AA4"/>
      <c r="AC4"/>
      <c r="AE4"/>
      <c r="AF4"/>
    </row>
    <row r="5" spans="1:32">
      <c r="A5" s="2">
        <v>4</v>
      </c>
      <c r="B5" s="2">
        <v>4011</v>
      </c>
      <c r="C5" s="14"/>
      <c r="D5" s="14"/>
      <c r="E5" s="14"/>
      <c r="F5" s="2">
        <v>54</v>
      </c>
      <c r="G5" s="2">
        <v>4273</v>
      </c>
      <c r="H5" s="14"/>
      <c r="I5" s="14"/>
      <c r="K5" s="14"/>
      <c r="L5" s="14"/>
      <c r="AA5"/>
      <c r="AC5"/>
      <c r="AE5"/>
      <c r="AF5"/>
    </row>
    <row r="6" spans="1:32">
      <c r="A6" s="2">
        <v>5</v>
      </c>
      <c r="B6" s="2">
        <v>4015</v>
      </c>
      <c r="C6" s="14"/>
      <c r="D6" s="14"/>
      <c r="E6" s="14"/>
      <c r="F6" s="2">
        <v>55</v>
      </c>
      <c r="G6" s="2">
        <v>4274</v>
      </c>
      <c r="H6" s="14"/>
      <c r="I6" s="14"/>
      <c r="K6" s="14"/>
      <c r="L6" s="14"/>
      <c r="AA6"/>
      <c r="AC6"/>
      <c r="AE6"/>
      <c r="AF6"/>
    </row>
    <row r="7" spans="1:32">
      <c r="A7" s="2">
        <v>6</v>
      </c>
      <c r="B7" s="2">
        <v>4018</v>
      </c>
      <c r="C7" s="14"/>
      <c r="D7" s="14"/>
      <c r="E7" s="14"/>
      <c r="F7" s="2">
        <v>56</v>
      </c>
      <c r="G7" s="2">
        <v>4279</v>
      </c>
      <c r="H7" s="14"/>
      <c r="I7" s="14"/>
      <c r="K7" s="14"/>
      <c r="L7" s="14"/>
      <c r="AA7"/>
      <c r="AC7"/>
      <c r="AE7"/>
      <c r="AF7"/>
    </row>
    <row r="8" spans="1:32">
      <c r="A8" s="2">
        <v>7</v>
      </c>
      <c r="B8" s="2">
        <v>4022</v>
      </c>
      <c r="C8" s="14"/>
      <c r="D8" s="14"/>
      <c r="E8" s="14"/>
      <c r="F8" s="2">
        <v>57</v>
      </c>
      <c r="G8" s="2">
        <v>4281</v>
      </c>
      <c r="H8" s="14"/>
      <c r="I8" s="14"/>
      <c r="K8" s="14"/>
      <c r="L8" s="14"/>
      <c r="AA8"/>
      <c r="AC8"/>
      <c r="AE8"/>
      <c r="AF8"/>
    </row>
    <row r="9" spans="1:32">
      <c r="A9" s="2">
        <v>8</v>
      </c>
      <c r="B9" s="2">
        <v>4025</v>
      </c>
      <c r="C9" s="14"/>
      <c r="D9" s="14"/>
      <c r="E9" s="14"/>
      <c r="F9" s="2">
        <v>58</v>
      </c>
      <c r="G9" s="2">
        <v>4286</v>
      </c>
      <c r="H9" s="14"/>
      <c r="I9" s="14"/>
      <c r="K9" s="14"/>
      <c r="L9" s="14"/>
      <c r="AA9"/>
      <c r="AC9"/>
      <c r="AE9"/>
      <c r="AF9"/>
    </row>
    <row r="10" spans="1:32">
      <c r="A10" s="2">
        <v>9</v>
      </c>
      <c r="B10" s="2">
        <v>4029</v>
      </c>
      <c r="C10" s="14"/>
      <c r="D10" s="14"/>
      <c r="E10" s="14"/>
      <c r="F10" s="2">
        <v>59</v>
      </c>
      <c r="G10" s="2">
        <v>4297</v>
      </c>
      <c r="H10" s="14"/>
      <c r="I10" s="14"/>
      <c r="K10" s="14"/>
      <c r="L10" s="14"/>
      <c r="AA10"/>
      <c r="AC10"/>
      <c r="AE10"/>
      <c r="AF10"/>
    </row>
    <row r="11" spans="1:32">
      <c r="A11" s="2">
        <v>10</v>
      </c>
      <c r="B11" s="2">
        <v>4035</v>
      </c>
      <c r="C11" s="14"/>
      <c r="D11" s="14"/>
      <c r="E11" s="14"/>
      <c r="F11" s="2">
        <v>60</v>
      </c>
      <c r="G11" s="2">
        <v>4301</v>
      </c>
      <c r="H11" s="14"/>
      <c r="I11" s="14"/>
      <c r="K11" s="14"/>
      <c r="L11" s="14"/>
      <c r="AA11"/>
      <c r="AC11"/>
      <c r="AE11"/>
      <c r="AF11"/>
    </row>
    <row r="12" spans="1:32">
      <c r="A12" s="2">
        <v>11</v>
      </c>
      <c r="B12" s="2">
        <v>4037</v>
      </c>
      <c r="C12" s="14"/>
      <c r="D12" s="14"/>
      <c r="E12" s="14"/>
      <c r="F12" s="2">
        <v>61</v>
      </c>
      <c r="G12" s="2">
        <v>4302</v>
      </c>
      <c r="H12" s="14"/>
      <c r="I12" s="14"/>
      <c r="K12" s="14"/>
      <c r="L12" s="14"/>
      <c r="AA12"/>
      <c r="AC12"/>
      <c r="AE12"/>
      <c r="AF12"/>
    </row>
    <row r="13" spans="1:32">
      <c r="A13" s="2">
        <v>12</v>
      </c>
      <c r="B13" s="2">
        <v>4038</v>
      </c>
      <c r="C13" s="14"/>
      <c r="D13" s="14"/>
      <c r="E13" s="14"/>
      <c r="F13" s="2">
        <v>62</v>
      </c>
      <c r="G13" s="2">
        <v>4306</v>
      </c>
      <c r="H13" s="14"/>
      <c r="I13" s="14"/>
      <c r="K13" s="14"/>
      <c r="L13" s="14"/>
      <c r="AA13"/>
      <c r="AC13"/>
      <c r="AE13"/>
      <c r="AF13"/>
    </row>
    <row r="14" spans="1:32">
      <c r="A14" s="2">
        <v>13</v>
      </c>
      <c r="B14" s="2">
        <v>4040</v>
      </c>
      <c r="C14" s="14"/>
      <c r="D14" s="14"/>
      <c r="E14" s="14"/>
      <c r="F14" s="2">
        <v>63</v>
      </c>
      <c r="G14" s="2">
        <v>4307</v>
      </c>
      <c r="H14" s="14"/>
      <c r="I14" s="14"/>
      <c r="K14" s="14"/>
      <c r="L14" s="14"/>
      <c r="AA14"/>
      <c r="AC14"/>
      <c r="AE14"/>
      <c r="AF14"/>
    </row>
    <row r="15" spans="1:32">
      <c r="A15" s="2">
        <v>14</v>
      </c>
      <c r="B15" s="2">
        <v>4047</v>
      </c>
      <c r="C15" s="14"/>
      <c r="D15" s="14"/>
      <c r="E15" s="14"/>
      <c r="F15" s="2">
        <v>64</v>
      </c>
      <c r="G15" s="2">
        <v>4310</v>
      </c>
      <c r="H15" s="14"/>
      <c r="I15" s="14"/>
      <c r="K15" s="14"/>
      <c r="L15" s="14"/>
      <c r="AA15"/>
      <c r="AC15"/>
      <c r="AE15"/>
      <c r="AF15"/>
    </row>
    <row r="16" spans="1:32">
      <c r="A16" s="2">
        <v>15</v>
      </c>
      <c r="B16" s="2">
        <v>4049</v>
      </c>
      <c r="C16" s="14"/>
      <c r="D16" s="14"/>
      <c r="E16" s="14"/>
      <c r="F16" s="2">
        <v>65</v>
      </c>
      <c r="G16" s="2">
        <v>4315</v>
      </c>
      <c r="H16" s="14"/>
      <c r="I16" s="14"/>
      <c r="K16" s="14"/>
      <c r="L16" s="14"/>
      <c r="AA16"/>
      <c r="AC16"/>
      <c r="AE16"/>
      <c r="AF16"/>
    </row>
    <row r="17" spans="1:32">
      <c r="A17" s="2">
        <v>16</v>
      </c>
      <c r="B17" s="2">
        <v>4050</v>
      </c>
      <c r="C17" s="14"/>
      <c r="D17" s="14"/>
      <c r="E17" s="14"/>
      <c r="F17" s="2">
        <v>66</v>
      </c>
      <c r="G17" s="2">
        <v>4330</v>
      </c>
      <c r="H17" s="14"/>
      <c r="I17" s="14"/>
      <c r="K17" s="14"/>
      <c r="L17" s="14"/>
      <c r="AA17"/>
      <c r="AC17"/>
      <c r="AE17"/>
      <c r="AF17"/>
    </row>
    <row r="18" spans="1:32">
      <c r="A18" s="2">
        <v>17</v>
      </c>
      <c r="B18" s="2">
        <v>4057</v>
      </c>
      <c r="C18" s="14"/>
      <c r="D18" s="14"/>
      <c r="E18" s="14"/>
      <c r="F18" s="2">
        <v>67</v>
      </c>
      <c r="G18" s="2">
        <v>4331</v>
      </c>
      <c r="H18" s="14"/>
      <c r="I18" s="14"/>
      <c r="K18" s="14"/>
      <c r="L18" s="14"/>
      <c r="AA18"/>
      <c r="AC18"/>
      <c r="AE18"/>
      <c r="AF18"/>
    </row>
    <row r="19" spans="1:32">
      <c r="A19" s="2">
        <v>18</v>
      </c>
      <c r="B19" s="2">
        <v>4059</v>
      </c>
      <c r="C19" s="14"/>
      <c r="D19" s="14"/>
      <c r="E19" s="14"/>
      <c r="F19" s="2">
        <v>68</v>
      </c>
      <c r="G19" s="2">
        <v>4335</v>
      </c>
      <c r="H19" s="14"/>
      <c r="I19" s="14"/>
      <c r="K19" s="14"/>
      <c r="L19" s="14"/>
      <c r="AA19"/>
      <c r="AC19"/>
      <c r="AE19"/>
      <c r="AF19"/>
    </row>
    <row r="20" spans="1:32">
      <c r="A20" s="2">
        <v>19</v>
      </c>
      <c r="B20" s="2">
        <v>4066</v>
      </c>
      <c r="C20" s="14"/>
      <c r="D20" s="14"/>
      <c r="E20" s="14"/>
      <c r="F20" s="2">
        <v>69</v>
      </c>
      <c r="G20" s="2">
        <v>4336</v>
      </c>
      <c r="H20" s="14"/>
      <c r="I20" s="14"/>
      <c r="K20" s="14"/>
      <c r="L20" s="14"/>
      <c r="AA20"/>
      <c r="AC20"/>
      <c r="AE20"/>
      <c r="AF20"/>
    </row>
    <row r="21" spans="1:32">
      <c r="A21" s="2">
        <v>20</v>
      </c>
      <c r="B21" s="2">
        <v>4070</v>
      </c>
      <c r="C21" s="14"/>
      <c r="D21" s="14"/>
      <c r="E21" s="14"/>
      <c r="F21" s="2">
        <v>70</v>
      </c>
      <c r="G21" s="2">
        <v>4337</v>
      </c>
      <c r="H21" s="14"/>
      <c r="I21" s="14"/>
      <c r="K21" s="14"/>
      <c r="L21" s="14"/>
      <c r="AA21"/>
      <c r="AC21"/>
      <c r="AE21"/>
      <c r="AF21"/>
    </row>
    <row r="22" spans="1:32">
      <c r="A22" s="2">
        <v>21</v>
      </c>
      <c r="B22" s="2">
        <v>4082</v>
      </c>
      <c r="C22" s="14"/>
      <c r="D22" s="14"/>
      <c r="E22" s="14"/>
      <c r="F22" s="2">
        <v>71</v>
      </c>
      <c r="G22" s="2">
        <v>4340</v>
      </c>
      <c r="H22" s="14"/>
      <c r="I22" s="14"/>
      <c r="K22" s="14"/>
      <c r="L22" s="14"/>
      <c r="AA22"/>
      <c r="AC22"/>
      <c r="AE22"/>
      <c r="AF22"/>
    </row>
    <row r="23" spans="1:32">
      <c r="A23" s="2">
        <v>22</v>
      </c>
      <c r="B23" s="2">
        <v>4090</v>
      </c>
      <c r="C23" s="14"/>
      <c r="D23" s="14"/>
      <c r="E23" s="14"/>
      <c r="F23" s="2">
        <v>72</v>
      </c>
      <c r="G23" s="2">
        <v>4347</v>
      </c>
      <c r="H23" s="14"/>
      <c r="I23" s="14"/>
      <c r="K23" s="14"/>
      <c r="L23" s="14"/>
      <c r="AA23"/>
      <c r="AC23"/>
      <c r="AE23"/>
      <c r="AF23"/>
    </row>
    <row r="24" spans="1:32">
      <c r="A24" s="2">
        <v>23</v>
      </c>
      <c r="B24" s="2">
        <v>4091</v>
      </c>
      <c r="C24" s="14"/>
      <c r="D24" s="14"/>
      <c r="E24" s="14"/>
      <c r="F24" s="2">
        <v>73</v>
      </c>
      <c r="G24" s="2">
        <v>4357</v>
      </c>
      <c r="H24" s="14"/>
      <c r="I24" s="14"/>
      <c r="K24" s="14"/>
      <c r="L24" s="14"/>
      <c r="AA24"/>
      <c r="AC24"/>
      <c r="AE24"/>
      <c r="AF24"/>
    </row>
    <row r="25" spans="1:32">
      <c r="A25" s="2">
        <v>24</v>
      </c>
      <c r="B25" s="2">
        <v>4092</v>
      </c>
      <c r="C25" s="14"/>
      <c r="D25" s="14"/>
      <c r="E25" s="14"/>
      <c r="F25" s="2">
        <v>74</v>
      </c>
      <c r="G25" s="2">
        <v>4363</v>
      </c>
      <c r="H25" s="14"/>
      <c r="I25" s="14"/>
      <c r="K25" s="14"/>
      <c r="L25" s="14"/>
      <c r="AA25"/>
      <c r="AC25"/>
      <c r="AE25"/>
      <c r="AF25"/>
    </row>
    <row r="26" spans="1:32">
      <c r="A26" s="2">
        <v>25</v>
      </c>
      <c r="B26" s="2">
        <v>4103</v>
      </c>
      <c r="C26" s="14"/>
      <c r="D26" s="14"/>
      <c r="E26" s="14"/>
      <c r="F26" s="2">
        <v>75</v>
      </c>
      <c r="G26" s="2">
        <v>4364</v>
      </c>
      <c r="H26" s="14"/>
      <c r="I26" s="14"/>
      <c r="K26" s="14"/>
      <c r="L26" s="14"/>
      <c r="AA26"/>
      <c r="AC26"/>
      <c r="AE26"/>
      <c r="AF26"/>
    </row>
    <row r="27" spans="1:32">
      <c r="A27" s="2">
        <v>26</v>
      </c>
      <c r="B27" s="2">
        <v>4109</v>
      </c>
      <c r="C27" s="14"/>
      <c r="D27" s="14"/>
      <c r="E27" s="14"/>
      <c r="F27" s="2">
        <v>76</v>
      </c>
      <c r="G27" s="2">
        <v>4379</v>
      </c>
      <c r="H27" s="14"/>
      <c r="I27" s="14"/>
      <c r="K27" s="14"/>
      <c r="L27" s="14"/>
      <c r="AA27"/>
      <c r="AC27"/>
      <c r="AE27"/>
      <c r="AF27"/>
    </row>
    <row r="28" spans="1:32">
      <c r="A28" s="2">
        <v>27</v>
      </c>
      <c r="B28" s="2">
        <v>4112</v>
      </c>
      <c r="C28" s="14"/>
      <c r="D28" s="14"/>
      <c r="E28" s="14"/>
      <c r="F28" s="2">
        <v>77</v>
      </c>
      <c r="G28" s="2">
        <v>4384</v>
      </c>
      <c r="H28" s="14"/>
      <c r="I28" s="14"/>
      <c r="K28" s="14"/>
      <c r="L28" s="14"/>
      <c r="AA28"/>
      <c r="AC28"/>
      <c r="AE28"/>
      <c r="AF28"/>
    </row>
    <row r="29" spans="1:32">
      <c r="A29" s="2">
        <v>28</v>
      </c>
      <c r="B29" s="2">
        <v>4118</v>
      </c>
      <c r="C29" s="14"/>
      <c r="D29" s="14"/>
      <c r="E29" s="14"/>
      <c r="F29" s="2">
        <v>78</v>
      </c>
      <c r="G29" s="2">
        <v>4398</v>
      </c>
      <c r="H29" s="14"/>
      <c r="I29" s="14"/>
      <c r="K29" s="14"/>
      <c r="L29" s="14"/>
      <c r="AA29"/>
      <c r="AC29"/>
      <c r="AE29"/>
      <c r="AF29"/>
    </row>
    <row r="30" spans="1:32">
      <c r="A30" s="2">
        <v>29</v>
      </c>
      <c r="B30" s="2">
        <v>4123</v>
      </c>
      <c r="C30" s="14"/>
      <c r="D30" s="14"/>
      <c r="E30" s="14"/>
      <c r="F30" s="2">
        <v>79</v>
      </c>
      <c r="G30" s="2">
        <v>4407</v>
      </c>
      <c r="H30" s="14"/>
      <c r="I30" s="14"/>
      <c r="K30" s="14"/>
      <c r="L30" s="14"/>
      <c r="AA30"/>
      <c r="AC30"/>
      <c r="AE30"/>
      <c r="AF30"/>
    </row>
    <row r="31" spans="1:32">
      <c r="A31" s="2">
        <v>30</v>
      </c>
      <c r="B31" s="2">
        <v>4132</v>
      </c>
      <c r="C31" s="14"/>
      <c r="D31" s="14"/>
      <c r="E31" s="14"/>
      <c r="F31" s="2">
        <v>80</v>
      </c>
      <c r="G31" s="2">
        <v>4410</v>
      </c>
      <c r="H31" s="14"/>
      <c r="I31" s="14"/>
      <c r="K31" s="14"/>
      <c r="L31" s="14"/>
      <c r="AA31"/>
      <c r="AC31"/>
      <c r="AE31"/>
      <c r="AF31"/>
    </row>
    <row r="32" spans="1:32">
      <c r="A32" s="2">
        <v>31</v>
      </c>
      <c r="B32" s="2">
        <v>4137</v>
      </c>
      <c r="C32" s="14"/>
      <c r="D32" s="14"/>
      <c r="E32" s="14"/>
      <c r="F32" s="2">
        <v>81</v>
      </c>
      <c r="G32" s="2">
        <v>4413</v>
      </c>
      <c r="H32" s="14"/>
      <c r="I32" s="14"/>
      <c r="K32" s="14"/>
      <c r="L32" s="14"/>
      <c r="AA32"/>
      <c r="AC32"/>
      <c r="AE32"/>
      <c r="AF32"/>
    </row>
    <row r="33" spans="1:32">
      <c r="A33" s="2">
        <v>32</v>
      </c>
      <c r="B33" s="2">
        <v>4145</v>
      </c>
      <c r="C33" s="14"/>
      <c r="D33" s="14"/>
      <c r="E33" s="14"/>
      <c r="F33" s="2">
        <v>82</v>
      </c>
      <c r="G33" s="2">
        <v>4422</v>
      </c>
      <c r="H33" s="14"/>
      <c r="I33" s="14"/>
      <c r="K33" s="14"/>
      <c r="L33" s="14"/>
      <c r="AA33"/>
      <c r="AC33"/>
      <c r="AE33"/>
      <c r="AF33"/>
    </row>
    <row r="34" spans="1:32">
      <c r="A34" s="2">
        <v>33</v>
      </c>
      <c r="B34" s="2">
        <v>4159</v>
      </c>
      <c r="C34" s="14"/>
      <c r="D34" s="14"/>
      <c r="E34" s="14"/>
      <c r="F34" s="2">
        <v>83</v>
      </c>
      <c r="G34" s="2">
        <v>4429</v>
      </c>
      <c r="H34" s="14"/>
      <c r="I34" s="14"/>
      <c r="K34" s="14"/>
      <c r="L34" s="14"/>
      <c r="AA34"/>
      <c r="AC34"/>
      <c r="AE34"/>
      <c r="AF34"/>
    </row>
    <row r="35" spans="1:32">
      <c r="A35" s="2">
        <v>34</v>
      </c>
      <c r="B35" s="2">
        <v>4161</v>
      </c>
      <c r="C35" s="14"/>
      <c r="D35" s="14"/>
      <c r="E35" s="14"/>
      <c r="F35" s="2">
        <v>84</v>
      </c>
      <c r="G35" s="2">
        <v>4431</v>
      </c>
      <c r="H35" s="14"/>
      <c r="I35" s="14"/>
      <c r="K35" s="14"/>
      <c r="L35" s="14"/>
      <c r="AA35"/>
      <c r="AC35"/>
      <c r="AE35"/>
      <c r="AF35"/>
    </row>
    <row r="36" spans="1:32">
      <c r="A36" s="2">
        <v>35</v>
      </c>
      <c r="B36" s="2">
        <v>4165</v>
      </c>
      <c r="C36" s="14"/>
      <c r="D36" s="14"/>
      <c r="E36" s="14"/>
      <c r="F36" s="2">
        <v>85</v>
      </c>
      <c r="G36" s="2">
        <v>4434</v>
      </c>
      <c r="H36" s="14"/>
      <c r="I36" s="14"/>
      <c r="K36" s="14"/>
      <c r="L36" s="14"/>
      <c r="AA36"/>
      <c r="AC36"/>
      <c r="AE36"/>
      <c r="AF36"/>
    </row>
    <row r="37" spans="1:32">
      <c r="A37" s="2">
        <v>36</v>
      </c>
      <c r="B37" s="2">
        <v>4172</v>
      </c>
      <c r="C37" s="14"/>
      <c r="D37" s="14"/>
      <c r="E37" s="14"/>
      <c r="F37" s="2">
        <v>86</v>
      </c>
      <c r="G37" s="2">
        <v>4440</v>
      </c>
      <c r="H37" s="14"/>
      <c r="I37" s="14"/>
      <c r="K37" s="14"/>
      <c r="L37" s="14"/>
      <c r="AA37"/>
      <c r="AC37"/>
      <c r="AE37"/>
      <c r="AF37"/>
    </row>
    <row r="38" spans="1:32">
      <c r="A38" s="2">
        <v>37</v>
      </c>
      <c r="B38" s="2">
        <v>4173</v>
      </c>
      <c r="C38" s="14"/>
      <c r="D38" s="14"/>
      <c r="E38" s="14"/>
      <c r="F38" s="2">
        <v>87</v>
      </c>
      <c r="G38" s="2">
        <v>4464</v>
      </c>
      <c r="H38" s="14"/>
      <c r="I38" s="14"/>
      <c r="K38" s="14"/>
      <c r="L38" s="14"/>
      <c r="AA38"/>
      <c r="AC38"/>
      <c r="AE38"/>
      <c r="AF38"/>
    </row>
    <row r="39" spans="1:32">
      <c r="A39" s="2">
        <v>38</v>
      </c>
      <c r="B39" s="2">
        <v>4179</v>
      </c>
      <c r="C39" s="14"/>
      <c r="D39" s="14"/>
      <c r="E39" s="14"/>
      <c r="F39" s="2">
        <v>88</v>
      </c>
      <c r="G39" s="2">
        <v>4475</v>
      </c>
      <c r="H39" s="14"/>
      <c r="I39" s="14"/>
      <c r="K39" s="14"/>
      <c r="L39" s="14"/>
      <c r="AA39"/>
      <c r="AC39"/>
      <c r="AE39"/>
      <c r="AF39"/>
    </row>
    <row r="40" spans="1:32">
      <c r="A40" s="2">
        <v>39</v>
      </c>
      <c r="B40" s="2">
        <v>4188</v>
      </c>
      <c r="C40" s="14"/>
      <c r="D40" s="14"/>
      <c r="E40" s="14"/>
      <c r="F40" s="2">
        <v>89</v>
      </c>
      <c r="G40" s="2">
        <v>4477</v>
      </c>
      <c r="H40" s="14"/>
      <c r="I40" s="14"/>
      <c r="K40" s="14"/>
      <c r="L40" s="14"/>
      <c r="AA40"/>
      <c r="AC40"/>
      <c r="AE40"/>
      <c r="AF40"/>
    </row>
    <row r="41" spans="1:32">
      <c r="A41" s="2">
        <v>40</v>
      </c>
      <c r="B41" s="2">
        <v>4195</v>
      </c>
      <c r="C41" s="14"/>
      <c r="D41" s="14"/>
      <c r="E41" s="14"/>
      <c r="F41" s="2">
        <v>90</v>
      </c>
      <c r="G41" s="2">
        <v>4479</v>
      </c>
      <c r="H41" s="14"/>
      <c r="I41" s="14"/>
      <c r="K41" s="14"/>
      <c r="L41" s="14"/>
      <c r="AA41"/>
      <c r="AC41"/>
      <c r="AE41"/>
      <c r="AF41"/>
    </row>
    <row r="42" spans="1:32">
      <c r="A42" s="2">
        <v>41</v>
      </c>
      <c r="B42" s="2">
        <v>4197</v>
      </c>
      <c r="C42" s="14"/>
      <c r="D42" s="14"/>
      <c r="E42" s="14"/>
      <c r="F42" s="2">
        <v>91</v>
      </c>
      <c r="G42" s="2">
        <v>4483</v>
      </c>
      <c r="H42" s="14"/>
      <c r="I42" s="14"/>
      <c r="K42" s="14"/>
      <c r="L42" s="14"/>
      <c r="AA42"/>
      <c r="AC42"/>
      <c r="AE42"/>
      <c r="AF42"/>
    </row>
    <row r="43" spans="1:32">
      <c r="A43" s="2">
        <v>42</v>
      </c>
      <c r="B43" s="2">
        <v>4198</v>
      </c>
      <c r="C43" s="14"/>
      <c r="D43" s="14"/>
      <c r="E43" s="14"/>
      <c r="F43" s="2">
        <v>92</v>
      </c>
      <c r="G43" s="2">
        <v>4484</v>
      </c>
      <c r="H43" s="14"/>
      <c r="I43" s="14"/>
      <c r="K43" s="14"/>
      <c r="L43" s="14"/>
      <c r="AA43"/>
      <c r="AC43"/>
      <c r="AE43"/>
      <c r="AF43"/>
    </row>
    <row r="44" spans="1:32">
      <c r="A44" s="2">
        <v>43</v>
      </c>
      <c r="B44" s="2">
        <v>4211</v>
      </c>
      <c r="C44" s="14"/>
      <c r="D44" s="14"/>
      <c r="E44" s="14"/>
      <c r="F44" s="2">
        <v>93</v>
      </c>
      <c r="G44" s="2">
        <v>4485</v>
      </c>
      <c r="H44" s="14"/>
      <c r="I44" s="14"/>
      <c r="K44" s="14"/>
      <c r="L44" s="14"/>
      <c r="AA44"/>
      <c r="AC44"/>
      <c r="AE44"/>
      <c r="AF44"/>
    </row>
    <row r="45" spans="1:32">
      <c r="A45" s="2">
        <v>44</v>
      </c>
      <c r="B45" s="2">
        <v>4217</v>
      </c>
      <c r="C45" s="14"/>
      <c r="D45" s="14"/>
      <c r="E45" s="14"/>
      <c r="F45" s="2">
        <v>94</v>
      </c>
      <c r="G45" s="2">
        <v>4496</v>
      </c>
      <c r="H45" s="14"/>
      <c r="I45" s="14"/>
      <c r="K45" s="14"/>
      <c r="L45" s="14"/>
      <c r="AA45"/>
      <c r="AC45"/>
      <c r="AE45"/>
      <c r="AF45"/>
    </row>
    <row r="46" spans="1:32">
      <c r="A46" s="2">
        <v>45</v>
      </c>
      <c r="B46" s="2">
        <v>4218</v>
      </c>
      <c r="C46" s="14"/>
      <c r="D46" s="14"/>
      <c r="E46" s="14"/>
      <c r="F46" s="2">
        <v>95</v>
      </c>
      <c r="G46" s="2">
        <v>4497</v>
      </c>
      <c r="H46" s="14"/>
      <c r="I46" s="14"/>
      <c r="K46" s="14"/>
      <c r="L46" s="14"/>
      <c r="AA46"/>
      <c r="AC46"/>
      <c r="AE46"/>
      <c r="AF46"/>
    </row>
    <row r="47" spans="1:32">
      <c r="A47" s="2">
        <v>46</v>
      </c>
      <c r="B47" s="2">
        <v>4227</v>
      </c>
      <c r="C47" s="14"/>
      <c r="D47" s="14"/>
      <c r="E47" s="14"/>
      <c r="F47" s="2">
        <v>96</v>
      </c>
      <c r="G47" s="2">
        <v>4500</v>
      </c>
      <c r="H47" s="14"/>
      <c r="I47" s="14"/>
      <c r="K47" s="14"/>
      <c r="L47" s="14"/>
      <c r="AA47"/>
      <c r="AC47"/>
      <c r="AE47"/>
      <c r="AF47"/>
    </row>
    <row r="48" spans="1:32">
      <c r="A48" s="2">
        <v>47</v>
      </c>
      <c r="B48" s="2">
        <v>4234</v>
      </c>
      <c r="C48" s="14"/>
      <c r="D48" s="14"/>
      <c r="E48" s="14"/>
      <c r="H48" s="14"/>
      <c r="I48" s="14"/>
      <c r="K48" s="14"/>
      <c r="L48" s="14"/>
      <c r="AA48"/>
      <c r="AC48"/>
      <c r="AE48"/>
      <c r="AF48"/>
    </row>
    <row r="49" spans="1:32">
      <c r="A49" s="2">
        <v>48</v>
      </c>
      <c r="B49" s="2">
        <v>4256</v>
      </c>
      <c r="C49" s="14"/>
      <c r="D49" s="14"/>
      <c r="E49" s="14"/>
      <c r="H49" s="14"/>
      <c r="I49" s="14"/>
      <c r="K49" s="14"/>
      <c r="L49" s="14"/>
      <c r="AA49"/>
      <c r="AC49"/>
      <c r="AE49"/>
      <c r="AF49"/>
    </row>
    <row r="50" spans="1:32">
      <c r="A50" s="2">
        <v>49</v>
      </c>
      <c r="B50" s="2">
        <v>4262</v>
      </c>
      <c r="C50" s="14"/>
      <c r="D50" s="14"/>
      <c r="E50" s="14"/>
      <c r="H50" s="14"/>
      <c r="I50" s="14"/>
      <c r="K50" s="14"/>
      <c r="L50" s="14"/>
      <c r="AA50"/>
      <c r="AC50"/>
      <c r="AE50"/>
      <c r="AF50"/>
    </row>
    <row r="51" spans="1:32">
      <c r="A51" s="2">
        <v>50</v>
      </c>
      <c r="B51" s="2">
        <v>4264</v>
      </c>
      <c r="C51" s="14"/>
      <c r="D51" s="14"/>
      <c r="E51" s="14"/>
      <c r="H51" s="14"/>
      <c r="I51" s="14"/>
      <c r="K51" s="14"/>
      <c r="L51" s="14"/>
      <c r="AA51"/>
      <c r="AC51"/>
      <c r="AE51"/>
      <c r="AF51"/>
    </row>
    <row r="52" spans="1:32">
      <c r="A52" s="2" t="s">
        <v>7</v>
      </c>
      <c r="B52" s="2" t="s">
        <v>8</v>
      </c>
      <c r="C52" s="2" t="s">
        <v>31</v>
      </c>
      <c r="D52" s="2" t="s">
        <v>11</v>
      </c>
      <c r="AA52"/>
      <c r="AC52"/>
      <c r="AE52"/>
      <c r="AF52"/>
    </row>
    <row r="53" spans="1:32">
      <c r="A53" s="2" t="s">
        <v>30</v>
      </c>
      <c r="B53" s="2">
        <v>4386</v>
      </c>
      <c r="AA53"/>
      <c r="AC53"/>
      <c r="AE53"/>
      <c r="AF53"/>
    </row>
    <row r="54" spans="1:32">
      <c r="A54" s="2" t="s">
        <v>30</v>
      </c>
      <c r="B54" s="2">
        <v>4491</v>
      </c>
      <c r="AA54"/>
      <c r="AC54"/>
      <c r="AE54"/>
      <c r="AF54"/>
    </row>
    <row r="55" spans="1:32">
      <c r="A55" s="2" t="s">
        <v>30</v>
      </c>
      <c r="B55" s="2">
        <v>4294</v>
      </c>
      <c r="AA55"/>
      <c r="AC55"/>
      <c r="AE55"/>
      <c r="AF55"/>
    </row>
    <row r="56" spans="1:32">
      <c r="A56" s="2" t="s">
        <v>30</v>
      </c>
      <c r="B56" s="2">
        <v>4231</v>
      </c>
      <c r="AA56"/>
      <c r="AC56"/>
      <c r="AE56"/>
      <c r="AF56"/>
    </row>
    <row r="57" spans="1:32">
      <c r="A57" s="2" t="s">
        <v>30</v>
      </c>
      <c r="B57" s="2">
        <v>4287</v>
      </c>
      <c r="AA57"/>
      <c r="AC57"/>
      <c r="AE57"/>
      <c r="AF57"/>
    </row>
    <row r="58" spans="1:32">
      <c r="AA58"/>
      <c r="AC58"/>
      <c r="AE58"/>
      <c r="AF58"/>
    </row>
    <row r="59" spans="1:32">
      <c r="AA59"/>
      <c r="AC59"/>
      <c r="AE59"/>
      <c r="AF59"/>
    </row>
    <row r="60" spans="1:32">
      <c r="AA60"/>
      <c r="AC60"/>
      <c r="AE60"/>
      <c r="AF60"/>
    </row>
    <row r="61" spans="1:32">
      <c r="AA61"/>
      <c r="AC61"/>
      <c r="AE61"/>
      <c r="AF61"/>
    </row>
    <row r="62" spans="1:32">
      <c r="AA62"/>
      <c r="AC62"/>
      <c r="AE62"/>
      <c r="AF62"/>
    </row>
    <row r="63" spans="1:32">
      <c r="AA63"/>
      <c r="AC63"/>
      <c r="AE63"/>
      <c r="AF63"/>
    </row>
    <row r="64" spans="1:32">
      <c r="AA64"/>
      <c r="AC64"/>
      <c r="AE64"/>
      <c r="AF64"/>
    </row>
    <row r="65" spans="27:32">
      <c r="AA65"/>
      <c r="AC65"/>
      <c r="AE65"/>
      <c r="AF65"/>
    </row>
    <row r="66" spans="27:32">
      <c r="AA66"/>
      <c r="AC66"/>
      <c r="AE66"/>
      <c r="AF66"/>
    </row>
    <row r="67" spans="27:32">
      <c r="AA67"/>
      <c r="AC67"/>
      <c r="AE67"/>
      <c r="AF67"/>
    </row>
    <row r="68" spans="27:32">
      <c r="AA68"/>
      <c r="AC68"/>
      <c r="AE68"/>
      <c r="AF68"/>
    </row>
    <row r="69" spans="27:32">
      <c r="AA69"/>
      <c r="AC69"/>
      <c r="AE69"/>
      <c r="AF69"/>
    </row>
    <row r="70" spans="27:32">
      <c r="AA70"/>
      <c r="AC70"/>
      <c r="AE70"/>
      <c r="AF70"/>
    </row>
    <row r="71" spans="27:32">
      <c r="AA71"/>
      <c r="AC71"/>
      <c r="AE71"/>
      <c r="AF71"/>
    </row>
    <row r="72" spans="27:32">
      <c r="AA72"/>
      <c r="AC72"/>
      <c r="AE72"/>
      <c r="AF72"/>
    </row>
    <row r="73" spans="27:32">
      <c r="AA73"/>
      <c r="AC73"/>
      <c r="AE73"/>
      <c r="AF73"/>
    </row>
    <row r="74" spans="27:32">
      <c r="AA74"/>
      <c r="AC74"/>
      <c r="AE74"/>
      <c r="AF74"/>
    </row>
    <row r="75" spans="27:32">
      <c r="AA75"/>
      <c r="AC75"/>
      <c r="AE75"/>
      <c r="AF75"/>
    </row>
    <row r="76" spans="27:32">
      <c r="AA76"/>
      <c r="AC76"/>
      <c r="AE76"/>
      <c r="AF76"/>
    </row>
    <row r="77" spans="27:32">
      <c r="AA77"/>
      <c r="AC77"/>
      <c r="AE77"/>
      <c r="AF77"/>
    </row>
    <row r="78" spans="27:32">
      <c r="AA78"/>
      <c r="AC78"/>
      <c r="AE78"/>
      <c r="AF78"/>
    </row>
    <row r="79" spans="27:32">
      <c r="AA79"/>
      <c r="AC79"/>
      <c r="AE79"/>
      <c r="AF79"/>
    </row>
    <row r="80" spans="27:32">
      <c r="AA80"/>
      <c r="AC80"/>
      <c r="AE80"/>
      <c r="AF80"/>
    </row>
    <row r="81" spans="27:32">
      <c r="AA81"/>
      <c r="AC81"/>
      <c r="AE81"/>
      <c r="AF81"/>
    </row>
    <row r="82" spans="27:32">
      <c r="AA82"/>
      <c r="AC82"/>
      <c r="AE82"/>
      <c r="AF82"/>
    </row>
    <row r="83" spans="27:32">
      <c r="AA83"/>
      <c r="AC83"/>
      <c r="AE83"/>
      <c r="AF83"/>
    </row>
    <row r="84" spans="27:32">
      <c r="AA84"/>
      <c r="AC84"/>
      <c r="AE84"/>
      <c r="AF84"/>
    </row>
    <row r="85" spans="27:32">
      <c r="AA85"/>
      <c r="AC85"/>
      <c r="AE85"/>
      <c r="AF85"/>
    </row>
    <row r="86" spans="27:32">
      <c r="AA86"/>
      <c r="AC86"/>
      <c r="AE86"/>
      <c r="AF86"/>
    </row>
    <row r="87" spans="27:32">
      <c r="AA87"/>
      <c r="AC87"/>
      <c r="AE87"/>
      <c r="AF87"/>
    </row>
    <row r="88" spans="27:32">
      <c r="AA88"/>
      <c r="AC88"/>
      <c r="AE88"/>
      <c r="AF88"/>
    </row>
    <row r="89" spans="27:32">
      <c r="AA89"/>
      <c r="AC89"/>
      <c r="AE89"/>
      <c r="AF89"/>
    </row>
    <row r="90" spans="27:32">
      <c r="AA90"/>
      <c r="AC90"/>
      <c r="AE90"/>
      <c r="AF90"/>
    </row>
    <row r="91" spans="27:32">
      <c r="AA91"/>
      <c r="AC91"/>
      <c r="AE91"/>
      <c r="AF91"/>
    </row>
    <row r="92" spans="27:32">
      <c r="AA92"/>
      <c r="AC92"/>
      <c r="AE92"/>
      <c r="AF92"/>
    </row>
    <row r="93" spans="27:32">
      <c r="AA93"/>
      <c r="AC93"/>
      <c r="AE93"/>
      <c r="AF93"/>
    </row>
    <row r="94" spans="27:32">
      <c r="AA94"/>
      <c r="AC94"/>
      <c r="AE94"/>
      <c r="AF94"/>
    </row>
    <row r="95" spans="27:32">
      <c r="AA95"/>
      <c r="AC95"/>
      <c r="AE95"/>
      <c r="AF95"/>
    </row>
    <row r="96" spans="27:32">
      <c r="AA96"/>
      <c r="AC96"/>
      <c r="AE96"/>
      <c r="AF96"/>
    </row>
    <row r="97" spans="27:32">
      <c r="AA97"/>
      <c r="AC97"/>
      <c r="AE97"/>
      <c r="AF97"/>
    </row>
    <row r="98" spans="27:32">
      <c r="AA98"/>
      <c r="AC98"/>
      <c r="AE98"/>
      <c r="AF98"/>
    </row>
    <row r="99" spans="27:32">
      <c r="AA99"/>
      <c r="AC99"/>
      <c r="AE99"/>
      <c r="AF99"/>
    </row>
    <row r="100" spans="27:32">
      <c r="AA100"/>
      <c r="AC100"/>
      <c r="AE100"/>
      <c r="AF100"/>
    </row>
    <row r="101" spans="27:32">
      <c r="AA101"/>
      <c r="AC101"/>
      <c r="AE101"/>
      <c r="AF101"/>
    </row>
    <row r="102" spans="27:32">
      <c r="AA102"/>
      <c r="AC102"/>
      <c r="AE102"/>
      <c r="AF102"/>
    </row>
    <row r="103" spans="27:32">
      <c r="AA103"/>
      <c r="AC103"/>
      <c r="AE103"/>
      <c r="AF103"/>
    </row>
    <row r="104" spans="27:32">
      <c r="AA104"/>
      <c r="AC104"/>
      <c r="AE104"/>
      <c r="AF104"/>
    </row>
    <row r="105" spans="27:32">
      <c r="AA105"/>
      <c r="AC105"/>
      <c r="AE105"/>
      <c r="AF105"/>
    </row>
    <row r="106" spans="27:32">
      <c r="AA106"/>
      <c r="AC106"/>
      <c r="AE106"/>
      <c r="AF106"/>
    </row>
    <row r="107" spans="27:32">
      <c r="AA107"/>
      <c r="AC107"/>
      <c r="AE107"/>
      <c r="AF107"/>
    </row>
    <row r="108" spans="27:32">
      <c r="AA108"/>
      <c r="AC108"/>
      <c r="AE108"/>
      <c r="AF108"/>
    </row>
    <row r="109" spans="27:32">
      <c r="AA109"/>
      <c r="AC109"/>
      <c r="AE109"/>
      <c r="AF109"/>
    </row>
    <row r="110" spans="27:32">
      <c r="AA110"/>
      <c r="AC110"/>
      <c r="AE110"/>
      <c r="AF110"/>
    </row>
    <row r="111" spans="27:32">
      <c r="AA111"/>
      <c r="AC111"/>
      <c r="AE111"/>
      <c r="AF111"/>
    </row>
    <row r="112" spans="27:32">
      <c r="AA112"/>
      <c r="AC112"/>
      <c r="AE112"/>
      <c r="AF112"/>
    </row>
    <row r="113" spans="27:32">
      <c r="AA113"/>
      <c r="AC113"/>
      <c r="AE113"/>
      <c r="AF113"/>
    </row>
    <row r="114" spans="27:32">
      <c r="AA114"/>
      <c r="AC114"/>
      <c r="AE114"/>
      <c r="AF114"/>
    </row>
    <row r="115" spans="27:32">
      <c r="AA115"/>
      <c r="AC115"/>
      <c r="AE115"/>
      <c r="AF115"/>
    </row>
    <row r="116" spans="27:32">
      <c r="AA116"/>
      <c r="AC116"/>
      <c r="AE116"/>
      <c r="AF116"/>
    </row>
    <row r="117" spans="27:32">
      <c r="AA117"/>
      <c r="AC117"/>
      <c r="AE117"/>
      <c r="AF117"/>
    </row>
    <row r="118" spans="27:32">
      <c r="AA118"/>
      <c r="AC118"/>
      <c r="AE118"/>
      <c r="AF118"/>
    </row>
    <row r="119" spans="27:32">
      <c r="AA119"/>
      <c r="AC119"/>
      <c r="AE119"/>
      <c r="AF119"/>
    </row>
    <row r="120" spans="27:32">
      <c r="AA120"/>
      <c r="AC120"/>
      <c r="AE120"/>
      <c r="AF120"/>
    </row>
    <row r="121" spans="27:32">
      <c r="AA121"/>
      <c r="AC121"/>
      <c r="AE121"/>
      <c r="AF121"/>
    </row>
    <row r="122" spans="27:32">
      <c r="AA122"/>
      <c r="AC122"/>
      <c r="AE122"/>
      <c r="AF122"/>
    </row>
    <row r="123" spans="27:32">
      <c r="AA123"/>
      <c r="AC123"/>
      <c r="AE123"/>
      <c r="AF123"/>
    </row>
    <row r="124" spans="27:32">
      <c r="AA124"/>
      <c r="AC124"/>
      <c r="AE124"/>
      <c r="AF124"/>
    </row>
    <row r="125" spans="27:32">
      <c r="AA125"/>
      <c r="AC125"/>
      <c r="AE125"/>
      <c r="AF125"/>
    </row>
    <row r="126" spans="27:32">
      <c r="AA126"/>
      <c r="AC126"/>
      <c r="AE126"/>
      <c r="AF126"/>
    </row>
    <row r="127" spans="27:32">
      <c r="AA127"/>
      <c r="AC127"/>
      <c r="AE127"/>
      <c r="AF127"/>
    </row>
    <row r="128" spans="27:32">
      <c r="AA128"/>
      <c r="AC128"/>
      <c r="AE128"/>
      <c r="AF128"/>
    </row>
    <row r="129" spans="27:32">
      <c r="AA129"/>
      <c r="AC129"/>
      <c r="AE129"/>
      <c r="AF129"/>
    </row>
    <row r="130" spans="27:32">
      <c r="AA130"/>
      <c r="AC130"/>
      <c r="AE130"/>
      <c r="AF130"/>
    </row>
    <row r="131" spans="27:32">
      <c r="AA131"/>
      <c r="AC131"/>
      <c r="AE131"/>
      <c r="AF131"/>
    </row>
    <row r="132" spans="27:32">
      <c r="AA132"/>
      <c r="AC132"/>
      <c r="AE132"/>
      <c r="AF132"/>
    </row>
    <row r="133" spans="27:32">
      <c r="AA133"/>
      <c r="AC133"/>
      <c r="AE133"/>
      <c r="AF133"/>
    </row>
    <row r="134" spans="27:32">
      <c r="AA134"/>
      <c r="AC134"/>
      <c r="AE134"/>
      <c r="AF134"/>
    </row>
    <row r="135" spans="27:32">
      <c r="AA135"/>
      <c r="AC135"/>
      <c r="AE135"/>
      <c r="AF135"/>
    </row>
    <row r="136" spans="27:32">
      <c r="AA136"/>
      <c r="AC136"/>
      <c r="AE136"/>
      <c r="AF136"/>
    </row>
    <row r="137" spans="27:32">
      <c r="AA137"/>
      <c r="AC137"/>
      <c r="AE137"/>
      <c r="AF137"/>
    </row>
    <row r="138" spans="27:32">
      <c r="AA138"/>
      <c r="AC138"/>
      <c r="AE138"/>
      <c r="AF138"/>
    </row>
    <row r="139" spans="27:32">
      <c r="AA139"/>
      <c r="AC139"/>
      <c r="AE139"/>
      <c r="AF139"/>
    </row>
    <row r="140" spans="27:32">
      <c r="AA140"/>
      <c r="AC140"/>
      <c r="AE140"/>
      <c r="AF140"/>
    </row>
    <row r="141" spans="27:32">
      <c r="AA141"/>
      <c r="AC141"/>
      <c r="AE141"/>
      <c r="AF141"/>
    </row>
    <row r="142" spans="27:32">
      <c r="AA142"/>
      <c r="AC142"/>
      <c r="AE142"/>
      <c r="AF142"/>
    </row>
    <row r="143" spans="27:32">
      <c r="AA143"/>
      <c r="AC143"/>
      <c r="AE143"/>
      <c r="AF143"/>
    </row>
    <row r="144" spans="27:32">
      <c r="AA144"/>
      <c r="AF144"/>
    </row>
    <row r="145" spans="27:32">
      <c r="AA145"/>
      <c r="AF145"/>
    </row>
    <row r="146" spans="27:32">
      <c r="AA146"/>
      <c r="AF146"/>
    </row>
    <row r="147" spans="27:32">
      <c r="AA147"/>
      <c r="AF147"/>
    </row>
    <row r="148" spans="27:32">
      <c r="AA148"/>
      <c r="AF148"/>
    </row>
    <row r="149" spans="27:32">
      <c r="AA149"/>
      <c r="AF149"/>
    </row>
    <row r="150" spans="27:32">
      <c r="AA150"/>
      <c r="AF150"/>
    </row>
    <row r="151" spans="27:32">
      <c r="AA151"/>
      <c r="AF151"/>
    </row>
    <row r="152" spans="27:32">
      <c r="AA152"/>
      <c r="AF152"/>
    </row>
    <row r="153" spans="27:32">
      <c r="AA153"/>
      <c r="AF153"/>
    </row>
    <row r="154" spans="27:32">
      <c r="AA154"/>
      <c r="AF154"/>
    </row>
    <row r="155" spans="27:32">
      <c r="AA155"/>
      <c r="AF155"/>
    </row>
    <row r="156" spans="27:32">
      <c r="AA156"/>
      <c r="AF156"/>
    </row>
    <row r="157" spans="27:32">
      <c r="AA157"/>
      <c r="AF157"/>
    </row>
    <row r="158" spans="27:32">
      <c r="AA158"/>
      <c r="AF158"/>
    </row>
    <row r="159" spans="27:32">
      <c r="AA159"/>
      <c r="AF159"/>
    </row>
    <row r="160" spans="27:32">
      <c r="AA160"/>
      <c r="AF160"/>
    </row>
    <row r="161" spans="27:32">
      <c r="AA161"/>
      <c r="AF161"/>
    </row>
    <row r="162" spans="27:32">
      <c r="AA162"/>
      <c r="AF162"/>
    </row>
    <row r="163" spans="27:32">
      <c r="AA163"/>
      <c r="AF163"/>
    </row>
    <row r="164" spans="27:32">
      <c r="AA164"/>
      <c r="AF164"/>
    </row>
    <row r="165" spans="27:32">
      <c r="AA165"/>
      <c r="AF165"/>
    </row>
    <row r="166" spans="27:32">
      <c r="AA166"/>
      <c r="AF166"/>
    </row>
    <row r="167" spans="27:32">
      <c r="AA167"/>
      <c r="AF167"/>
    </row>
    <row r="168" spans="27:32">
      <c r="AA168"/>
      <c r="AF168"/>
    </row>
    <row r="169" spans="27:32">
      <c r="AA169"/>
      <c r="AF169"/>
    </row>
    <row r="170" spans="27:32">
      <c r="AA170"/>
      <c r="AF170"/>
    </row>
    <row r="171" spans="27:32">
      <c r="AA171"/>
      <c r="AF171"/>
    </row>
    <row r="172" spans="27:32">
      <c r="AA172"/>
      <c r="AF172"/>
    </row>
    <row r="173" spans="27:32">
      <c r="AA173"/>
      <c r="AF173"/>
    </row>
    <row r="174" spans="27:32">
      <c r="AA174"/>
      <c r="AF174"/>
    </row>
    <row r="175" spans="27:32">
      <c r="AA175"/>
      <c r="AF175"/>
    </row>
    <row r="176" spans="27:32">
      <c r="AA176"/>
      <c r="AF176"/>
    </row>
    <row r="177" spans="27:32">
      <c r="AA177"/>
      <c r="AF177"/>
    </row>
    <row r="178" spans="27:32">
      <c r="AA178"/>
      <c r="AF178"/>
    </row>
    <row r="179" spans="27:32">
      <c r="AA179"/>
      <c r="AF179"/>
    </row>
    <row r="180" spans="27:32">
      <c r="AA180"/>
      <c r="AF180"/>
    </row>
    <row r="181" spans="27:32">
      <c r="AA181"/>
      <c r="AF181"/>
    </row>
    <row r="182" spans="27:32">
      <c r="AA182"/>
      <c r="AF182"/>
    </row>
    <row r="183" spans="27:32">
      <c r="AA183"/>
      <c r="AF183"/>
    </row>
    <row r="184" spans="27:32">
      <c r="AA184"/>
      <c r="AF184"/>
    </row>
    <row r="185" spans="27:32">
      <c r="AA185"/>
      <c r="AF185"/>
    </row>
    <row r="186" spans="27:32">
      <c r="AA186"/>
      <c r="AF186"/>
    </row>
    <row r="187" spans="27:32">
      <c r="AA187"/>
      <c r="AF187"/>
    </row>
    <row r="188" spans="27:32">
      <c r="AA188"/>
      <c r="AF188"/>
    </row>
    <row r="189" spans="27:32">
      <c r="AA189"/>
      <c r="AF189"/>
    </row>
    <row r="190" spans="27:32">
      <c r="AA190"/>
      <c r="AF190"/>
    </row>
    <row r="191" spans="27:32">
      <c r="AA191"/>
      <c r="AF191"/>
    </row>
    <row r="192" spans="27:32">
      <c r="AA192"/>
      <c r="AF192"/>
    </row>
    <row r="193" spans="27:32">
      <c r="AA193"/>
      <c r="AF193"/>
    </row>
    <row r="194" spans="27:32">
      <c r="AA194"/>
      <c r="AF194"/>
    </row>
    <row r="195" spans="27:32">
      <c r="AA195"/>
      <c r="AF195"/>
    </row>
    <row r="196" spans="27:32">
      <c r="AA196"/>
      <c r="AF196"/>
    </row>
    <row r="197" spans="27:32">
      <c r="AA197"/>
      <c r="AF197"/>
    </row>
    <row r="198" spans="27:32">
      <c r="AA198"/>
      <c r="AF198"/>
    </row>
    <row r="199" spans="27:32">
      <c r="AA199"/>
      <c r="AF199"/>
    </row>
    <row r="200" spans="27:32">
      <c r="AA200"/>
      <c r="AF200"/>
    </row>
    <row r="201" spans="27:32">
      <c r="AA201"/>
      <c r="AF201"/>
    </row>
    <row r="202" spans="27:32">
      <c r="AA202"/>
      <c r="AF202"/>
    </row>
    <row r="203" spans="27:32">
      <c r="AA203"/>
      <c r="AF203"/>
    </row>
    <row r="204" spans="27:32">
      <c r="AA204"/>
      <c r="AF204"/>
    </row>
    <row r="205" spans="27:32">
      <c r="AA205"/>
      <c r="AF205"/>
    </row>
    <row r="206" spans="27:32">
      <c r="AA206"/>
      <c r="AF206"/>
    </row>
    <row r="207" spans="27:32">
      <c r="AA207"/>
      <c r="AF207"/>
    </row>
    <row r="208" spans="27:32">
      <c r="AA208"/>
      <c r="AF208"/>
    </row>
    <row r="209" spans="27:32">
      <c r="AA209"/>
      <c r="AF209"/>
    </row>
    <row r="210" spans="27:32">
      <c r="AA210"/>
      <c r="AF210"/>
    </row>
    <row r="211" spans="27:32">
      <c r="AA211"/>
      <c r="AF211"/>
    </row>
    <row r="212" spans="27:32">
      <c r="AA212"/>
      <c r="AF212"/>
    </row>
    <row r="213" spans="27:32">
      <c r="AA213"/>
      <c r="AF213"/>
    </row>
    <row r="214" spans="27:32">
      <c r="AA214"/>
      <c r="AF214"/>
    </row>
    <row r="215" spans="27:32">
      <c r="AA215"/>
      <c r="AF215"/>
    </row>
    <row r="216" spans="27:32">
      <c r="AA216"/>
      <c r="AF216"/>
    </row>
    <row r="217" spans="27:32">
      <c r="AA217"/>
      <c r="AF217"/>
    </row>
    <row r="218" spans="27:32">
      <c r="AA218"/>
      <c r="AF218"/>
    </row>
    <row r="219" spans="27:32">
      <c r="AA219"/>
      <c r="AF219"/>
    </row>
    <row r="220" spans="27:32">
      <c r="AA220"/>
      <c r="AF220"/>
    </row>
    <row r="221" spans="27:32">
      <c r="AA221"/>
      <c r="AF221"/>
    </row>
    <row r="222" spans="27:32">
      <c r="AA222"/>
      <c r="AF222"/>
    </row>
    <row r="223" spans="27:32">
      <c r="AA223"/>
      <c r="AF223"/>
    </row>
    <row r="224" spans="27:32">
      <c r="AA224"/>
      <c r="AF224"/>
    </row>
    <row r="225" spans="27:32">
      <c r="AA225"/>
      <c r="AF225"/>
    </row>
    <row r="226" spans="27:32">
      <c r="AA226"/>
      <c r="AF226"/>
    </row>
    <row r="227" spans="27:32">
      <c r="AA227"/>
      <c r="AF227"/>
    </row>
    <row r="228" spans="27:32">
      <c r="AA228"/>
      <c r="AF228"/>
    </row>
    <row r="229" spans="27:32">
      <c r="AA229"/>
      <c r="AF229"/>
    </row>
    <row r="230" spans="27:32">
      <c r="AA230"/>
      <c r="AF230"/>
    </row>
    <row r="231" spans="27:32">
      <c r="AA231"/>
      <c r="AF231"/>
    </row>
    <row r="232" spans="27:32">
      <c r="AA232"/>
      <c r="AF232"/>
    </row>
    <row r="233" spans="27:32">
      <c r="AA233"/>
      <c r="AF233"/>
    </row>
    <row r="234" spans="27:32">
      <c r="AA234"/>
      <c r="AF234"/>
    </row>
    <row r="235" spans="27:32">
      <c r="AA235"/>
      <c r="AF235"/>
    </row>
    <row r="236" spans="27:32">
      <c r="AA236"/>
      <c r="AF236"/>
    </row>
    <row r="237" spans="27:32">
      <c r="AA237"/>
      <c r="AF237"/>
    </row>
    <row r="238" spans="27:32">
      <c r="AA238"/>
      <c r="AF238"/>
    </row>
    <row r="239" spans="27:32">
      <c r="AA239"/>
      <c r="AF239"/>
    </row>
    <row r="240" spans="27:32">
      <c r="AA240"/>
      <c r="AF240"/>
    </row>
    <row r="241" spans="27:32">
      <c r="AA241"/>
      <c r="AF241"/>
    </row>
    <row r="242" spans="27:32">
      <c r="AA242"/>
      <c r="AF242"/>
    </row>
    <row r="243" spans="27:32">
      <c r="AA243"/>
      <c r="AF243"/>
    </row>
    <row r="244" spans="27:32">
      <c r="AA244"/>
      <c r="AF244"/>
    </row>
    <row r="245" spans="27:32">
      <c r="AA245"/>
      <c r="AF245"/>
    </row>
    <row r="246" spans="27:32">
      <c r="AA246"/>
      <c r="AF246"/>
    </row>
    <row r="247" spans="27:32">
      <c r="AA247"/>
      <c r="AF247"/>
    </row>
    <row r="248" spans="27:32">
      <c r="AA248"/>
      <c r="AF248"/>
    </row>
    <row r="249" spans="27:32">
      <c r="AA249"/>
      <c r="AF249"/>
    </row>
    <row r="250" spans="27:32">
      <c r="AA250"/>
      <c r="AF250"/>
    </row>
    <row r="251" spans="27:32">
      <c r="AA251"/>
      <c r="AF251"/>
    </row>
    <row r="252" spans="27:32">
      <c r="AA252"/>
      <c r="AF252"/>
    </row>
    <row r="253" spans="27:32">
      <c r="AA253"/>
      <c r="AF253"/>
    </row>
    <row r="254" spans="27:32">
      <c r="AA254"/>
      <c r="AF254"/>
    </row>
    <row r="255" spans="27:32">
      <c r="AA255"/>
      <c r="AF255"/>
    </row>
    <row r="256" spans="27:32">
      <c r="AA256"/>
      <c r="AF256"/>
    </row>
    <row r="257" spans="27:32">
      <c r="AA257"/>
      <c r="AF257"/>
    </row>
    <row r="258" spans="27:32">
      <c r="AA258"/>
      <c r="AF258"/>
    </row>
    <row r="259" spans="27:32">
      <c r="AA259"/>
      <c r="AF259"/>
    </row>
    <row r="260" spans="27:32">
      <c r="AA260"/>
      <c r="AF260"/>
    </row>
    <row r="261" spans="27:32">
      <c r="AA261"/>
      <c r="AF261"/>
    </row>
    <row r="262" spans="27:32">
      <c r="AA262"/>
      <c r="AF262"/>
    </row>
    <row r="263" spans="27:32">
      <c r="AA263"/>
      <c r="AF263"/>
    </row>
    <row r="264" spans="27:32">
      <c r="AA264"/>
      <c r="AF264"/>
    </row>
    <row r="265" spans="27:32">
      <c r="AA265"/>
      <c r="AF265"/>
    </row>
    <row r="266" spans="27:32">
      <c r="AA266"/>
      <c r="AF266"/>
    </row>
    <row r="267" spans="27:32">
      <c r="AA267"/>
      <c r="AF267"/>
    </row>
    <row r="268" spans="27:32">
      <c r="AA268"/>
      <c r="AF268"/>
    </row>
    <row r="269" spans="27:32">
      <c r="AA269"/>
      <c r="AF269"/>
    </row>
    <row r="270" spans="27:32">
      <c r="AA270"/>
      <c r="AF270"/>
    </row>
    <row r="271" spans="27:32">
      <c r="AA271"/>
      <c r="AF271"/>
    </row>
    <row r="272" spans="27:32">
      <c r="AA272"/>
      <c r="AF272"/>
    </row>
    <row r="273" spans="27:32">
      <c r="AA273"/>
      <c r="AF273"/>
    </row>
    <row r="274" spans="27:32">
      <c r="AA274"/>
      <c r="AF274"/>
    </row>
    <row r="275" spans="27:32">
      <c r="AA275"/>
      <c r="AF275"/>
    </row>
    <row r="276" spans="27:32">
      <c r="AA276"/>
      <c r="AF276"/>
    </row>
    <row r="277" spans="27:32">
      <c r="AA277"/>
      <c r="AF277"/>
    </row>
    <row r="278" spans="27:32">
      <c r="AA278"/>
      <c r="AF278"/>
    </row>
    <row r="279" spans="27:32">
      <c r="AA279"/>
      <c r="AF279"/>
    </row>
    <row r="280" spans="27:32">
      <c r="AA280"/>
      <c r="AF280"/>
    </row>
    <row r="281" spans="27:32">
      <c r="AA281"/>
      <c r="AF281"/>
    </row>
    <row r="282" spans="27:32">
      <c r="AA282"/>
      <c r="AF282"/>
    </row>
    <row r="283" spans="27:32">
      <c r="AA283"/>
      <c r="AF283"/>
    </row>
    <row r="284" spans="27:32">
      <c r="AA284"/>
      <c r="AF284"/>
    </row>
    <row r="285" spans="27:32">
      <c r="AA285"/>
      <c r="AF285"/>
    </row>
    <row r="286" spans="27:32">
      <c r="AA286"/>
      <c r="AF286"/>
    </row>
    <row r="287" spans="27:32">
      <c r="AA287"/>
      <c r="AF287"/>
    </row>
    <row r="288" spans="27:32">
      <c r="AA288"/>
      <c r="AF288"/>
    </row>
    <row r="289" spans="27:32">
      <c r="AA289"/>
      <c r="AF289"/>
    </row>
    <row r="290" spans="27:32">
      <c r="AA290"/>
      <c r="AF290"/>
    </row>
    <row r="291" spans="27:32">
      <c r="AA291"/>
      <c r="AF291"/>
    </row>
    <row r="292" spans="27:32">
      <c r="AA292"/>
      <c r="AF292"/>
    </row>
    <row r="293" spans="27:32">
      <c r="AA293"/>
      <c r="AF293"/>
    </row>
    <row r="294" spans="27:32">
      <c r="AA294"/>
      <c r="AF294"/>
    </row>
    <row r="295" spans="27:32">
      <c r="AA295"/>
      <c r="AF295"/>
    </row>
    <row r="296" spans="27:32">
      <c r="AA296"/>
      <c r="AF296"/>
    </row>
    <row r="297" spans="27:32">
      <c r="AA297"/>
      <c r="AF297"/>
    </row>
    <row r="298" spans="27:32">
      <c r="AA298"/>
      <c r="AF298"/>
    </row>
    <row r="299" spans="27:32">
      <c r="AA299"/>
      <c r="AF299"/>
    </row>
    <row r="300" spans="27:32">
      <c r="AA300"/>
      <c r="AF300"/>
    </row>
    <row r="301" spans="27:32">
      <c r="AA301"/>
      <c r="AF301"/>
    </row>
    <row r="302" spans="27:32">
      <c r="AA302"/>
      <c r="AF302"/>
    </row>
    <row r="303" spans="27:32">
      <c r="AA303"/>
      <c r="AF303"/>
    </row>
    <row r="304" spans="27:32">
      <c r="AA304"/>
      <c r="AF304"/>
    </row>
    <row r="305" spans="27:32">
      <c r="AA305"/>
      <c r="AF305"/>
    </row>
    <row r="306" spans="27:32">
      <c r="AA306"/>
      <c r="AF306"/>
    </row>
    <row r="307" spans="27:32">
      <c r="AA307"/>
      <c r="AF307"/>
    </row>
  </sheetData>
  <sortState ref="AA1:AA307">
    <sortCondition ref="AA1"/>
  </sortState>
  <printOptions gridLines="1"/>
  <pageMargins left="0.75" right="0.75" top="1" bottom="1" header="0.25" footer="0.5"/>
  <pageSetup orientation="portrait" horizontalDpi="300" verticalDpi="300" r:id="rId1"/>
  <headerFooter alignWithMargins="0">
    <oddHeader>&amp;LClient ___________________
Test of __________________&amp;CSAMPLING WORKSHEET  &amp;RCompleted by ____________
Date ____________</oddHeader>
  </headerFooter>
  <rowBreaks count="2" manualBreakCount="2">
    <brk id="51" max="16383" man="1"/>
    <brk id="102" max="16383" man="1"/>
  </rowBreaks>
  <colBreaks count="1" manualBreakCount="1">
    <brk id="9"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22</vt:i4>
      </vt:variant>
    </vt:vector>
  </HeadingPairs>
  <TitlesOfParts>
    <vt:vector size="26" baseType="lpstr">
      <vt:lpstr>Upper Limit</vt:lpstr>
      <vt:lpstr>Help</vt:lpstr>
      <vt:lpstr>SampleCalc</vt:lpstr>
      <vt:lpstr>SamplePrint</vt:lpstr>
      <vt:lpstr>_atr0</vt:lpstr>
      <vt:lpstr>_atr1</vt:lpstr>
      <vt:lpstr>_atr10</vt:lpstr>
      <vt:lpstr>_atr11</vt:lpstr>
      <vt:lpstr>_atr12</vt:lpstr>
      <vt:lpstr>_atr13</vt:lpstr>
      <vt:lpstr>_atr14</vt:lpstr>
      <vt:lpstr>_atr15</vt:lpstr>
      <vt:lpstr>_atr16</vt:lpstr>
      <vt:lpstr>_atr17</vt:lpstr>
      <vt:lpstr>_atr18</vt:lpstr>
      <vt:lpstr>_atr19</vt:lpstr>
      <vt:lpstr>_atr2</vt:lpstr>
      <vt:lpstr>_atr20</vt:lpstr>
      <vt:lpstr>_atr3</vt:lpstr>
      <vt:lpstr>_atr4</vt:lpstr>
      <vt:lpstr>_atr5</vt:lpstr>
      <vt:lpstr>_atr6</vt:lpstr>
      <vt:lpstr>_atr7</vt:lpstr>
      <vt:lpstr>_atr8</vt:lpstr>
      <vt:lpstr>_atr9</vt:lpstr>
      <vt:lpstr>SampleCalc!Print_Area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egurvits</cp:lastModifiedBy>
  <cp:lastPrinted>2010-07-26T21:25:28Z</cp:lastPrinted>
  <dcterms:created xsi:type="dcterms:W3CDTF">1999-07-13T19:52:13Z</dcterms:created>
  <dcterms:modified xsi:type="dcterms:W3CDTF">2011-06-28T13:48:17Z</dcterms:modified>
</cp:coreProperties>
</file>