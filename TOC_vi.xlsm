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Dropbox\STUDY\PROJECT\PJ\"/>
    </mc:Choice>
  </mc:AlternateContent>
  <bookViews>
    <workbookView xWindow="1170" yWindow="105" windowWidth="14805" windowHeight="8010"/>
  </bookViews>
  <sheets>
    <sheet name="Bieu tong hop" sheetId="1" r:id="rId1"/>
    <sheet name="Kiem toan chi tiet" sheetId="4" r:id="rId2"/>
    <sheet name="Bang tinh pU" sheetId="5" state="hidden" r:id="rId3"/>
  </sheets>
  <definedNames>
    <definedName name="_Fill" hidden="1">#REF!</definedName>
    <definedName name="_Order1" hidden="1">255</definedName>
    <definedName name="_Order2" hidden="1">255</definedName>
    <definedName name="_Sort" hidden="1">#REF!</definedName>
    <definedName name="AS2DocOpenMode" hidden="1">"AS2DocumentEdit"</definedName>
    <definedName name="beta">'Bieu tong hop'!$F$5</definedName>
    <definedName name="betabegin">'Bang tinh pU'!$B$3</definedName>
    <definedName name="comau">'Bieu tong hop'!$F$17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khoangcach">'Kiem toan chi tiet'!$E$4</definedName>
    <definedName name="_xlnm.Print_Area" localSheetId="0">'Bieu tong hop'!$A$1:$I$61</definedName>
    <definedName name="_xlnm.Print_Area" localSheetId="1">'Kiem toan chi tiet'!$A$1:$F$258</definedName>
    <definedName name="sosaisot">'Kiem toan chi tiet'!$E$7:$E$257</definedName>
    <definedName name="TextRefCopyRangeCount" hidden="1">1</definedName>
    <definedName name="tongtheN">'Bieu tong hop'!$F$4</definedName>
    <definedName name="tongtheP">'Bieu tong hop'!$F$6</definedName>
    <definedName name="tongthePe">'Bieu tong hop'!$F$7</definedName>
    <definedName name="wrn.chi._.tiÆt." hidden="1">{#N/A,#N/A,FALSE,"Chi tiÆt"}</definedName>
    <definedName name="xuatphat">'Kiem toan chi tiet'!$C$7</definedName>
  </definedNames>
  <calcPr calcId="152511" calcMode="autoNoTable" iterate="1" iterateCount="999"/>
</workbook>
</file>

<file path=xl/calcChain.xml><?xml version="1.0" encoding="utf-8"?>
<calcChain xmlns="http://schemas.openxmlformats.org/spreadsheetml/2006/main">
  <c r="D23" i="1" l="1"/>
  <c r="E3" i="4"/>
  <c r="C23" i="1" l="1"/>
  <c r="F23" i="1" l="1"/>
  <c r="B3" i="5" l="1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B36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B37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B38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B39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B40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B41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B42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B43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B44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B45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B46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B47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B48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B49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B50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B51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B52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B74" i="5"/>
  <c r="C74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B75" i="5"/>
  <c r="C75" i="5"/>
  <c r="D75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B76" i="5"/>
  <c r="C76" i="5"/>
  <c r="D76" i="5"/>
  <c r="E7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B77" i="5"/>
  <c r="C77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B78" i="5"/>
  <c r="C78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B79" i="5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B80" i="5"/>
  <c r="C80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B81" i="5"/>
  <c r="C81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B82" i="5"/>
  <c r="C82" i="5"/>
  <c r="D82" i="5"/>
  <c r="E82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B83" i="5"/>
  <c r="C83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B84" i="5"/>
  <c r="C84" i="5"/>
  <c r="D84" i="5"/>
  <c r="E84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B85" i="5"/>
  <c r="C85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B86" i="5"/>
  <c r="C86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B87" i="5"/>
  <c r="C87" i="5"/>
  <c r="D87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B88" i="5"/>
  <c r="C88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B89" i="5"/>
  <c r="C89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B90" i="5"/>
  <c r="C90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B91" i="5"/>
  <c r="C91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B92" i="5"/>
  <c r="C92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B93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B94" i="5"/>
  <c r="C94" i="5"/>
  <c r="D94" i="5"/>
  <c r="E9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B95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B96" i="5"/>
  <c r="C96" i="5"/>
  <c r="D96" i="5"/>
  <c r="E96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B97" i="5"/>
  <c r="C97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B98" i="5"/>
  <c r="C98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B99" i="5"/>
  <c r="C99" i="5"/>
  <c r="D99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B100" i="5"/>
  <c r="C100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B101" i="5"/>
  <c r="C101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B102" i="5"/>
  <c r="C102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B103" i="5"/>
  <c r="C103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B104" i="5"/>
  <c r="C104" i="5"/>
  <c r="D104" i="5"/>
  <c r="E104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B105" i="5"/>
  <c r="C105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B106" i="5"/>
  <c r="C10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B107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B108" i="5"/>
  <c r="C108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B109" i="5"/>
  <c r="C109" i="5"/>
  <c r="D109" i="5"/>
  <c r="E10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B110" i="5"/>
  <c r="C110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B111" i="5"/>
  <c r="C111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B112" i="5"/>
  <c r="C112" i="5"/>
  <c r="D112" i="5"/>
  <c r="E112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B113" i="5"/>
  <c r="C113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B114" i="5"/>
  <c r="C114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B115" i="5"/>
  <c r="C115" i="5"/>
  <c r="D115" i="5"/>
  <c r="E115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B116" i="5"/>
  <c r="C116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B117" i="5"/>
  <c r="C117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B118" i="5"/>
  <c r="C118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B119" i="5"/>
  <c r="C119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B120" i="5"/>
  <c r="C120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B121" i="5"/>
  <c r="C121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B122" i="5"/>
  <c r="C122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B123" i="5"/>
  <c r="C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B124" i="5"/>
  <c r="C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B125" i="5"/>
  <c r="C125" i="5"/>
  <c r="D125" i="5"/>
  <c r="E125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B126" i="5"/>
  <c r="C126" i="5"/>
  <c r="D126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B127" i="5"/>
  <c r="C127" i="5"/>
  <c r="D127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B128" i="5"/>
  <c r="C128" i="5"/>
  <c r="D128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B129" i="5"/>
  <c r="C129" i="5"/>
  <c r="D129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B130" i="5"/>
  <c r="C130" i="5"/>
  <c r="D130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B131" i="5"/>
  <c r="C131" i="5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B132" i="5"/>
  <c r="C132" i="5"/>
  <c r="D132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B133" i="5"/>
  <c r="C133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B134" i="5"/>
  <c r="C134" i="5"/>
  <c r="D134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B135" i="5"/>
  <c r="C135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B136" i="5"/>
  <c r="C136" i="5"/>
  <c r="D13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B137" i="5"/>
  <c r="C137" i="5"/>
  <c r="D137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B138" i="5"/>
  <c r="C138" i="5"/>
  <c r="D138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B139" i="5"/>
  <c r="C139" i="5"/>
  <c r="D139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B140" i="5"/>
  <c r="C140" i="5"/>
  <c r="D140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B141" i="5"/>
  <c r="C141" i="5"/>
  <c r="D141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B142" i="5"/>
  <c r="C142" i="5"/>
  <c r="D142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B143" i="5"/>
  <c r="C143" i="5"/>
  <c r="D143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B144" i="5"/>
  <c r="C144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B145" i="5"/>
  <c r="C145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B146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B147" i="5"/>
  <c r="C147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B148" i="5"/>
  <c r="C148" i="5"/>
  <c r="D148" i="5"/>
  <c r="E148" i="5"/>
  <c r="F148" i="5"/>
  <c r="G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B149" i="5"/>
  <c r="C149" i="5"/>
  <c r="D149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B150" i="5"/>
  <c r="C150" i="5"/>
  <c r="D150" i="5"/>
  <c r="E150" i="5"/>
  <c r="F150" i="5"/>
  <c r="G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B151" i="5"/>
  <c r="C151" i="5"/>
  <c r="D151" i="5"/>
  <c r="E151" i="5"/>
  <c r="F151" i="5"/>
  <c r="G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B152" i="5"/>
  <c r="C152" i="5"/>
  <c r="D152" i="5"/>
  <c r="E152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B153" i="5"/>
  <c r="C153" i="5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B154" i="5"/>
  <c r="C154" i="5"/>
  <c r="D154" i="5"/>
  <c r="E154" i="5"/>
  <c r="F154" i="5"/>
  <c r="G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B155" i="5"/>
  <c r="C155" i="5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B156" i="5"/>
  <c r="C156" i="5"/>
  <c r="D156" i="5"/>
  <c r="E156" i="5"/>
  <c r="F156" i="5"/>
  <c r="G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B157" i="5"/>
  <c r="C157" i="5"/>
  <c r="D157" i="5"/>
  <c r="E157" i="5"/>
  <c r="F157" i="5"/>
  <c r="G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B158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B159" i="5"/>
  <c r="C159" i="5"/>
  <c r="D159" i="5"/>
  <c r="E159" i="5"/>
  <c r="F159" i="5"/>
  <c r="G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B160" i="5"/>
  <c r="C160" i="5"/>
  <c r="D160" i="5"/>
  <c r="E160" i="5"/>
  <c r="F160" i="5"/>
  <c r="G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B161" i="5"/>
  <c r="C161" i="5"/>
  <c r="D161" i="5"/>
  <c r="E161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B162" i="5"/>
  <c r="C162" i="5"/>
  <c r="D162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B163" i="5"/>
  <c r="C163" i="5"/>
  <c r="D163" i="5"/>
  <c r="E163" i="5"/>
  <c r="F163" i="5"/>
  <c r="G163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B164" i="5"/>
  <c r="C164" i="5"/>
  <c r="D164" i="5"/>
  <c r="E164" i="5"/>
  <c r="F164" i="5"/>
  <c r="G164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B165" i="5"/>
  <c r="C165" i="5"/>
  <c r="D165" i="5"/>
  <c r="E165" i="5"/>
  <c r="F165" i="5"/>
  <c r="G165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B166" i="5"/>
  <c r="C166" i="5"/>
  <c r="D166" i="5"/>
  <c r="E166" i="5"/>
  <c r="F166" i="5"/>
  <c r="G166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B167" i="5"/>
  <c r="C167" i="5"/>
  <c r="D167" i="5"/>
  <c r="E167" i="5"/>
  <c r="F167" i="5"/>
  <c r="G167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B168" i="5"/>
  <c r="C168" i="5"/>
  <c r="D168" i="5"/>
  <c r="E168" i="5"/>
  <c r="F168" i="5"/>
  <c r="G168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B169" i="5"/>
  <c r="C169" i="5"/>
  <c r="D169" i="5"/>
  <c r="E169" i="5"/>
  <c r="F169" i="5"/>
  <c r="G169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B170" i="5"/>
  <c r="C170" i="5"/>
  <c r="D170" i="5"/>
  <c r="E170" i="5"/>
  <c r="F170" i="5"/>
  <c r="G170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B171" i="5"/>
  <c r="C171" i="5"/>
  <c r="D171" i="5"/>
  <c r="E171" i="5"/>
  <c r="F171" i="5"/>
  <c r="G171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B172" i="5"/>
  <c r="C172" i="5"/>
  <c r="D172" i="5"/>
  <c r="E172" i="5"/>
  <c r="F172" i="5"/>
  <c r="G172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B173" i="5"/>
  <c r="C173" i="5"/>
  <c r="D173" i="5"/>
  <c r="E173" i="5"/>
  <c r="F173" i="5"/>
  <c r="G173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B174" i="5"/>
  <c r="C174" i="5"/>
  <c r="D174" i="5"/>
  <c r="E174" i="5"/>
  <c r="F174" i="5"/>
  <c r="G174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B175" i="5"/>
  <c r="C175" i="5"/>
  <c r="D175" i="5"/>
  <c r="E175" i="5"/>
  <c r="F175" i="5"/>
  <c r="G175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B176" i="5"/>
  <c r="C176" i="5"/>
  <c r="D176" i="5"/>
  <c r="E176" i="5"/>
  <c r="F176" i="5"/>
  <c r="G176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B177" i="5"/>
  <c r="C177" i="5"/>
  <c r="D177" i="5"/>
  <c r="E177" i="5"/>
  <c r="F177" i="5"/>
  <c r="G177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B178" i="5"/>
  <c r="C178" i="5"/>
  <c r="D178" i="5"/>
  <c r="E178" i="5"/>
  <c r="F178" i="5"/>
  <c r="G178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B179" i="5"/>
  <c r="C179" i="5"/>
  <c r="D179" i="5"/>
  <c r="E179" i="5"/>
  <c r="F179" i="5"/>
  <c r="G179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B180" i="5"/>
  <c r="C180" i="5"/>
  <c r="D180" i="5"/>
  <c r="E180" i="5"/>
  <c r="F180" i="5"/>
  <c r="G180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B181" i="5"/>
  <c r="C181" i="5"/>
  <c r="D181" i="5"/>
  <c r="E181" i="5"/>
  <c r="F181" i="5"/>
  <c r="G181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B182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B183" i="5"/>
  <c r="C183" i="5"/>
  <c r="D183" i="5"/>
  <c r="E183" i="5"/>
  <c r="F183" i="5"/>
  <c r="G183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B184" i="5"/>
  <c r="C184" i="5"/>
  <c r="D184" i="5"/>
  <c r="E184" i="5"/>
  <c r="F184" i="5"/>
  <c r="G184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B185" i="5"/>
  <c r="C185" i="5"/>
  <c r="D185" i="5"/>
  <c r="E185" i="5"/>
  <c r="F185" i="5"/>
  <c r="G185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B186" i="5"/>
  <c r="C186" i="5"/>
  <c r="D186" i="5"/>
  <c r="E186" i="5"/>
  <c r="F186" i="5"/>
  <c r="G186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B187" i="5"/>
  <c r="C187" i="5"/>
  <c r="D187" i="5"/>
  <c r="E187" i="5"/>
  <c r="F187" i="5"/>
  <c r="G187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B188" i="5"/>
  <c r="C188" i="5"/>
  <c r="D188" i="5"/>
  <c r="E188" i="5"/>
  <c r="F188" i="5"/>
  <c r="G188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B189" i="5"/>
  <c r="C189" i="5"/>
  <c r="D189" i="5"/>
  <c r="E189" i="5"/>
  <c r="F189" i="5"/>
  <c r="G189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B190" i="5"/>
  <c r="C190" i="5"/>
  <c r="D190" i="5"/>
  <c r="E190" i="5"/>
  <c r="F190" i="5"/>
  <c r="G190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B191" i="5"/>
  <c r="C191" i="5"/>
  <c r="D191" i="5"/>
  <c r="E191" i="5"/>
  <c r="F191" i="5"/>
  <c r="G191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B192" i="5"/>
  <c r="C192" i="5"/>
  <c r="D192" i="5"/>
  <c r="E192" i="5"/>
  <c r="F192" i="5"/>
  <c r="G192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B193" i="5"/>
  <c r="C193" i="5"/>
  <c r="D193" i="5"/>
  <c r="E193" i="5"/>
  <c r="F193" i="5"/>
  <c r="G193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B194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B195" i="5"/>
  <c r="C195" i="5"/>
  <c r="D195" i="5"/>
  <c r="E195" i="5"/>
  <c r="F195" i="5"/>
  <c r="G195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B196" i="5"/>
  <c r="C196" i="5"/>
  <c r="D196" i="5"/>
  <c r="E196" i="5"/>
  <c r="F196" i="5"/>
  <c r="G196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B197" i="5"/>
  <c r="C197" i="5"/>
  <c r="D197" i="5"/>
  <c r="E197" i="5"/>
  <c r="F197" i="5"/>
  <c r="G197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B198" i="5"/>
  <c r="C198" i="5"/>
  <c r="D198" i="5"/>
  <c r="E198" i="5"/>
  <c r="F198" i="5"/>
  <c r="G198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B199" i="5"/>
  <c r="C199" i="5"/>
  <c r="D199" i="5"/>
  <c r="E199" i="5"/>
  <c r="F199" i="5"/>
  <c r="G199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B200" i="5"/>
  <c r="C200" i="5"/>
  <c r="D200" i="5"/>
  <c r="E200" i="5"/>
  <c r="F200" i="5"/>
  <c r="G200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B201" i="5"/>
  <c r="C201" i="5"/>
  <c r="D201" i="5"/>
  <c r="E201" i="5"/>
  <c r="F201" i="5"/>
  <c r="G201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B202" i="5"/>
  <c r="C202" i="5"/>
  <c r="D202" i="5"/>
  <c r="E202" i="5"/>
  <c r="F202" i="5"/>
  <c r="G202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B203" i="5"/>
  <c r="C203" i="5"/>
  <c r="D203" i="5"/>
  <c r="E203" i="5"/>
  <c r="F203" i="5"/>
  <c r="G203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B204" i="5"/>
  <c r="C204" i="5"/>
  <c r="D204" i="5"/>
  <c r="E204" i="5"/>
  <c r="F204" i="5"/>
  <c r="G204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B205" i="5"/>
  <c r="C205" i="5"/>
  <c r="D205" i="5"/>
  <c r="E205" i="5"/>
  <c r="F205" i="5"/>
  <c r="G205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B206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B207" i="5"/>
  <c r="C207" i="5"/>
  <c r="D207" i="5"/>
  <c r="E207" i="5"/>
  <c r="F207" i="5"/>
  <c r="G207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B208" i="5"/>
  <c r="C208" i="5"/>
  <c r="D208" i="5"/>
  <c r="E208" i="5"/>
  <c r="F208" i="5"/>
  <c r="G208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B209" i="5"/>
  <c r="C209" i="5"/>
  <c r="D209" i="5"/>
  <c r="E209" i="5"/>
  <c r="F209" i="5"/>
  <c r="G209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B210" i="5"/>
  <c r="C210" i="5"/>
  <c r="D210" i="5"/>
  <c r="E210" i="5"/>
  <c r="F210" i="5"/>
  <c r="G210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B211" i="5"/>
  <c r="C211" i="5"/>
  <c r="D211" i="5"/>
  <c r="E211" i="5"/>
  <c r="F211" i="5"/>
  <c r="G211" i="5"/>
  <c r="H211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B212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B213" i="5"/>
  <c r="C213" i="5"/>
  <c r="D213" i="5"/>
  <c r="E213" i="5"/>
  <c r="F213" i="5"/>
  <c r="G213" i="5"/>
  <c r="H213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B214" i="5"/>
  <c r="C214" i="5"/>
  <c r="D214" i="5"/>
  <c r="E214" i="5"/>
  <c r="F214" i="5"/>
  <c r="G214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B215" i="5"/>
  <c r="C215" i="5"/>
  <c r="D215" i="5"/>
  <c r="E215" i="5"/>
  <c r="F215" i="5"/>
  <c r="G215" i="5"/>
  <c r="H215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B216" i="5"/>
  <c r="C216" i="5"/>
  <c r="D216" i="5"/>
  <c r="E216" i="5"/>
  <c r="F216" i="5"/>
  <c r="G216" i="5"/>
  <c r="H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B217" i="5"/>
  <c r="C217" i="5"/>
  <c r="D217" i="5"/>
  <c r="E217" i="5"/>
  <c r="F217" i="5"/>
  <c r="G217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B218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B219" i="5"/>
  <c r="C219" i="5"/>
  <c r="D219" i="5"/>
  <c r="E219" i="5"/>
  <c r="F219" i="5"/>
  <c r="G219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B220" i="5"/>
  <c r="C220" i="5"/>
  <c r="D220" i="5"/>
  <c r="E220" i="5"/>
  <c r="F220" i="5"/>
  <c r="G220" i="5"/>
  <c r="H220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B221" i="5"/>
  <c r="C221" i="5"/>
  <c r="D221" i="5"/>
  <c r="E221" i="5"/>
  <c r="F221" i="5"/>
  <c r="G221" i="5"/>
  <c r="H221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B222" i="5"/>
  <c r="C222" i="5"/>
  <c r="D222" i="5"/>
  <c r="E222" i="5"/>
  <c r="F222" i="5"/>
  <c r="G222" i="5"/>
  <c r="H222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B223" i="5"/>
  <c r="C223" i="5"/>
  <c r="D223" i="5"/>
  <c r="E223" i="5"/>
  <c r="F223" i="5"/>
  <c r="G223" i="5"/>
  <c r="H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B224" i="5"/>
  <c r="C224" i="5"/>
  <c r="D224" i="5"/>
  <c r="E224" i="5"/>
  <c r="F224" i="5"/>
  <c r="G224" i="5"/>
  <c r="H224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B225" i="5"/>
  <c r="C225" i="5"/>
  <c r="D225" i="5"/>
  <c r="E225" i="5"/>
  <c r="F225" i="5"/>
  <c r="G225" i="5"/>
  <c r="H225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B226" i="5"/>
  <c r="C226" i="5"/>
  <c r="D226" i="5"/>
  <c r="E226" i="5"/>
  <c r="F226" i="5"/>
  <c r="G226" i="5"/>
  <c r="H226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B227" i="5"/>
  <c r="C227" i="5"/>
  <c r="D227" i="5"/>
  <c r="E227" i="5"/>
  <c r="F227" i="5"/>
  <c r="G227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B228" i="5"/>
  <c r="C228" i="5"/>
  <c r="D228" i="5"/>
  <c r="E228" i="5"/>
  <c r="F228" i="5"/>
  <c r="G228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B229" i="5"/>
  <c r="C229" i="5"/>
  <c r="D229" i="5"/>
  <c r="E229" i="5"/>
  <c r="F229" i="5"/>
  <c r="G229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B230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B231" i="5"/>
  <c r="C231" i="5"/>
  <c r="D231" i="5"/>
  <c r="E231" i="5"/>
  <c r="F231" i="5"/>
  <c r="G231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B232" i="5"/>
  <c r="C232" i="5"/>
  <c r="D232" i="5"/>
  <c r="E232" i="5"/>
  <c r="F232" i="5"/>
  <c r="G232" i="5"/>
  <c r="H232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B233" i="5"/>
  <c r="C233" i="5"/>
  <c r="D233" i="5"/>
  <c r="E233" i="5"/>
  <c r="F233" i="5"/>
  <c r="G233" i="5"/>
  <c r="H233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B234" i="5"/>
  <c r="C234" i="5"/>
  <c r="D234" i="5"/>
  <c r="E234" i="5"/>
  <c r="F234" i="5"/>
  <c r="G234" i="5"/>
  <c r="H234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B235" i="5"/>
  <c r="C235" i="5"/>
  <c r="D235" i="5"/>
  <c r="E235" i="5"/>
  <c r="F235" i="5"/>
  <c r="G235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B236" i="5"/>
  <c r="C236" i="5"/>
  <c r="D236" i="5"/>
  <c r="E236" i="5"/>
  <c r="F236" i="5"/>
  <c r="G236" i="5"/>
  <c r="H236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B237" i="5"/>
  <c r="C237" i="5"/>
  <c r="D237" i="5"/>
  <c r="E237" i="5"/>
  <c r="F237" i="5"/>
  <c r="G237" i="5"/>
  <c r="H237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B238" i="5"/>
  <c r="C238" i="5"/>
  <c r="D238" i="5"/>
  <c r="E238" i="5"/>
  <c r="F238" i="5"/>
  <c r="G238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B239" i="5"/>
  <c r="C239" i="5"/>
  <c r="D239" i="5"/>
  <c r="E239" i="5"/>
  <c r="F239" i="5"/>
  <c r="G239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B240" i="5"/>
  <c r="C240" i="5"/>
  <c r="D240" i="5"/>
  <c r="E240" i="5"/>
  <c r="F240" i="5"/>
  <c r="G240" i="5"/>
  <c r="H240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B241" i="5"/>
  <c r="C241" i="5"/>
  <c r="D241" i="5"/>
  <c r="E241" i="5"/>
  <c r="F241" i="5"/>
  <c r="G241" i="5"/>
  <c r="H241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B242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B243" i="5"/>
  <c r="C243" i="5"/>
  <c r="D243" i="5"/>
  <c r="E243" i="5"/>
  <c r="F243" i="5"/>
  <c r="G243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B244" i="5"/>
  <c r="C244" i="5"/>
  <c r="D244" i="5"/>
  <c r="E244" i="5"/>
  <c r="F244" i="5"/>
  <c r="G244" i="5"/>
  <c r="H244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B245" i="5"/>
  <c r="C245" i="5"/>
  <c r="D245" i="5"/>
  <c r="E245" i="5"/>
  <c r="F245" i="5"/>
  <c r="G245" i="5"/>
  <c r="H245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B246" i="5"/>
  <c r="C246" i="5"/>
  <c r="D246" i="5"/>
  <c r="E246" i="5"/>
  <c r="F246" i="5"/>
  <c r="G246" i="5"/>
  <c r="H246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B247" i="5"/>
  <c r="C247" i="5"/>
  <c r="D247" i="5"/>
  <c r="E247" i="5"/>
  <c r="F247" i="5"/>
  <c r="G247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B248" i="5"/>
  <c r="C248" i="5"/>
  <c r="D248" i="5"/>
  <c r="E248" i="5"/>
  <c r="F248" i="5"/>
  <c r="G248" i="5"/>
  <c r="H248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B249" i="5"/>
  <c r="C249" i="5"/>
  <c r="D249" i="5"/>
  <c r="E249" i="5"/>
  <c r="F249" i="5"/>
  <c r="G249" i="5"/>
  <c r="H249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B250" i="5"/>
  <c r="C250" i="5"/>
  <c r="D250" i="5"/>
  <c r="E250" i="5"/>
  <c r="F250" i="5"/>
  <c r="G250" i="5"/>
  <c r="H250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B251" i="5"/>
  <c r="C251" i="5"/>
  <c r="D251" i="5"/>
  <c r="E251" i="5"/>
  <c r="F251" i="5"/>
  <c r="G251" i="5"/>
  <c r="H251" i="5"/>
  <c r="I251" i="5"/>
  <c r="J251" i="5"/>
  <c r="K251" i="5"/>
  <c r="L251" i="5"/>
  <c r="M251" i="5"/>
  <c r="N251" i="5"/>
  <c r="O251" i="5"/>
  <c r="P251" i="5"/>
  <c r="Q251" i="5"/>
  <c r="R251" i="5"/>
  <c r="S251" i="5"/>
  <c r="T251" i="5"/>
  <c r="U251" i="5"/>
  <c r="V251" i="5"/>
  <c r="B252" i="5"/>
  <c r="C252" i="5"/>
  <c r="D252" i="5"/>
  <c r="E252" i="5"/>
  <c r="F252" i="5"/>
  <c r="G252" i="5"/>
  <c r="H252" i="5"/>
  <c r="I252" i="5"/>
  <c r="J252" i="5"/>
  <c r="K252" i="5"/>
  <c r="L252" i="5"/>
  <c r="M252" i="5"/>
  <c r="N252" i="5"/>
  <c r="O252" i="5"/>
  <c r="P252" i="5"/>
  <c r="Q252" i="5"/>
  <c r="R252" i="5"/>
  <c r="S252" i="5"/>
  <c r="T252" i="5"/>
  <c r="U252" i="5"/>
  <c r="V252" i="5"/>
  <c r="B253" i="5"/>
  <c r="C253" i="5"/>
  <c r="D253" i="5"/>
  <c r="E253" i="5"/>
  <c r="F253" i="5"/>
  <c r="G253" i="5"/>
  <c r="H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V253" i="5"/>
  <c r="B254" i="5"/>
  <c r="C254" i="5"/>
  <c r="D254" i="5"/>
  <c r="E254" i="5"/>
  <c r="F254" i="5"/>
  <c r="G254" i="5"/>
  <c r="H254" i="5"/>
  <c r="I254" i="5"/>
  <c r="J254" i="5"/>
  <c r="K254" i="5"/>
  <c r="L254" i="5"/>
  <c r="M254" i="5"/>
  <c r="N254" i="5"/>
  <c r="O254" i="5"/>
  <c r="P254" i="5"/>
  <c r="Q254" i="5"/>
  <c r="R254" i="5"/>
  <c r="S254" i="5"/>
  <c r="T254" i="5"/>
  <c r="U254" i="5"/>
  <c r="V254" i="5"/>
  <c r="B255" i="5"/>
  <c r="C255" i="5"/>
  <c r="D255" i="5"/>
  <c r="E255" i="5"/>
  <c r="F255" i="5"/>
  <c r="G255" i="5"/>
  <c r="H255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B256" i="5"/>
  <c r="C256" i="5"/>
  <c r="D256" i="5"/>
  <c r="E256" i="5"/>
  <c r="F256" i="5"/>
  <c r="G256" i="5"/>
  <c r="H256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B257" i="5"/>
  <c r="C257" i="5"/>
  <c r="D257" i="5"/>
  <c r="E257" i="5"/>
  <c r="F257" i="5"/>
  <c r="G257" i="5"/>
  <c r="H257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B258" i="5"/>
  <c r="C258" i="5"/>
  <c r="D258" i="5"/>
  <c r="E258" i="5"/>
  <c r="F258" i="5"/>
  <c r="G258" i="5"/>
  <c r="H258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B259" i="5"/>
  <c r="C259" i="5"/>
  <c r="D259" i="5"/>
  <c r="E259" i="5"/>
  <c r="F259" i="5"/>
  <c r="G259" i="5"/>
  <c r="H259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B260" i="5"/>
  <c r="C260" i="5"/>
  <c r="D260" i="5"/>
  <c r="E260" i="5"/>
  <c r="F260" i="5"/>
  <c r="G260" i="5"/>
  <c r="H260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B261" i="5"/>
  <c r="C261" i="5"/>
  <c r="D261" i="5"/>
  <c r="E261" i="5"/>
  <c r="F261" i="5"/>
  <c r="G261" i="5"/>
  <c r="H261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B262" i="5"/>
  <c r="C262" i="5"/>
  <c r="D262" i="5"/>
  <c r="E262" i="5"/>
  <c r="F262" i="5"/>
  <c r="G262" i="5"/>
  <c r="H262" i="5"/>
  <c r="I262" i="5"/>
  <c r="J262" i="5"/>
  <c r="K262" i="5"/>
  <c r="L262" i="5"/>
  <c r="M262" i="5"/>
  <c r="N262" i="5"/>
  <c r="O262" i="5"/>
  <c r="P262" i="5"/>
  <c r="Q262" i="5"/>
  <c r="R262" i="5"/>
  <c r="S262" i="5"/>
  <c r="T262" i="5"/>
  <c r="U262" i="5"/>
  <c r="V262" i="5"/>
  <c r="B263" i="5"/>
  <c r="C263" i="5"/>
  <c r="D263" i="5"/>
  <c r="E263" i="5"/>
  <c r="F263" i="5"/>
  <c r="G263" i="5"/>
  <c r="H263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B264" i="5"/>
  <c r="C264" i="5"/>
  <c r="D264" i="5"/>
  <c r="E264" i="5"/>
  <c r="F264" i="5"/>
  <c r="G264" i="5"/>
  <c r="H264" i="5"/>
  <c r="I264" i="5"/>
  <c r="J264" i="5"/>
  <c r="K264" i="5"/>
  <c r="L264" i="5"/>
  <c r="M264" i="5"/>
  <c r="N264" i="5"/>
  <c r="O264" i="5"/>
  <c r="P264" i="5"/>
  <c r="Q264" i="5"/>
  <c r="R264" i="5"/>
  <c r="S264" i="5"/>
  <c r="T264" i="5"/>
  <c r="U264" i="5"/>
  <c r="V264" i="5"/>
  <c r="B265" i="5"/>
  <c r="C265" i="5"/>
  <c r="D265" i="5"/>
  <c r="E265" i="5"/>
  <c r="F265" i="5"/>
  <c r="G265" i="5"/>
  <c r="H265" i="5"/>
  <c r="I265" i="5"/>
  <c r="J265" i="5"/>
  <c r="K265" i="5"/>
  <c r="L265" i="5"/>
  <c r="M265" i="5"/>
  <c r="N265" i="5"/>
  <c r="O265" i="5"/>
  <c r="P265" i="5"/>
  <c r="Q265" i="5"/>
  <c r="R265" i="5"/>
  <c r="S265" i="5"/>
  <c r="T265" i="5"/>
  <c r="U265" i="5"/>
  <c r="V265" i="5"/>
  <c r="B266" i="5"/>
  <c r="C266" i="5"/>
  <c r="D266" i="5"/>
  <c r="E266" i="5"/>
  <c r="F266" i="5"/>
  <c r="G266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B267" i="5"/>
  <c r="C267" i="5"/>
  <c r="D267" i="5"/>
  <c r="E267" i="5"/>
  <c r="F267" i="5"/>
  <c r="G267" i="5"/>
  <c r="H267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B268" i="5"/>
  <c r="C268" i="5"/>
  <c r="D268" i="5"/>
  <c r="E268" i="5"/>
  <c r="F268" i="5"/>
  <c r="G268" i="5"/>
  <c r="H268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B269" i="5"/>
  <c r="C269" i="5"/>
  <c r="D269" i="5"/>
  <c r="E269" i="5"/>
  <c r="F269" i="5"/>
  <c r="G269" i="5"/>
  <c r="H269" i="5"/>
  <c r="I269" i="5"/>
  <c r="J269" i="5"/>
  <c r="K269" i="5"/>
  <c r="L269" i="5"/>
  <c r="M269" i="5"/>
  <c r="N269" i="5"/>
  <c r="O269" i="5"/>
  <c r="P269" i="5"/>
  <c r="Q269" i="5"/>
  <c r="R269" i="5"/>
  <c r="S269" i="5"/>
  <c r="T269" i="5"/>
  <c r="U269" i="5"/>
  <c r="V269" i="5"/>
  <c r="B270" i="5"/>
  <c r="C270" i="5"/>
  <c r="D270" i="5"/>
  <c r="E270" i="5"/>
  <c r="F270" i="5"/>
  <c r="G270" i="5"/>
  <c r="H270" i="5"/>
  <c r="I270" i="5"/>
  <c r="J270" i="5"/>
  <c r="K270" i="5"/>
  <c r="L270" i="5"/>
  <c r="M270" i="5"/>
  <c r="N270" i="5"/>
  <c r="O270" i="5"/>
  <c r="P270" i="5"/>
  <c r="Q270" i="5"/>
  <c r="R270" i="5"/>
  <c r="S270" i="5"/>
  <c r="T270" i="5"/>
  <c r="U270" i="5"/>
  <c r="V270" i="5"/>
  <c r="B271" i="5"/>
  <c r="C271" i="5"/>
  <c r="D271" i="5"/>
  <c r="E271" i="5"/>
  <c r="F271" i="5"/>
  <c r="G271" i="5"/>
  <c r="H271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B272" i="5"/>
  <c r="C272" i="5"/>
  <c r="D272" i="5"/>
  <c r="E272" i="5"/>
  <c r="F272" i="5"/>
  <c r="G272" i="5"/>
  <c r="H272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B273" i="5"/>
  <c r="C273" i="5"/>
  <c r="D273" i="5"/>
  <c r="E273" i="5"/>
  <c r="F273" i="5"/>
  <c r="G273" i="5"/>
  <c r="H273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B274" i="5"/>
  <c r="C274" i="5"/>
  <c r="D274" i="5"/>
  <c r="E274" i="5"/>
  <c r="F274" i="5"/>
  <c r="G274" i="5"/>
  <c r="H274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B275" i="5"/>
  <c r="C275" i="5"/>
  <c r="D275" i="5"/>
  <c r="E275" i="5"/>
  <c r="F275" i="5"/>
  <c r="G275" i="5"/>
  <c r="H275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B276" i="5"/>
  <c r="C276" i="5"/>
  <c r="D276" i="5"/>
  <c r="E276" i="5"/>
  <c r="F276" i="5"/>
  <c r="G276" i="5"/>
  <c r="H276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B277" i="5"/>
  <c r="C277" i="5"/>
  <c r="D277" i="5"/>
  <c r="E277" i="5"/>
  <c r="F277" i="5"/>
  <c r="G277" i="5"/>
  <c r="H277" i="5"/>
  <c r="I277" i="5"/>
  <c r="J277" i="5"/>
  <c r="K277" i="5"/>
  <c r="L277" i="5"/>
  <c r="M277" i="5"/>
  <c r="N277" i="5"/>
  <c r="O277" i="5"/>
  <c r="P277" i="5"/>
  <c r="Q277" i="5"/>
  <c r="R277" i="5"/>
  <c r="S277" i="5"/>
  <c r="T277" i="5"/>
  <c r="U277" i="5"/>
  <c r="V277" i="5"/>
  <c r="B278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O278" i="5"/>
  <c r="P278" i="5"/>
  <c r="Q278" i="5"/>
  <c r="R278" i="5"/>
  <c r="S278" i="5"/>
  <c r="T278" i="5"/>
  <c r="U278" i="5"/>
  <c r="V278" i="5"/>
  <c r="B279" i="5"/>
  <c r="C279" i="5"/>
  <c r="D279" i="5"/>
  <c r="E279" i="5"/>
  <c r="F279" i="5"/>
  <c r="G279" i="5"/>
  <c r="H279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B280" i="5"/>
  <c r="C280" i="5"/>
  <c r="D280" i="5"/>
  <c r="E280" i="5"/>
  <c r="F280" i="5"/>
  <c r="G280" i="5"/>
  <c r="H280" i="5"/>
  <c r="I280" i="5"/>
  <c r="J280" i="5"/>
  <c r="K280" i="5"/>
  <c r="L280" i="5"/>
  <c r="M280" i="5"/>
  <c r="N280" i="5"/>
  <c r="O280" i="5"/>
  <c r="P280" i="5"/>
  <c r="Q280" i="5"/>
  <c r="R280" i="5"/>
  <c r="S280" i="5"/>
  <c r="T280" i="5"/>
  <c r="U280" i="5"/>
  <c r="V280" i="5"/>
  <c r="B281" i="5"/>
  <c r="C281" i="5"/>
  <c r="D281" i="5"/>
  <c r="E281" i="5"/>
  <c r="F281" i="5"/>
  <c r="G281" i="5"/>
  <c r="H281" i="5"/>
  <c r="I281" i="5"/>
  <c r="J281" i="5"/>
  <c r="K281" i="5"/>
  <c r="L281" i="5"/>
  <c r="M281" i="5"/>
  <c r="N281" i="5"/>
  <c r="O281" i="5"/>
  <c r="P281" i="5"/>
  <c r="Q281" i="5"/>
  <c r="R281" i="5"/>
  <c r="S281" i="5"/>
  <c r="T281" i="5"/>
  <c r="U281" i="5"/>
  <c r="V281" i="5"/>
  <c r="B282" i="5"/>
  <c r="C282" i="5"/>
  <c r="D282" i="5"/>
  <c r="E282" i="5"/>
  <c r="F282" i="5"/>
  <c r="G282" i="5"/>
  <c r="H282" i="5"/>
  <c r="I282" i="5"/>
  <c r="J282" i="5"/>
  <c r="K282" i="5"/>
  <c r="L282" i="5"/>
  <c r="M282" i="5"/>
  <c r="N282" i="5"/>
  <c r="O282" i="5"/>
  <c r="P282" i="5"/>
  <c r="Q282" i="5"/>
  <c r="R282" i="5"/>
  <c r="S282" i="5"/>
  <c r="T282" i="5"/>
  <c r="U282" i="5"/>
  <c r="V282" i="5"/>
  <c r="B283" i="5"/>
  <c r="C283" i="5"/>
  <c r="D283" i="5"/>
  <c r="E283" i="5"/>
  <c r="F283" i="5"/>
  <c r="G283" i="5"/>
  <c r="H283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B284" i="5"/>
  <c r="C284" i="5"/>
  <c r="D284" i="5"/>
  <c r="E284" i="5"/>
  <c r="F284" i="5"/>
  <c r="G284" i="5"/>
  <c r="H284" i="5"/>
  <c r="I284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B285" i="5"/>
  <c r="C285" i="5"/>
  <c r="D285" i="5"/>
  <c r="E285" i="5"/>
  <c r="F285" i="5"/>
  <c r="G285" i="5"/>
  <c r="H285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B286" i="5"/>
  <c r="C286" i="5"/>
  <c r="D286" i="5"/>
  <c r="E286" i="5"/>
  <c r="F286" i="5"/>
  <c r="G286" i="5"/>
  <c r="H286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B287" i="5"/>
  <c r="C287" i="5"/>
  <c r="D287" i="5"/>
  <c r="E287" i="5"/>
  <c r="F287" i="5"/>
  <c r="G287" i="5"/>
  <c r="H287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B288" i="5"/>
  <c r="C288" i="5"/>
  <c r="D288" i="5"/>
  <c r="E288" i="5"/>
  <c r="F288" i="5"/>
  <c r="G288" i="5"/>
  <c r="H288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B289" i="5"/>
  <c r="C289" i="5"/>
  <c r="D289" i="5"/>
  <c r="E289" i="5"/>
  <c r="F289" i="5"/>
  <c r="G289" i="5"/>
  <c r="H289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B290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O290" i="5"/>
  <c r="P290" i="5"/>
  <c r="Q290" i="5"/>
  <c r="R290" i="5"/>
  <c r="S290" i="5"/>
  <c r="T290" i="5"/>
  <c r="U290" i="5"/>
  <c r="V290" i="5"/>
  <c r="B291" i="5"/>
  <c r="C291" i="5"/>
  <c r="D291" i="5"/>
  <c r="E291" i="5"/>
  <c r="F291" i="5"/>
  <c r="G291" i="5"/>
  <c r="H291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B292" i="5"/>
  <c r="C292" i="5"/>
  <c r="D292" i="5"/>
  <c r="E292" i="5"/>
  <c r="F292" i="5"/>
  <c r="G292" i="5"/>
  <c r="H292" i="5"/>
  <c r="I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B293" i="5"/>
  <c r="C293" i="5"/>
  <c r="D293" i="5"/>
  <c r="E293" i="5"/>
  <c r="F293" i="5"/>
  <c r="G293" i="5"/>
  <c r="H293" i="5"/>
  <c r="I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B294" i="5"/>
  <c r="C294" i="5"/>
  <c r="D294" i="5"/>
  <c r="E294" i="5"/>
  <c r="F294" i="5"/>
  <c r="G294" i="5"/>
  <c r="H294" i="5"/>
  <c r="I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B295" i="5"/>
  <c r="C295" i="5"/>
  <c r="D295" i="5"/>
  <c r="E295" i="5"/>
  <c r="F295" i="5"/>
  <c r="G295" i="5"/>
  <c r="H295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B296" i="5"/>
  <c r="C296" i="5"/>
  <c r="D296" i="5"/>
  <c r="E296" i="5"/>
  <c r="F296" i="5"/>
  <c r="G296" i="5"/>
  <c r="H296" i="5"/>
  <c r="I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B297" i="5"/>
  <c r="C297" i="5"/>
  <c r="D297" i="5"/>
  <c r="E297" i="5"/>
  <c r="F297" i="5"/>
  <c r="G297" i="5"/>
  <c r="H297" i="5"/>
  <c r="I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B298" i="5"/>
  <c r="C298" i="5"/>
  <c r="D298" i="5"/>
  <c r="E298" i="5"/>
  <c r="F298" i="5"/>
  <c r="G298" i="5"/>
  <c r="H298" i="5"/>
  <c r="I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B299" i="5"/>
  <c r="C299" i="5"/>
  <c r="D299" i="5"/>
  <c r="E299" i="5"/>
  <c r="F299" i="5"/>
  <c r="G299" i="5"/>
  <c r="H299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B300" i="5"/>
  <c r="C300" i="5"/>
  <c r="D300" i="5"/>
  <c r="E300" i="5"/>
  <c r="F300" i="5"/>
  <c r="G300" i="5"/>
  <c r="H300" i="5"/>
  <c r="I300" i="5"/>
  <c r="J300" i="5"/>
  <c r="K300" i="5"/>
  <c r="L300" i="5"/>
  <c r="M300" i="5"/>
  <c r="N300" i="5"/>
  <c r="O300" i="5"/>
  <c r="P300" i="5"/>
  <c r="Q300" i="5"/>
  <c r="R300" i="5"/>
  <c r="S300" i="5"/>
  <c r="T300" i="5"/>
  <c r="U300" i="5"/>
  <c r="V300" i="5"/>
  <c r="B301" i="5"/>
  <c r="C301" i="5"/>
  <c r="D301" i="5"/>
  <c r="E301" i="5"/>
  <c r="F301" i="5"/>
  <c r="G301" i="5"/>
  <c r="H301" i="5"/>
  <c r="I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B302" i="5"/>
  <c r="C302" i="5"/>
  <c r="D302" i="5"/>
  <c r="E302" i="5"/>
  <c r="F302" i="5"/>
  <c r="G302" i="5"/>
  <c r="H302" i="5"/>
  <c r="I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B303" i="5"/>
  <c r="C303" i="5"/>
  <c r="D303" i="5"/>
  <c r="E303" i="5"/>
  <c r="F303" i="5"/>
  <c r="G303" i="5"/>
  <c r="H303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B304" i="5"/>
  <c r="C304" i="5"/>
  <c r="D304" i="5"/>
  <c r="E304" i="5"/>
  <c r="F304" i="5"/>
  <c r="G304" i="5"/>
  <c r="H304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B305" i="5"/>
  <c r="C305" i="5"/>
  <c r="D305" i="5"/>
  <c r="E305" i="5"/>
  <c r="F305" i="5"/>
  <c r="G305" i="5"/>
  <c r="H305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B306" i="5"/>
  <c r="C306" i="5"/>
  <c r="D306" i="5"/>
  <c r="E306" i="5"/>
  <c r="F306" i="5"/>
  <c r="G306" i="5"/>
  <c r="H306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B307" i="5"/>
  <c r="C307" i="5"/>
  <c r="D307" i="5"/>
  <c r="E307" i="5"/>
  <c r="F307" i="5"/>
  <c r="G307" i="5"/>
  <c r="H307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B308" i="5"/>
  <c r="C308" i="5"/>
  <c r="D308" i="5"/>
  <c r="E308" i="5"/>
  <c r="F308" i="5"/>
  <c r="G308" i="5"/>
  <c r="H308" i="5"/>
  <c r="I308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B309" i="5"/>
  <c r="C309" i="5"/>
  <c r="D309" i="5"/>
  <c r="E309" i="5"/>
  <c r="F309" i="5"/>
  <c r="G309" i="5"/>
  <c r="H309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B310" i="5"/>
  <c r="C310" i="5"/>
  <c r="D310" i="5"/>
  <c r="E310" i="5"/>
  <c r="F310" i="5"/>
  <c r="G310" i="5"/>
  <c r="H310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B311" i="5"/>
  <c r="C311" i="5"/>
  <c r="D311" i="5"/>
  <c r="E311" i="5"/>
  <c r="F311" i="5"/>
  <c r="G311" i="5"/>
  <c r="H311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B312" i="5"/>
  <c r="C312" i="5"/>
  <c r="D312" i="5"/>
  <c r="E312" i="5"/>
  <c r="F312" i="5"/>
  <c r="G312" i="5"/>
  <c r="H312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B313" i="5"/>
  <c r="C313" i="5"/>
  <c r="D313" i="5"/>
  <c r="E313" i="5"/>
  <c r="F313" i="5"/>
  <c r="G313" i="5"/>
  <c r="H313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B314" i="5"/>
  <c r="C314" i="5"/>
  <c r="D314" i="5"/>
  <c r="E314" i="5"/>
  <c r="F314" i="5"/>
  <c r="G314" i="5"/>
  <c r="H314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B315" i="5"/>
  <c r="C315" i="5"/>
  <c r="D315" i="5"/>
  <c r="E315" i="5"/>
  <c r="F315" i="5"/>
  <c r="G315" i="5"/>
  <c r="H315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B316" i="5"/>
  <c r="C316" i="5"/>
  <c r="D316" i="5"/>
  <c r="E316" i="5"/>
  <c r="F316" i="5"/>
  <c r="G316" i="5"/>
  <c r="H316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B317" i="5"/>
  <c r="C317" i="5"/>
  <c r="D317" i="5"/>
  <c r="E317" i="5"/>
  <c r="F317" i="5"/>
  <c r="G317" i="5"/>
  <c r="H317" i="5"/>
  <c r="I317" i="5"/>
  <c r="J317" i="5"/>
  <c r="K317" i="5"/>
  <c r="L317" i="5"/>
  <c r="M317" i="5"/>
  <c r="N317" i="5"/>
  <c r="O317" i="5"/>
  <c r="P317" i="5"/>
  <c r="Q317" i="5"/>
  <c r="R317" i="5"/>
  <c r="S317" i="5"/>
  <c r="T317" i="5"/>
  <c r="U317" i="5"/>
  <c r="V317" i="5"/>
  <c r="B318" i="5"/>
  <c r="C318" i="5"/>
  <c r="D318" i="5"/>
  <c r="E318" i="5"/>
  <c r="F318" i="5"/>
  <c r="G318" i="5"/>
  <c r="H318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B319" i="5"/>
  <c r="C319" i="5"/>
  <c r="D319" i="5"/>
  <c r="E319" i="5"/>
  <c r="F319" i="5"/>
  <c r="G319" i="5"/>
  <c r="H319" i="5"/>
  <c r="I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B320" i="5"/>
  <c r="C320" i="5"/>
  <c r="D320" i="5"/>
  <c r="E320" i="5"/>
  <c r="F320" i="5"/>
  <c r="G320" i="5"/>
  <c r="H320" i="5"/>
  <c r="I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B321" i="5"/>
  <c r="C321" i="5"/>
  <c r="D321" i="5"/>
  <c r="E321" i="5"/>
  <c r="F321" i="5"/>
  <c r="G321" i="5"/>
  <c r="H321" i="5"/>
  <c r="I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B322" i="5"/>
  <c r="C322" i="5"/>
  <c r="D322" i="5"/>
  <c r="E322" i="5"/>
  <c r="F322" i="5"/>
  <c r="G322" i="5"/>
  <c r="H322" i="5"/>
  <c r="I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B323" i="5"/>
  <c r="C323" i="5"/>
  <c r="D323" i="5"/>
  <c r="E323" i="5"/>
  <c r="F323" i="5"/>
  <c r="G323" i="5"/>
  <c r="H323" i="5"/>
  <c r="I323" i="5"/>
  <c r="J323" i="5"/>
  <c r="K323" i="5"/>
  <c r="L323" i="5"/>
  <c r="M323" i="5"/>
  <c r="N323" i="5"/>
  <c r="O323" i="5"/>
  <c r="P323" i="5"/>
  <c r="Q323" i="5"/>
  <c r="R323" i="5"/>
  <c r="S323" i="5"/>
  <c r="T323" i="5"/>
  <c r="U323" i="5"/>
  <c r="V323" i="5"/>
  <c r="B324" i="5"/>
  <c r="C324" i="5"/>
  <c r="D324" i="5"/>
  <c r="E324" i="5"/>
  <c r="F324" i="5"/>
  <c r="G324" i="5"/>
  <c r="H324" i="5"/>
  <c r="I324" i="5"/>
  <c r="J324" i="5"/>
  <c r="K324" i="5"/>
  <c r="L324" i="5"/>
  <c r="M324" i="5"/>
  <c r="N324" i="5"/>
  <c r="O324" i="5"/>
  <c r="P324" i="5"/>
  <c r="Q324" i="5"/>
  <c r="R324" i="5"/>
  <c r="S324" i="5"/>
  <c r="T324" i="5"/>
  <c r="U324" i="5"/>
  <c r="V324" i="5"/>
  <c r="B325" i="5"/>
  <c r="C325" i="5"/>
  <c r="D325" i="5"/>
  <c r="E325" i="5"/>
  <c r="F325" i="5"/>
  <c r="G325" i="5"/>
  <c r="H325" i="5"/>
  <c r="I325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B326" i="5"/>
  <c r="C326" i="5"/>
  <c r="D326" i="5"/>
  <c r="E326" i="5"/>
  <c r="F326" i="5"/>
  <c r="G326" i="5"/>
  <c r="H326" i="5"/>
  <c r="I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B327" i="5"/>
  <c r="C327" i="5"/>
  <c r="D327" i="5"/>
  <c r="E327" i="5"/>
  <c r="F327" i="5"/>
  <c r="G327" i="5"/>
  <c r="H327" i="5"/>
  <c r="I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B328" i="5"/>
  <c r="C328" i="5"/>
  <c r="D328" i="5"/>
  <c r="E328" i="5"/>
  <c r="F328" i="5"/>
  <c r="G328" i="5"/>
  <c r="H328" i="5"/>
  <c r="I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B329" i="5"/>
  <c r="C329" i="5"/>
  <c r="D329" i="5"/>
  <c r="E329" i="5"/>
  <c r="F329" i="5"/>
  <c r="G329" i="5"/>
  <c r="H329" i="5"/>
  <c r="I329" i="5"/>
  <c r="J329" i="5"/>
  <c r="K329" i="5"/>
  <c r="L329" i="5"/>
  <c r="M329" i="5"/>
  <c r="N329" i="5"/>
  <c r="O329" i="5"/>
  <c r="P329" i="5"/>
  <c r="Q329" i="5"/>
  <c r="R329" i="5"/>
  <c r="S329" i="5"/>
  <c r="T329" i="5"/>
  <c r="U329" i="5"/>
  <c r="V329" i="5"/>
  <c r="B330" i="5"/>
  <c r="C330" i="5"/>
  <c r="D330" i="5"/>
  <c r="E330" i="5"/>
  <c r="F330" i="5"/>
  <c r="G330" i="5"/>
  <c r="H330" i="5"/>
  <c r="I330" i="5"/>
  <c r="J330" i="5"/>
  <c r="K330" i="5"/>
  <c r="L330" i="5"/>
  <c r="M330" i="5"/>
  <c r="N330" i="5"/>
  <c r="O330" i="5"/>
  <c r="P330" i="5"/>
  <c r="Q330" i="5"/>
  <c r="R330" i="5"/>
  <c r="S330" i="5"/>
  <c r="T330" i="5"/>
  <c r="U330" i="5"/>
  <c r="V330" i="5"/>
  <c r="B331" i="5"/>
  <c r="C331" i="5"/>
  <c r="D331" i="5"/>
  <c r="E331" i="5"/>
  <c r="F331" i="5"/>
  <c r="G331" i="5"/>
  <c r="H331" i="5"/>
  <c r="I331" i="5"/>
  <c r="J331" i="5"/>
  <c r="K331" i="5"/>
  <c r="L331" i="5"/>
  <c r="M331" i="5"/>
  <c r="N331" i="5"/>
  <c r="O331" i="5"/>
  <c r="P331" i="5"/>
  <c r="Q331" i="5"/>
  <c r="R331" i="5"/>
  <c r="S331" i="5"/>
  <c r="T331" i="5"/>
  <c r="U331" i="5"/>
  <c r="V331" i="5"/>
  <c r="B332" i="5"/>
  <c r="C332" i="5"/>
  <c r="D332" i="5"/>
  <c r="E332" i="5"/>
  <c r="F332" i="5"/>
  <c r="G332" i="5"/>
  <c r="H332" i="5"/>
  <c r="I332" i="5"/>
  <c r="J332" i="5"/>
  <c r="K332" i="5"/>
  <c r="L332" i="5"/>
  <c r="M332" i="5"/>
  <c r="N332" i="5"/>
  <c r="O332" i="5"/>
  <c r="P332" i="5"/>
  <c r="Q332" i="5"/>
  <c r="R332" i="5"/>
  <c r="S332" i="5"/>
  <c r="T332" i="5"/>
  <c r="U332" i="5"/>
  <c r="V332" i="5"/>
  <c r="B333" i="5"/>
  <c r="C333" i="5"/>
  <c r="D333" i="5"/>
  <c r="E333" i="5"/>
  <c r="F333" i="5"/>
  <c r="G333" i="5"/>
  <c r="H333" i="5"/>
  <c r="I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B334" i="5"/>
  <c r="C334" i="5"/>
  <c r="D334" i="5"/>
  <c r="E334" i="5"/>
  <c r="F334" i="5"/>
  <c r="G334" i="5"/>
  <c r="H334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B335" i="5"/>
  <c r="C335" i="5"/>
  <c r="D335" i="5"/>
  <c r="E335" i="5"/>
  <c r="F335" i="5"/>
  <c r="G335" i="5"/>
  <c r="H335" i="5"/>
  <c r="I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B336" i="5"/>
  <c r="C336" i="5"/>
  <c r="D336" i="5"/>
  <c r="E336" i="5"/>
  <c r="F336" i="5"/>
  <c r="G336" i="5"/>
  <c r="H336" i="5"/>
  <c r="I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B337" i="5"/>
  <c r="C337" i="5"/>
  <c r="D337" i="5"/>
  <c r="E337" i="5"/>
  <c r="F337" i="5"/>
  <c r="G337" i="5"/>
  <c r="H337" i="5"/>
  <c r="I337" i="5"/>
  <c r="J337" i="5"/>
  <c r="K337" i="5"/>
  <c r="L337" i="5"/>
  <c r="M337" i="5"/>
  <c r="N337" i="5"/>
  <c r="O337" i="5"/>
  <c r="P337" i="5"/>
  <c r="Q337" i="5"/>
  <c r="R337" i="5"/>
  <c r="S337" i="5"/>
  <c r="T337" i="5"/>
  <c r="U337" i="5"/>
  <c r="V337" i="5"/>
  <c r="B338" i="5"/>
  <c r="C338" i="5"/>
  <c r="D338" i="5"/>
  <c r="E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V338" i="5"/>
  <c r="B339" i="5"/>
  <c r="C339" i="5"/>
  <c r="D339" i="5"/>
  <c r="E339" i="5"/>
  <c r="F339" i="5"/>
  <c r="G339" i="5"/>
  <c r="H339" i="5"/>
  <c r="I339" i="5"/>
  <c r="J339" i="5"/>
  <c r="K339" i="5"/>
  <c r="L339" i="5"/>
  <c r="M339" i="5"/>
  <c r="N339" i="5"/>
  <c r="O339" i="5"/>
  <c r="P339" i="5"/>
  <c r="Q339" i="5"/>
  <c r="R339" i="5"/>
  <c r="S339" i="5"/>
  <c r="T339" i="5"/>
  <c r="U339" i="5"/>
  <c r="V339" i="5"/>
  <c r="B340" i="5"/>
  <c r="C340" i="5"/>
  <c r="D340" i="5"/>
  <c r="E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V340" i="5"/>
  <c r="B341" i="5"/>
  <c r="C341" i="5"/>
  <c r="D341" i="5"/>
  <c r="E341" i="5"/>
  <c r="F341" i="5"/>
  <c r="G341" i="5"/>
  <c r="H341" i="5"/>
  <c r="I341" i="5"/>
  <c r="J341" i="5"/>
  <c r="K341" i="5"/>
  <c r="L341" i="5"/>
  <c r="M341" i="5"/>
  <c r="N341" i="5"/>
  <c r="O341" i="5"/>
  <c r="P341" i="5"/>
  <c r="Q341" i="5"/>
  <c r="R341" i="5"/>
  <c r="S341" i="5"/>
  <c r="T341" i="5"/>
  <c r="U341" i="5"/>
  <c r="V341" i="5"/>
  <c r="B342" i="5"/>
  <c r="C342" i="5"/>
  <c r="D342" i="5"/>
  <c r="E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U342" i="5"/>
  <c r="V342" i="5"/>
  <c r="B343" i="5"/>
  <c r="C343" i="5"/>
  <c r="D343" i="5"/>
  <c r="E343" i="5"/>
  <c r="F343" i="5"/>
  <c r="G343" i="5"/>
  <c r="H343" i="5"/>
  <c r="I343" i="5"/>
  <c r="J343" i="5"/>
  <c r="K343" i="5"/>
  <c r="L343" i="5"/>
  <c r="M343" i="5"/>
  <c r="N343" i="5"/>
  <c r="O343" i="5"/>
  <c r="P343" i="5"/>
  <c r="Q343" i="5"/>
  <c r="R343" i="5"/>
  <c r="S343" i="5"/>
  <c r="T343" i="5"/>
  <c r="U343" i="5"/>
  <c r="V343" i="5"/>
  <c r="B344" i="5"/>
  <c r="C344" i="5"/>
  <c r="D344" i="5"/>
  <c r="E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U344" i="5"/>
  <c r="V344" i="5"/>
  <c r="B345" i="5"/>
  <c r="C345" i="5"/>
  <c r="D345" i="5"/>
  <c r="E345" i="5"/>
  <c r="F345" i="5"/>
  <c r="G345" i="5"/>
  <c r="H345" i="5"/>
  <c r="I345" i="5"/>
  <c r="J345" i="5"/>
  <c r="K345" i="5"/>
  <c r="L345" i="5"/>
  <c r="M345" i="5"/>
  <c r="N345" i="5"/>
  <c r="O345" i="5"/>
  <c r="P345" i="5"/>
  <c r="Q345" i="5"/>
  <c r="R345" i="5"/>
  <c r="S345" i="5"/>
  <c r="T345" i="5"/>
  <c r="U345" i="5"/>
  <c r="V345" i="5"/>
  <c r="B346" i="5"/>
  <c r="C346" i="5"/>
  <c r="D346" i="5"/>
  <c r="E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U346" i="5"/>
  <c r="V346" i="5"/>
  <c r="B347" i="5"/>
  <c r="C347" i="5"/>
  <c r="D347" i="5"/>
  <c r="E347" i="5"/>
  <c r="F347" i="5"/>
  <c r="G347" i="5"/>
  <c r="H347" i="5"/>
  <c r="I347" i="5"/>
  <c r="J347" i="5"/>
  <c r="K347" i="5"/>
  <c r="L347" i="5"/>
  <c r="M347" i="5"/>
  <c r="N347" i="5"/>
  <c r="O347" i="5"/>
  <c r="P347" i="5"/>
  <c r="Q347" i="5"/>
  <c r="R347" i="5"/>
  <c r="S347" i="5"/>
  <c r="T347" i="5"/>
  <c r="U347" i="5"/>
  <c r="V347" i="5"/>
  <c r="B348" i="5"/>
  <c r="C348" i="5"/>
  <c r="D348" i="5"/>
  <c r="E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B349" i="5"/>
  <c r="C349" i="5"/>
  <c r="D349" i="5"/>
  <c r="E349" i="5"/>
  <c r="F349" i="5"/>
  <c r="G349" i="5"/>
  <c r="H349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B350" i="5"/>
  <c r="C350" i="5"/>
  <c r="D350" i="5"/>
  <c r="E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B351" i="5"/>
  <c r="C351" i="5"/>
  <c r="D351" i="5"/>
  <c r="E351" i="5"/>
  <c r="F351" i="5"/>
  <c r="G351" i="5"/>
  <c r="H351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B352" i="5"/>
  <c r="C352" i="5"/>
  <c r="D352" i="5"/>
  <c r="E352" i="5"/>
  <c r="F352" i="5"/>
  <c r="G352" i="5"/>
  <c r="H352" i="5"/>
  <c r="I352" i="5"/>
  <c r="J352" i="5"/>
  <c r="K352" i="5"/>
  <c r="L352" i="5"/>
  <c r="M352" i="5"/>
  <c r="N352" i="5"/>
  <c r="O352" i="5"/>
  <c r="P352" i="5"/>
  <c r="Q352" i="5"/>
  <c r="R352" i="5"/>
  <c r="S352" i="5"/>
  <c r="T352" i="5"/>
  <c r="U352" i="5"/>
  <c r="V352" i="5"/>
  <c r="B353" i="5"/>
  <c r="C353" i="5"/>
  <c r="D353" i="5"/>
  <c r="E353" i="5"/>
  <c r="F353" i="5"/>
  <c r="G353" i="5"/>
  <c r="H353" i="5"/>
  <c r="I353" i="5"/>
  <c r="J353" i="5"/>
  <c r="K353" i="5"/>
  <c r="L353" i="5"/>
  <c r="M353" i="5"/>
  <c r="N353" i="5"/>
  <c r="O353" i="5"/>
  <c r="P353" i="5"/>
  <c r="Q353" i="5"/>
  <c r="R353" i="5"/>
  <c r="S353" i="5"/>
  <c r="T353" i="5"/>
  <c r="U353" i="5"/>
  <c r="V353" i="5"/>
  <c r="B354" i="5"/>
  <c r="C354" i="5"/>
  <c r="D354" i="5"/>
  <c r="E354" i="5"/>
  <c r="F354" i="5"/>
  <c r="G354" i="5"/>
  <c r="H354" i="5"/>
  <c r="I354" i="5"/>
  <c r="J354" i="5"/>
  <c r="K354" i="5"/>
  <c r="L354" i="5"/>
  <c r="M354" i="5"/>
  <c r="N354" i="5"/>
  <c r="O354" i="5"/>
  <c r="P354" i="5"/>
  <c r="Q354" i="5"/>
  <c r="R354" i="5"/>
  <c r="S354" i="5"/>
  <c r="T354" i="5"/>
  <c r="U354" i="5"/>
  <c r="V354" i="5"/>
  <c r="B355" i="5"/>
  <c r="C355" i="5"/>
  <c r="D355" i="5"/>
  <c r="E355" i="5"/>
  <c r="F355" i="5"/>
  <c r="G355" i="5"/>
  <c r="H355" i="5"/>
  <c r="I355" i="5"/>
  <c r="J355" i="5"/>
  <c r="K355" i="5"/>
  <c r="L355" i="5"/>
  <c r="M355" i="5"/>
  <c r="N355" i="5"/>
  <c r="O355" i="5"/>
  <c r="P355" i="5"/>
  <c r="Q355" i="5"/>
  <c r="R355" i="5"/>
  <c r="S355" i="5"/>
  <c r="T355" i="5"/>
  <c r="U355" i="5"/>
  <c r="V355" i="5"/>
  <c r="B356" i="5"/>
  <c r="C356" i="5"/>
  <c r="D356" i="5"/>
  <c r="E356" i="5"/>
  <c r="F356" i="5"/>
  <c r="G356" i="5"/>
  <c r="H356" i="5"/>
  <c r="I356" i="5"/>
  <c r="J356" i="5"/>
  <c r="K356" i="5"/>
  <c r="L356" i="5"/>
  <c r="M356" i="5"/>
  <c r="N356" i="5"/>
  <c r="O356" i="5"/>
  <c r="P356" i="5"/>
  <c r="Q356" i="5"/>
  <c r="R356" i="5"/>
  <c r="S356" i="5"/>
  <c r="T356" i="5"/>
  <c r="U356" i="5"/>
  <c r="V356" i="5"/>
  <c r="B357" i="5"/>
  <c r="C357" i="5"/>
  <c r="D357" i="5"/>
  <c r="E357" i="5"/>
  <c r="F357" i="5"/>
  <c r="G357" i="5"/>
  <c r="H357" i="5"/>
  <c r="I357" i="5"/>
  <c r="J357" i="5"/>
  <c r="K357" i="5"/>
  <c r="L357" i="5"/>
  <c r="M357" i="5"/>
  <c r="N357" i="5"/>
  <c r="O357" i="5"/>
  <c r="P357" i="5"/>
  <c r="Q357" i="5"/>
  <c r="R357" i="5"/>
  <c r="S357" i="5"/>
  <c r="T357" i="5"/>
  <c r="U357" i="5"/>
  <c r="V357" i="5"/>
  <c r="B358" i="5"/>
  <c r="C358" i="5"/>
  <c r="D358" i="5"/>
  <c r="E358" i="5"/>
  <c r="F358" i="5"/>
  <c r="G358" i="5"/>
  <c r="H358" i="5"/>
  <c r="I358" i="5"/>
  <c r="J358" i="5"/>
  <c r="K358" i="5"/>
  <c r="L358" i="5"/>
  <c r="M358" i="5"/>
  <c r="N358" i="5"/>
  <c r="O358" i="5"/>
  <c r="P358" i="5"/>
  <c r="Q358" i="5"/>
  <c r="R358" i="5"/>
  <c r="S358" i="5"/>
  <c r="T358" i="5"/>
  <c r="U358" i="5"/>
  <c r="V358" i="5"/>
  <c r="B359" i="5"/>
  <c r="C359" i="5"/>
  <c r="D359" i="5"/>
  <c r="E359" i="5"/>
  <c r="F359" i="5"/>
  <c r="G359" i="5"/>
  <c r="H359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B360" i="5"/>
  <c r="C360" i="5"/>
  <c r="D360" i="5"/>
  <c r="E360" i="5"/>
  <c r="F360" i="5"/>
  <c r="G360" i="5"/>
  <c r="H360" i="5"/>
  <c r="I360" i="5"/>
  <c r="J360" i="5"/>
  <c r="K360" i="5"/>
  <c r="L360" i="5"/>
  <c r="M360" i="5"/>
  <c r="N360" i="5"/>
  <c r="O360" i="5"/>
  <c r="P360" i="5"/>
  <c r="Q360" i="5"/>
  <c r="R360" i="5"/>
  <c r="S360" i="5"/>
  <c r="T360" i="5"/>
  <c r="U360" i="5"/>
  <c r="V360" i="5"/>
  <c r="B361" i="5"/>
  <c r="C361" i="5"/>
  <c r="D361" i="5"/>
  <c r="E361" i="5"/>
  <c r="F361" i="5"/>
  <c r="G361" i="5"/>
  <c r="H361" i="5"/>
  <c r="I361" i="5"/>
  <c r="J361" i="5"/>
  <c r="K361" i="5"/>
  <c r="L361" i="5"/>
  <c r="M361" i="5"/>
  <c r="N361" i="5"/>
  <c r="O361" i="5"/>
  <c r="P361" i="5"/>
  <c r="Q361" i="5"/>
  <c r="R361" i="5"/>
  <c r="S361" i="5"/>
  <c r="T361" i="5"/>
  <c r="U361" i="5"/>
  <c r="V361" i="5"/>
  <c r="B362" i="5"/>
  <c r="C362" i="5"/>
  <c r="D362" i="5"/>
  <c r="E362" i="5"/>
  <c r="F362" i="5"/>
  <c r="G362" i="5"/>
  <c r="H362" i="5"/>
  <c r="I362" i="5"/>
  <c r="J362" i="5"/>
  <c r="K362" i="5"/>
  <c r="L362" i="5"/>
  <c r="M362" i="5"/>
  <c r="N362" i="5"/>
  <c r="O362" i="5"/>
  <c r="P362" i="5"/>
  <c r="Q362" i="5"/>
  <c r="R362" i="5"/>
  <c r="S362" i="5"/>
  <c r="T362" i="5"/>
  <c r="U362" i="5"/>
  <c r="V362" i="5"/>
  <c r="B363" i="5"/>
  <c r="C363" i="5"/>
  <c r="D363" i="5"/>
  <c r="E363" i="5"/>
  <c r="F363" i="5"/>
  <c r="G363" i="5"/>
  <c r="H363" i="5"/>
  <c r="I363" i="5"/>
  <c r="J363" i="5"/>
  <c r="K363" i="5"/>
  <c r="L363" i="5"/>
  <c r="M363" i="5"/>
  <c r="N363" i="5"/>
  <c r="O363" i="5"/>
  <c r="P363" i="5"/>
  <c r="Q363" i="5"/>
  <c r="R363" i="5"/>
  <c r="S363" i="5"/>
  <c r="T363" i="5"/>
  <c r="U363" i="5"/>
  <c r="V363" i="5"/>
  <c r="B364" i="5"/>
  <c r="C364" i="5"/>
  <c r="D364" i="5"/>
  <c r="E364" i="5"/>
  <c r="F364" i="5"/>
  <c r="G364" i="5"/>
  <c r="H364" i="5"/>
  <c r="I364" i="5"/>
  <c r="J364" i="5"/>
  <c r="K364" i="5"/>
  <c r="L364" i="5"/>
  <c r="M364" i="5"/>
  <c r="N364" i="5"/>
  <c r="O364" i="5"/>
  <c r="P364" i="5"/>
  <c r="Q364" i="5"/>
  <c r="R364" i="5"/>
  <c r="S364" i="5"/>
  <c r="T364" i="5"/>
  <c r="U364" i="5"/>
  <c r="V364" i="5"/>
  <c r="B365" i="5"/>
  <c r="C365" i="5"/>
  <c r="D365" i="5"/>
  <c r="E365" i="5"/>
  <c r="F365" i="5"/>
  <c r="G365" i="5"/>
  <c r="H365" i="5"/>
  <c r="I365" i="5"/>
  <c r="J365" i="5"/>
  <c r="K365" i="5"/>
  <c r="L365" i="5"/>
  <c r="M365" i="5"/>
  <c r="N365" i="5"/>
  <c r="O365" i="5"/>
  <c r="P365" i="5"/>
  <c r="Q365" i="5"/>
  <c r="R365" i="5"/>
  <c r="S365" i="5"/>
  <c r="T365" i="5"/>
  <c r="U365" i="5"/>
  <c r="V365" i="5"/>
  <c r="B366" i="5"/>
  <c r="C366" i="5"/>
  <c r="D366" i="5"/>
  <c r="E366" i="5"/>
  <c r="F366" i="5"/>
  <c r="G366" i="5"/>
  <c r="H366" i="5"/>
  <c r="I366" i="5"/>
  <c r="J366" i="5"/>
  <c r="K366" i="5"/>
  <c r="L366" i="5"/>
  <c r="M366" i="5"/>
  <c r="N366" i="5"/>
  <c r="O366" i="5"/>
  <c r="P366" i="5"/>
  <c r="Q366" i="5"/>
  <c r="R366" i="5"/>
  <c r="S366" i="5"/>
  <c r="T366" i="5"/>
  <c r="U366" i="5"/>
  <c r="V366" i="5"/>
  <c r="B367" i="5"/>
  <c r="C367" i="5"/>
  <c r="D367" i="5"/>
  <c r="E367" i="5"/>
  <c r="F367" i="5"/>
  <c r="G367" i="5"/>
  <c r="H367" i="5"/>
  <c r="I367" i="5"/>
  <c r="J367" i="5"/>
  <c r="K367" i="5"/>
  <c r="L367" i="5"/>
  <c r="M367" i="5"/>
  <c r="N367" i="5"/>
  <c r="O367" i="5"/>
  <c r="P367" i="5"/>
  <c r="Q367" i="5"/>
  <c r="R367" i="5"/>
  <c r="S367" i="5"/>
  <c r="T367" i="5"/>
  <c r="U367" i="5"/>
  <c r="V367" i="5"/>
  <c r="B368" i="5"/>
  <c r="C368" i="5"/>
  <c r="D368" i="5"/>
  <c r="E368" i="5"/>
  <c r="F368" i="5"/>
  <c r="G368" i="5"/>
  <c r="H368" i="5"/>
  <c r="I368" i="5"/>
  <c r="J368" i="5"/>
  <c r="K368" i="5"/>
  <c r="L368" i="5"/>
  <c r="M368" i="5"/>
  <c r="N368" i="5"/>
  <c r="O368" i="5"/>
  <c r="P368" i="5"/>
  <c r="Q368" i="5"/>
  <c r="R368" i="5"/>
  <c r="S368" i="5"/>
  <c r="T368" i="5"/>
  <c r="U368" i="5"/>
  <c r="V368" i="5"/>
  <c r="B369" i="5"/>
  <c r="C369" i="5"/>
  <c r="D369" i="5"/>
  <c r="E369" i="5"/>
  <c r="F369" i="5"/>
  <c r="G369" i="5"/>
  <c r="H369" i="5"/>
  <c r="I369" i="5"/>
  <c r="J369" i="5"/>
  <c r="K369" i="5"/>
  <c r="L369" i="5"/>
  <c r="M369" i="5"/>
  <c r="N369" i="5"/>
  <c r="O369" i="5"/>
  <c r="P369" i="5"/>
  <c r="Q369" i="5"/>
  <c r="R369" i="5"/>
  <c r="S369" i="5"/>
  <c r="T369" i="5"/>
  <c r="U369" i="5"/>
  <c r="V369" i="5"/>
  <c r="B370" i="5"/>
  <c r="C370" i="5"/>
  <c r="D370" i="5"/>
  <c r="E370" i="5"/>
  <c r="F370" i="5"/>
  <c r="G370" i="5"/>
  <c r="H370" i="5"/>
  <c r="I370" i="5"/>
  <c r="J370" i="5"/>
  <c r="K370" i="5"/>
  <c r="L370" i="5"/>
  <c r="M370" i="5"/>
  <c r="N370" i="5"/>
  <c r="O370" i="5"/>
  <c r="P370" i="5"/>
  <c r="Q370" i="5"/>
  <c r="R370" i="5"/>
  <c r="S370" i="5"/>
  <c r="T370" i="5"/>
  <c r="U370" i="5"/>
  <c r="V370" i="5"/>
  <c r="B371" i="5"/>
  <c r="C371" i="5"/>
  <c r="D371" i="5"/>
  <c r="E371" i="5"/>
  <c r="F371" i="5"/>
  <c r="G371" i="5"/>
  <c r="H371" i="5"/>
  <c r="I371" i="5"/>
  <c r="J371" i="5"/>
  <c r="K371" i="5"/>
  <c r="L371" i="5"/>
  <c r="M371" i="5"/>
  <c r="N371" i="5"/>
  <c r="O371" i="5"/>
  <c r="P371" i="5"/>
  <c r="Q371" i="5"/>
  <c r="R371" i="5"/>
  <c r="S371" i="5"/>
  <c r="T371" i="5"/>
  <c r="U371" i="5"/>
  <c r="V371" i="5"/>
  <c r="B372" i="5"/>
  <c r="C372" i="5"/>
  <c r="D372" i="5"/>
  <c r="E372" i="5"/>
  <c r="F372" i="5"/>
  <c r="G372" i="5"/>
  <c r="H372" i="5"/>
  <c r="I372" i="5"/>
  <c r="J372" i="5"/>
  <c r="K372" i="5"/>
  <c r="L372" i="5"/>
  <c r="M372" i="5"/>
  <c r="N372" i="5"/>
  <c r="O372" i="5"/>
  <c r="P372" i="5"/>
  <c r="Q372" i="5"/>
  <c r="R372" i="5"/>
  <c r="S372" i="5"/>
  <c r="T372" i="5"/>
  <c r="U372" i="5"/>
  <c r="V372" i="5"/>
  <c r="B373" i="5"/>
  <c r="C373" i="5"/>
  <c r="D373" i="5"/>
  <c r="E373" i="5"/>
  <c r="F373" i="5"/>
  <c r="G373" i="5"/>
  <c r="H373" i="5"/>
  <c r="I373" i="5"/>
  <c r="J373" i="5"/>
  <c r="K373" i="5"/>
  <c r="L373" i="5"/>
  <c r="M373" i="5"/>
  <c r="N373" i="5"/>
  <c r="O373" i="5"/>
  <c r="P373" i="5"/>
  <c r="Q373" i="5"/>
  <c r="R373" i="5"/>
  <c r="S373" i="5"/>
  <c r="T373" i="5"/>
  <c r="U373" i="5"/>
  <c r="V373" i="5"/>
  <c r="B374" i="5"/>
  <c r="C374" i="5"/>
  <c r="D374" i="5"/>
  <c r="E374" i="5"/>
  <c r="F374" i="5"/>
  <c r="G374" i="5"/>
  <c r="H374" i="5"/>
  <c r="I374" i="5"/>
  <c r="J374" i="5"/>
  <c r="K374" i="5"/>
  <c r="L374" i="5"/>
  <c r="M374" i="5"/>
  <c r="N374" i="5"/>
  <c r="O374" i="5"/>
  <c r="P374" i="5"/>
  <c r="Q374" i="5"/>
  <c r="R374" i="5"/>
  <c r="S374" i="5"/>
  <c r="T374" i="5"/>
  <c r="U374" i="5"/>
  <c r="V374" i="5"/>
  <c r="B375" i="5"/>
  <c r="C375" i="5"/>
  <c r="D375" i="5"/>
  <c r="E375" i="5"/>
  <c r="F375" i="5"/>
  <c r="G375" i="5"/>
  <c r="H375" i="5"/>
  <c r="I375" i="5"/>
  <c r="J375" i="5"/>
  <c r="K375" i="5"/>
  <c r="L375" i="5"/>
  <c r="M375" i="5"/>
  <c r="N375" i="5"/>
  <c r="O375" i="5"/>
  <c r="P375" i="5"/>
  <c r="Q375" i="5"/>
  <c r="R375" i="5"/>
  <c r="S375" i="5"/>
  <c r="T375" i="5"/>
  <c r="U375" i="5"/>
  <c r="V375" i="5"/>
  <c r="B376" i="5"/>
  <c r="C376" i="5"/>
  <c r="D376" i="5"/>
  <c r="E376" i="5"/>
  <c r="F376" i="5"/>
  <c r="G376" i="5"/>
  <c r="H376" i="5"/>
  <c r="I376" i="5"/>
  <c r="J376" i="5"/>
  <c r="K376" i="5"/>
  <c r="L376" i="5"/>
  <c r="M376" i="5"/>
  <c r="N376" i="5"/>
  <c r="O376" i="5"/>
  <c r="P376" i="5"/>
  <c r="Q376" i="5"/>
  <c r="R376" i="5"/>
  <c r="S376" i="5"/>
  <c r="T376" i="5"/>
  <c r="U376" i="5"/>
  <c r="V376" i="5"/>
  <c r="B377" i="5"/>
  <c r="C377" i="5"/>
  <c r="D377" i="5"/>
  <c r="E377" i="5"/>
  <c r="F377" i="5"/>
  <c r="G377" i="5"/>
  <c r="H377" i="5"/>
  <c r="I377" i="5"/>
  <c r="J377" i="5"/>
  <c r="K377" i="5"/>
  <c r="L377" i="5"/>
  <c r="M377" i="5"/>
  <c r="N377" i="5"/>
  <c r="O377" i="5"/>
  <c r="P377" i="5"/>
  <c r="Q377" i="5"/>
  <c r="R377" i="5"/>
  <c r="S377" i="5"/>
  <c r="T377" i="5"/>
  <c r="U377" i="5"/>
  <c r="V377" i="5"/>
  <c r="B378" i="5"/>
  <c r="C378" i="5"/>
  <c r="D378" i="5"/>
  <c r="E378" i="5"/>
  <c r="F378" i="5"/>
  <c r="G378" i="5"/>
  <c r="H378" i="5"/>
  <c r="I378" i="5"/>
  <c r="J378" i="5"/>
  <c r="K378" i="5"/>
  <c r="L378" i="5"/>
  <c r="M378" i="5"/>
  <c r="N378" i="5"/>
  <c r="O378" i="5"/>
  <c r="P378" i="5"/>
  <c r="Q378" i="5"/>
  <c r="R378" i="5"/>
  <c r="S378" i="5"/>
  <c r="T378" i="5"/>
  <c r="U378" i="5"/>
  <c r="V378" i="5"/>
  <c r="B379" i="5"/>
  <c r="C379" i="5"/>
  <c r="D379" i="5"/>
  <c r="E379" i="5"/>
  <c r="F379" i="5"/>
  <c r="G379" i="5"/>
  <c r="H379" i="5"/>
  <c r="I379" i="5"/>
  <c r="J379" i="5"/>
  <c r="K379" i="5"/>
  <c r="L379" i="5"/>
  <c r="M379" i="5"/>
  <c r="N379" i="5"/>
  <c r="O379" i="5"/>
  <c r="P379" i="5"/>
  <c r="Q379" i="5"/>
  <c r="R379" i="5"/>
  <c r="S379" i="5"/>
  <c r="T379" i="5"/>
  <c r="U379" i="5"/>
  <c r="V379" i="5"/>
  <c r="B380" i="5"/>
  <c r="C380" i="5"/>
  <c r="D380" i="5"/>
  <c r="E380" i="5"/>
  <c r="F380" i="5"/>
  <c r="G380" i="5"/>
  <c r="H380" i="5"/>
  <c r="I380" i="5"/>
  <c r="J380" i="5"/>
  <c r="K380" i="5"/>
  <c r="L380" i="5"/>
  <c r="M380" i="5"/>
  <c r="N380" i="5"/>
  <c r="O380" i="5"/>
  <c r="P380" i="5"/>
  <c r="Q380" i="5"/>
  <c r="R380" i="5"/>
  <c r="S380" i="5"/>
  <c r="T380" i="5"/>
  <c r="U380" i="5"/>
  <c r="V380" i="5"/>
  <c r="B381" i="5"/>
  <c r="C381" i="5"/>
  <c r="D381" i="5"/>
  <c r="E381" i="5"/>
  <c r="F381" i="5"/>
  <c r="G381" i="5"/>
  <c r="H381" i="5"/>
  <c r="I381" i="5"/>
  <c r="J381" i="5"/>
  <c r="K381" i="5"/>
  <c r="L381" i="5"/>
  <c r="M381" i="5"/>
  <c r="N381" i="5"/>
  <c r="O381" i="5"/>
  <c r="P381" i="5"/>
  <c r="Q381" i="5"/>
  <c r="R381" i="5"/>
  <c r="S381" i="5"/>
  <c r="T381" i="5"/>
  <c r="U381" i="5"/>
  <c r="V381" i="5"/>
  <c r="B382" i="5"/>
  <c r="C382" i="5"/>
  <c r="D382" i="5"/>
  <c r="E382" i="5"/>
  <c r="F382" i="5"/>
  <c r="G382" i="5"/>
  <c r="H382" i="5"/>
  <c r="I382" i="5"/>
  <c r="J382" i="5"/>
  <c r="K382" i="5"/>
  <c r="L382" i="5"/>
  <c r="M382" i="5"/>
  <c r="N382" i="5"/>
  <c r="O382" i="5"/>
  <c r="P382" i="5"/>
  <c r="Q382" i="5"/>
  <c r="R382" i="5"/>
  <c r="S382" i="5"/>
  <c r="T382" i="5"/>
  <c r="U382" i="5"/>
  <c r="V382" i="5"/>
  <c r="B383" i="5"/>
  <c r="C383" i="5"/>
  <c r="D383" i="5"/>
  <c r="E383" i="5"/>
  <c r="F383" i="5"/>
  <c r="G383" i="5"/>
  <c r="H383" i="5"/>
  <c r="I383" i="5"/>
  <c r="J383" i="5"/>
  <c r="K383" i="5"/>
  <c r="L383" i="5"/>
  <c r="M383" i="5"/>
  <c r="N383" i="5"/>
  <c r="O383" i="5"/>
  <c r="P383" i="5"/>
  <c r="Q383" i="5"/>
  <c r="R383" i="5"/>
  <c r="S383" i="5"/>
  <c r="T383" i="5"/>
  <c r="U383" i="5"/>
  <c r="V383" i="5"/>
  <c r="B384" i="5"/>
  <c r="C384" i="5"/>
  <c r="D384" i="5"/>
  <c r="E384" i="5"/>
  <c r="F384" i="5"/>
  <c r="G384" i="5"/>
  <c r="H384" i="5"/>
  <c r="I384" i="5"/>
  <c r="J384" i="5"/>
  <c r="K384" i="5"/>
  <c r="L384" i="5"/>
  <c r="M384" i="5"/>
  <c r="N384" i="5"/>
  <c r="O384" i="5"/>
  <c r="P384" i="5"/>
  <c r="Q384" i="5"/>
  <c r="R384" i="5"/>
  <c r="S384" i="5"/>
  <c r="T384" i="5"/>
  <c r="U384" i="5"/>
  <c r="V384" i="5"/>
  <c r="B385" i="5"/>
  <c r="C385" i="5"/>
  <c r="D385" i="5"/>
  <c r="E385" i="5"/>
  <c r="F385" i="5"/>
  <c r="G385" i="5"/>
  <c r="H385" i="5"/>
  <c r="I385" i="5"/>
  <c r="J385" i="5"/>
  <c r="K385" i="5"/>
  <c r="L385" i="5"/>
  <c r="M385" i="5"/>
  <c r="N385" i="5"/>
  <c r="O385" i="5"/>
  <c r="P385" i="5"/>
  <c r="Q385" i="5"/>
  <c r="R385" i="5"/>
  <c r="S385" i="5"/>
  <c r="T385" i="5"/>
  <c r="U385" i="5"/>
  <c r="V385" i="5"/>
  <c r="B386" i="5"/>
  <c r="C386" i="5"/>
  <c r="D386" i="5"/>
  <c r="E386" i="5"/>
  <c r="F386" i="5"/>
  <c r="G386" i="5"/>
  <c r="H386" i="5"/>
  <c r="I386" i="5"/>
  <c r="J386" i="5"/>
  <c r="K386" i="5"/>
  <c r="L386" i="5"/>
  <c r="M386" i="5"/>
  <c r="N386" i="5"/>
  <c r="O386" i="5"/>
  <c r="P386" i="5"/>
  <c r="Q386" i="5"/>
  <c r="R386" i="5"/>
  <c r="S386" i="5"/>
  <c r="T386" i="5"/>
  <c r="U386" i="5"/>
  <c r="V386" i="5"/>
  <c r="B387" i="5"/>
  <c r="C387" i="5"/>
  <c r="D387" i="5"/>
  <c r="E387" i="5"/>
  <c r="F387" i="5"/>
  <c r="G387" i="5"/>
  <c r="H387" i="5"/>
  <c r="I387" i="5"/>
  <c r="J387" i="5"/>
  <c r="K387" i="5"/>
  <c r="L387" i="5"/>
  <c r="M387" i="5"/>
  <c r="N387" i="5"/>
  <c r="O387" i="5"/>
  <c r="P387" i="5"/>
  <c r="Q387" i="5"/>
  <c r="R387" i="5"/>
  <c r="S387" i="5"/>
  <c r="T387" i="5"/>
  <c r="U387" i="5"/>
  <c r="V387" i="5"/>
  <c r="B388" i="5"/>
  <c r="C388" i="5"/>
  <c r="D388" i="5"/>
  <c r="E388" i="5"/>
  <c r="F388" i="5"/>
  <c r="G388" i="5"/>
  <c r="H388" i="5"/>
  <c r="I388" i="5"/>
  <c r="J388" i="5"/>
  <c r="K388" i="5"/>
  <c r="L388" i="5"/>
  <c r="M388" i="5"/>
  <c r="N388" i="5"/>
  <c r="O388" i="5"/>
  <c r="P388" i="5"/>
  <c r="Q388" i="5"/>
  <c r="R388" i="5"/>
  <c r="S388" i="5"/>
  <c r="T388" i="5"/>
  <c r="U388" i="5"/>
  <c r="V388" i="5"/>
  <c r="B389" i="5"/>
  <c r="C389" i="5"/>
  <c r="D389" i="5"/>
  <c r="E389" i="5"/>
  <c r="F389" i="5"/>
  <c r="G389" i="5"/>
  <c r="H389" i="5"/>
  <c r="I389" i="5"/>
  <c r="J389" i="5"/>
  <c r="K389" i="5"/>
  <c r="L389" i="5"/>
  <c r="M389" i="5"/>
  <c r="N389" i="5"/>
  <c r="O389" i="5"/>
  <c r="P389" i="5"/>
  <c r="Q389" i="5"/>
  <c r="R389" i="5"/>
  <c r="S389" i="5"/>
  <c r="T389" i="5"/>
  <c r="U389" i="5"/>
  <c r="V389" i="5"/>
  <c r="B390" i="5"/>
  <c r="C390" i="5"/>
  <c r="D390" i="5"/>
  <c r="E390" i="5"/>
  <c r="F390" i="5"/>
  <c r="G390" i="5"/>
  <c r="H390" i="5"/>
  <c r="I390" i="5"/>
  <c r="J390" i="5"/>
  <c r="K390" i="5"/>
  <c r="L390" i="5"/>
  <c r="M390" i="5"/>
  <c r="N390" i="5"/>
  <c r="O390" i="5"/>
  <c r="P390" i="5"/>
  <c r="Q390" i="5"/>
  <c r="R390" i="5"/>
  <c r="S390" i="5"/>
  <c r="T390" i="5"/>
  <c r="U390" i="5"/>
  <c r="V390" i="5"/>
  <c r="B391" i="5"/>
  <c r="C391" i="5"/>
  <c r="D391" i="5"/>
  <c r="E391" i="5"/>
  <c r="F391" i="5"/>
  <c r="G391" i="5"/>
  <c r="H391" i="5"/>
  <c r="I391" i="5"/>
  <c r="J391" i="5"/>
  <c r="K391" i="5"/>
  <c r="L391" i="5"/>
  <c r="M391" i="5"/>
  <c r="N391" i="5"/>
  <c r="O391" i="5"/>
  <c r="P391" i="5"/>
  <c r="Q391" i="5"/>
  <c r="R391" i="5"/>
  <c r="S391" i="5"/>
  <c r="T391" i="5"/>
  <c r="U391" i="5"/>
  <c r="V391" i="5"/>
  <c r="B392" i="5"/>
  <c r="C392" i="5"/>
  <c r="D392" i="5"/>
  <c r="E392" i="5"/>
  <c r="F392" i="5"/>
  <c r="G392" i="5"/>
  <c r="H392" i="5"/>
  <c r="I392" i="5"/>
  <c r="J392" i="5"/>
  <c r="K392" i="5"/>
  <c r="L392" i="5"/>
  <c r="M392" i="5"/>
  <c r="N392" i="5"/>
  <c r="O392" i="5"/>
  <c r="P392" i="5"/>
  <c r="Q392" i="5"/>
  <c r="R392" i="5"/>
  <c r="S392" i="5"/>
  <c r="T392" i="5"/>
  <c r="U392" i="5"/>
  <c r="V392" i="5"/>
  <c r="B393" i="5"/>
  <c r="C393" i="5"/>
  <c r="D393" i="5"/>
  <c r="E393" i="5"/>
  <c r="F393" i="5"/>
  <c r="G393" i="5"/>
  <c r="H393" i="5"/>
  <c r="I393" i="5"/>
  <c r="J393" i="5"/>
  <c r="K393" i="5"/>
  <c r="L393" i="5"/>
  <c r="M393" i="5"/>
  <c r="N393" i="5"/>
  <c r="O393" i="5"/>
  <c r="P393" i="5"/>
  <c r="Q393" i="5"/>
  <c r="R393" i="5"/>
  <c r="S393" i="5"/>
  <c r="T393" i="5"/>
  <c r="U393" i="5"/>
  <c r="V393" i="5"/>
  <c r="B394" i="5"/>
  <c r="C394" i="5"/>
  <c r="D394" i="5"/>
  <c r="E394" i="5"/>
  <c r="F394" i="5"/>
  <c r="G394" i="5"/>
  <c r="H394" i="5"/>
  <c r="I394" i="5"/>
  <c r="J394" i="5"/>
  <c r="K394" i="5"/>
  <c r="L394" i="5"/>
  <c r="M394" i="5"/>
  <c r="N394" i="5"/>
  <c r="O394" i="5"/>
  <c r="P394" i="5"/>
  <c r="Q394" i="5"/>
  <c r="R394" i="5"/>
  <c r="S394" i="5"/>
  <c r="T394" i="5"/>
  <c r="U394" i="5"/>
  <c r="V394" i="5"/>
  <c r="B395" i="5"/>
  <c r="C395" i="5"/>
  <c r="D395" i="5"/>
  <c r="E395" i="5"/>
  <c r="F395" i="5"/>
  <c r="G395" i="5"/>
  <c r="H395" i="5"/>
  <c r="I395" i="5"/>
  <c r="J395" i="5"/>
  <c r="K395" i="5"/>
  <c r="L395" i="5"/>
  <c r="M395" i="5"/>
  <c r="N395" i="5"/>
  <c r="O395" i="5"/>
  <c r="P395" i="5"/>
  <c r="Q395" i="5"/>
  <c r="R395" i="5"/>
  <c r="S395" i="5"/>
  <c r="T395" i="5"/>
  <c r="U395" i="5"/>
  <c r="V395" i="5"/>
  <c r="B396" i="5"/>
  <c r="C396" i="5"/>
  <c r="D396" i="5"/>
  <c r="E396" i="5"/>
  <c r="F396" i="5"/>
  <c r="G396" i="5"/>
  <c r="H396" i="5"/>
  <c r="I396" i="5"/>
  <c r="J396" i="5"/>
  <c r="K396" i="5"/>
  <c r="L396" i="5"/>
  <c r="M396" i="5"/>
  <c r="N396" i="5"/>
  <c r="O396" i="5"/>
  <c r="P396" i="5"/>
  <c r="Q396" i="5"/>
  <c r="R396" i="5"/>
  <c r="S396" i="5"/>
  <c r="T396" i="5"/>
  <c r="U396" i="5"/>
  <c r="V396" i="5"/>
  <c r="B397" i="5"/>
  <c r="C397" i="5"/>
  <c r="D397" i="5"/>
  <c r="E397" i="5"/>
  <c r="F397" i="5"/>
  <c r="G397" i="5"/>
  <c r="H397" i="5"/>
  <c r="I397" i="5"/>
  <c r="J397" i="5"/>
  <c r="K397" i="5"/>
  <c r="L397" i="5"/>
  <c r="M397" i="5"/>
  <c r="N397" i="5"/>
  <c r="O397" i="5"/>
  <c r="P397" i="5"/>
  <c r="Q397" i="5"/>
  <c r="R397" i="5"/>
  <c r="S397" i="5"/>
  <c r="T397" i="5"/>
  <c r="U397" i="5"/>
  <c r="V397" i="5"/>
  <c r="B398" i="5"/>
  <c r="C398" i="5"/>
  <c r="D398" i="5"/>
  <c r="E398" i="5"/>
  <c r="F398" i="5"/>
  <c r="G398" i="5"/>
  <c r="H398" i="5"/>
  <c r="I398" i="5"/>
  <c r="J398" i="5"/>
  <c r="K398" i="5"/>
  <c r="L398" i="5"/>
  <c r="M398" i="5"/>
  <c r="N398" i="5"/>
  <c r="O398" i="5"/>
  <c r="P398" i="5"/>
  <c r="Q398" i="5"/>
  <c r="R398" i="5"/>
  <c r="S398" i="5"/>
  <c r="T398" i="5"/>
  <c r="U398" i="5"/>
  <c r="V398" i="5"/>
  <c r="B399" i="5"/>
  <c r="C399" i="5"/>
  <c r="D399" i="5"/>
  <c r="E399" i="5"/>
  <c r="F399" i="5"/>
  <c r="G399" i="5"/>
  <c r="H399" i="5"/>
  <c r="I399" i="5"/>
  <c r="J399" i="5"/>
  <c r="K399" i="5"/>
  <c r="L399" i="5"/>
  <c r="M399" i="5"/>
  <c r="N399" i="5"/>
  <c r="O399" i="5"/>
  <c r="P399" i="5"/>
  <c r="Q399" i="5"/>
  <c r="R399" i="5"/>
  <c r="S399" i="5"/>
  <c r="T399" i="5"/>
  <c r="U399" i="5"/>
  <c r="V399" i="5"/>
  <c r="B400" i="5"/>
  <c r="C400" i="5"/>
  <c r="D400" i="5"/>
  <c r="E400" i="5"/>
  <c r="F400" i="5"/>
  <c r="G400" i="5"/>
  <c r="H400" i="5"/>
  <c r="I400" i="5"/>
  <c r="J400" i="5"/>
  <c r="K400" i="5"/>
  <c r="L400" i="5"/>
  <c r="M400" i="5"/>
  <c r="N400" i="5"/>
  <c r="O400" i="5"/>
  <c r="P400" i="5"/>
  <c r="Q400" i="5"/>
  <c r="R400" i="5"/>
  <c r="S400" i="5"/>
  <c r="T400" i="5"/>
  <c r="U400" i="5"/>
  <c r="V400" i="5"/>
  <c r="B401" i="5"/>
  <c r="C401" i="5"/>
  <c r="D401" i="5"/>
  <c r="E401" i="5"/>
  <c r="F401" i="5"/>
  <c r="G401" i="5"/>
  <c r="H401" i="5"/>
  <c r="I401" i="5"/>
  <c r="J401" i="5"/>
  <c r="K401" i="5"/>
  <c r="L401" i="5"/>
  <c r="M401" i="5"/>
  <c r="N401" i="5"/>
  <c r="O401" i="5"/>
  <c r="P401" i="5"/>
  <c r="Q401" i="5"/>
  <c r="R401" i="5"/>
  <c r="S401" i="5"/>
  <c r="T401" i="5"/>
  <c r="U401" i="5"/>
  <c r="V401" i="5"/>
  <c r="B402" i="5"/>
  <c r="C402" i="5"/>
  <c r="D402" i="5"/>
  <c r="E402" i="5"/>
  <c r="F402" i="5"/>
  <c r="G402" i="5"/>
  <c r="H402" i="5"/>
  <c r="I402" i="5"/>
  <c r="J402" i="5"/>
  <c r="K402" i="5"/>
  <c r="L402" i="5"/>
  <c r="M402" i="5"/>
  <c r="N402" i="5"/>
  <c r="O402" i="5"/>
  <c r="P402" i="5"/>
  <c r="Q402" i="5"/>
  <c r="R402" i="5"/>
  <c r="S402" i="5"/>
  <c r="T402" i="5"/>
  <c r="U402" i="5"/>
  <c r="V402" i="5"/>
  <c r="B403" i="5"/>
  <c r="C403" i="5"/>
  <c r="D403" i="5"/>
  <c r="E403" i="5"/>
  <c r="F403" i="5"/>
  <c r="G403" i="5"/>
  <c r="H403" i="5"/>
  <c r="I403" i="5"/>
  <c r="J403" i="5"/>
  <c r="K403" i="5"/>
  <c r="L403" i="5"/>
  <c r="M403" i="5"/>
  <c r="N403" i="5"/>
  <c r="O403" i="5"/>
  <c r="P403" i="5"/>
  <c r="Q403" i="5"/>
  <c r="R403" i="5"/>
  <c r="S403" i="5"/>
  <c r="T403" i="5"/>
  <c r="U403" i="5"/>
  <c r="V403" i="5"/>
  <c r="B404" i="5"/>
  <c r="C404" i="5"/>
  <c r="D404" i="5"/>
  <c r="E404" i="5"/>
  <c r="F404" i="5"/>
  <c r="G404" i="5"/>
  <c r="H404" i="5"/>
  <c r="I404" i="5"/>
  <c r="J404" i="5"/>
  <c r="K404" i="5"/>
  <c r="L404" i="5"/>
  <c r="M404" i="5"/>
  <c r="N404" i="5"/>
  <c r="O404" i="5"/>
  <c r="P404" i="5"/>
  <c r="Q404" i="5"/>
  <c r="R404" i="5"/>
  <c r="S404" i="5"/>
  <c r="T404" i="5"/>
  <c r="U404" i="5"/>
  <c r="V404" i="5"/>
  <c r="B405" i="5"/>
  <c r="C405" i="5"/>
  <c r="D405" i="5"/>
  <c r="E405" i="5"/>
  <c r="F405" i="5"/>
  <c r="G405" i="5"/>
  <c r="H405" i="5"/>
  <c r="I405" i="5"/>
  <c r="J405" i="5"/>
  <c r="K405" i="5"/>
  <c r="L405" i="5"/>
  <c r="M405" i="5"/>
  <c r="N405" i="5"/>
  <c r="O405" i="5"/>
  <c r="P405" i="5"/>
  <c r="Q405" i="5"/>
  <c r="R405" i="5"/>
  <c r="S405" i="5"/>
  <c r="T405" i="5"/>
  <c r="U405" i="5"/>
  <c r="V405" i="5"/>
  <c r="B406" i="5"/>
  <c r="C406" i="5"/>
  <c r="D406" i="5"/>
  <c r="E406" i="5"/>
  <c r="F406" i="5"/>
  <c r="G406" i="5"/>
  <c r="H406" i="5"/>
  <c r="I406" i="5"/>
  <c r="J406" i="5"/>
  <c r="K406" i="5"/>
  <c r="L406" i="5"/>
  <c r="M406" i="5"/>
  <c r="N406" i="5"/>
  <c r="O406" i="5"/>
  <c r="P406" i="5"/>
  <c r="Q406" i="5"/>
  <c r="R406" i="5"/>
  <c r="S406" i="5"/>
  <c r="T406" i="5"/>
  <c r="U406" i="5"/>
  <c r="V406" i="5"/>
  <c r="B407" i="5"/>
  <c r="C407" i="5"/>
  <c r="D407" i="5"/>
  <c r="E407" i="5"/>
  <c r="F407" i="5"/>
  <c r="G407" i="5"/>
  <c r="H407" i="5"/>
  <c r="I407" i="5"/>
  <c r="J407" i="5"/>
  <c r="K407" i="5"/>
  <c r="L407" i="5"/>
  <c r="M407" i="5"/>
  <c r="N407" i="5"/>
  <c r="O407" i="5"/>
  <c r="P407" i="5"/>
  <c r="Q407" i="5"/>
  <c r="R407" i="5"/>
  <c r="S407" i="5"/>
  <c r="T407" i="5"/>
  <c r="U407" i="5"/>
  <c r="V407" i="5"/>
  <c r="B408" i="5"/>
  <c r="C408" i="5"/>
  <c r="D408" i="5"/>
  <c r="E408" i="5"/>
  <c r="F408" i="5"/>
  <c r="G408" i="5"/>
  <c r="H408" i="5"/>
  <c r="I408" i="5"/>
  <c r="J408" i="5"/>
  <c r="K408" i="5"/>
  <c r="L408" i="5"/>
  <c r="M408" i="5"/>
  <c r="N408" i="5"/>
  <c r="O408" i="5"/>
  <c r="P408" i="5"/>
  <c r="Q408" i="5"/>
  <c r="R408" i="5"/>
  <c r="S408" i="5"/>
  <c r="T408" i="5"/>
  <c r="U408" i="5"/>
  <c r="V408" i="5"/>
  <c r="B409" i="5"/>
  <c r="C409" i="5"/>
  <c r="D409" i="5"/>
  <c r="E409" i="5"/>
  <c r="F409" i="5"/>
  <c r="G409" i="5"/>
  <c r="H409" i="5"/>
  <c r="I409" i="5"/>
  <c r="J409" i="5"/>
  <c r="K409" i="5"/>
  <c r="L409" i="5"/>
  <c r="M409" i="5"/>
  <c r="N409" i="5"/>
  <c r="O409" i="5"/>
  <c r="P409" i="5"/>
  <c r="Q409" i="5"/>
  <c r="R409" i="5"/>
  <c r="S409" i="5"/>
  <c r="T409" i="5"/>
  <c r="U409" i="5"/>
  <c r="V409" i="5"/>
  <c r="B410" i="5"/>
  <c r="C410" i="5"/>
  <c r="D410" i="5"/>
  <c r="E410" i="5"/>
  <c r="F410" i="5"/>
  <c r="G410" i="5"/>
  <c r="H410" i="5"/>
  <c r="I410" i="5"/>
  <c r="J410" i="5"/>
  <c r="K410" i="5"/>
  <c r="L410" i="5"/>
  <c r="M410" i="5"/>
  <c r="N410" i="5"/>
  <c r="O410" i="5"/>
  <c r="P410" i="5"/>
  <c r="Q410" i="5"/>
  <c r="R410" i="5"/>
  <c r="S410" i="5"/>
  <c r="T410" i="5"/>
  <c r="U410" i="5"/>
  <c r="V410" i="5"/>
  <c r="B411" i="5"/>
  <c r="C411" i="5"/>
  <c r="D411" i="5"/>
  <c r="E411" i="5"/>
  <c r="F411" i="5"/>
  <c r="G411" i="5"/>
  <c r="H411" i="5"/>
  <c r="I411" i="5"/>
  <c r="J411" i="5"/>
  <c r="K411" i="5"/>
  <c r="L411" i="5"/>
  <c r="M411" i="5"/>
  <c r="N411" i="5"/>
  <c r="O411" i="5"/>
  <c r="P411" i="5"/>
  <c r="Q411" i="5"/>
  <c r="R411" i="5"/>
  <c r="S411" i="5"/>
  <c r="T411" i="5"/>
  <c r="U411" i="5"/>
  <c r="V411" i="5"/>
  <c r="B412" i="5"/>
  <c r="C412" i="5"/>
  <c r="D412" i="5"/>
  <c r="E412" i="5"/>
  <c r="F412" i="5"/>
  <c r="G412" i="5"/>
  <c r="H412" i="5"/>
  <c r="I412" i="5"/>
  <c r="J412" i="5"/>
  <c r="K412" i="5"/>
  <c r="L412" i="5"/>
  <c r="M412" i="5"/>
  <c r="N412" i="5"/>
  <c r="O412" i="5"/>
  <c r="P412" i="5"/>
  <c r="Q412" i="5"/>
  <c r="R412" i="5"/>
  <c r="S412" i="5"/>
  <c r="T412" i="5"/>
  <c r="U412" i="5"/>
  <c r="V412" i="5"/>
  <c r="B413" i="5"/>
  <c r="C413" i="5"/>
  <c r="D413" i="5"/>
  <c r="E413" i="5"/>
  <c r="F413" i="5"/>
  <c r="G413" i="5"/>
  <c r="H413" i="5"/>
  <c r="I413" i="5"/>
  <c r="J413" i="5"/>
  <c r="K413" i="5"/>
  <c r="L413" i="5"/>
  <c r="M413" i="5"/>
  <c r="N413" i="5"/>
  <c r="O413" i="5"/>
  <c r="P413" i="5"/>
  <c r="Q413" i="5"/>
  <c r="R413" i="5"/>
  <c r="S413" i="5"/>
  <c r="T413" i="5"/>
  <c r="U413" i="5"/>
  <c r="V413" i="5"/>
  <c r="B414" i="5"/>
  <c r="C414" i="5"/>
  <c r="D414" i="5"/>
  <c r="E414" i="5"/>
  <c r="F414" i="5"/>
  <c r="G414" i="5"/>
  <c r="H414" i="5"/>
  <c r="I414" i="5"/>
  <c r="J414" i="5"/>
  <c r="K414" i="5"/>
  <c r="L414" i="5"/>
  <c r="M414" i="5"/>
  <c r="N414" i="5"/>
  <c r="O414" i="5"/>
  <c r="P414" i="5"/>
  <c r="Q414" i="5"/>
  <c r="R414" i="5"/>
  <c r="S414" i="5"/>
  <c r="T414" i="5"/>
  <c r="U414" i="5"/>
  <c r="V414" i="5"/>
  <c r="B415" i="5"/>
  <c r="C415" i="5"/>
  <c r="D415" i="5"/>
  <c r="E415" i="5"/>
  <c r="F415" i="5"/>
  <c r="G415" i="5"/>
  <c r="H415" i="5"/>
  <c r="I415" i="5"/>
  <c r="J415" i="5"/>
  <c r="K415" i="5"/>
  <c r="L415" i="5"/>
  <c r="M415" i="5"/>
  <c r="N415" i="5"/>
  <c r="O415" i="5"/>
  <c r="P415" i="5"/>
  <c r="Q415" i="5"/>
  <c r="R415" i="5"/>
  <c r="S415" i="5"/>
  <c r="T415" i="5"/>
  <c r="U415" i="5"/>
  <c r="V415" i="5"/>
  <c r="B416" i="5"/>
  <c r="C416" i="5"/>
  <c r="D416" i="5"/>
  <c r="E416" i="5"/>
  <c r="F416" i="5"/>
  <c r="G416" i="5"/>
  <c r="H416" i="5"/>
  <c r="I416" i="5"/>
  <c r="J416" i="5"/>
  <c r="K416" i="5"/>
  <c r="L416" i="5"/>
  <c r="M416" i="5"/>
  <c r="N416" i="5"/>
  <c r="O416" i="5"/>
  <c r="P416" i="5"/>
  <c r="Q416" i="5"/>
  <c r="R416" i="5"/>
  <c r="S416" i="5"/>
  <c r="T416" i="5"/>
  <c r="U416" i="5"/>
  <c r="V416" i="5"/>
  <c r="B417" i="5"/>
  <c r="C417" i="5"/>
  <c r="D417" i="5"/>
  <c r="E417" i="5"/>
  <c r="F417" i="5"/>
  <c r="G417" i="5"/>
  <c r="H417" i="5"/>
  <c r="I417" i="5"/>
  <c r="J417" i="5"/>
  <c r="K417" i="5"/>
  <c r="L417" i="5"/>
  <c r="M417" i="5"/>
  <c r="N417" i="5"/>
  <c r="O417" i="5"/>
  <c r="P417" i="5"/>
  <c r="Q417" i="5"/>
  <c r="R417" i="5"/>
  <c r="S417" i="5"/>
  <c r="T417" i="5"/>
  <c r="U417" i="5"/>
  <c r="V417" i="5"/>
  <c r="B418" i="5"/>
  <c r="C418" i="5"/>
  <c r="D418" i="5"/>
  <c r="E418" i="5"/>
  <c r="F418" i="5"/>
  <c r="G418" i="5"/>
  <c r="H418" i="5"/>
  <c r="I418" i="5"/>
  <c r="J418" i="5"/>
  <c r="K418" i="5"/>
  <c r="L418" i="5"/>
  <c r="M418" i="5"/>
  <c r="N418" i="5"/>
  <c r="O418" i="5"/>
  <c r="P418" i="5"/>
  <c r="Q418" i="5"/>
  <c r="R418" i="5"/>
  <c r="S418" i="5"/>
  <c r="T418" i="5"/>
  <c r="U418" i="5"/>
  <c r="V418" i="5"/>
  <c r="B419" i="5"/>
  <c r="C419" i="5"/>
  <c r="D419" i="5"/>
  <c r="E419" i="5"/>
  <c r="F419" i="5"/>
  <c r="G419" i="5"/>
  <c r="H419" i="5"/>
  <c r="I419" i="5"/>
  <c r="J419" i="5"/>
  <c r="K419" i="5"/>
  <c r="L419" i="5"/>
  <c r="M419" i="5"/>
  <c r="N419" i="5"/>
  <c r="O419" i="5"/>
  <c r="P419" i="5"/>
  <c r="Q419" i="5"/>
  <c r="R419" i="5"/>
  <c r="S419" i="5"/>
  <c r="T419" i="5"/>
  <c r="U419" i="5"/>
  <c r="V419" i="5"/>
  <c r="B420" i="5"/>
  <c r="C420" i="5"/>
  <c r="D420" i="5"/>
  <c r="E420" i="5"/>
  <c r="F420" i="5"/>
  <c r="G420" i="5"/>
  <c r="H420" i="5"/>
  <c r="I420" i="5"/>
  <c r="J420" i="5"/>
  <c r="K420" i="5"/>
  <c r="L420" i="5"/>
  <c r="M420" i="5"/>
  <c r="N420" i="5"/>
  <c r="O420" i="5"/>
  <c r="P420" i="5"/>
  <c r="Q420" i="5"/>
  <c r="R420" i="5"/>
  <c r="S420" i="5"/>
  <c r="T420" i="5"/>
  <c r="U420" i="5"/>
  <c r="V420" i="5"/>
  <c r="B421" i="5"/>
  <c r="C421" i="5"/>
  <c r="D421" i="5"/>
  <c r="E421" i="5"/>
  <c r="F421" i="5"/>
  <c r="G421" i="5"/>
  <c r="H421" i="5"/>
  <c r="I421" i="5"/>
  <c r="J421" i="5"/>
  <c r="K421" i="5"/>
  <c r="L421" i="5"/>
  <c r="M421" i="5"/>
  <c r="N421" i="5"/>
  <c r="O421" i="5"/>
  <c r="P421" i="5"/>
  <c r="Q421" i="5"/>
  <c r="R421" i="5"/>
  <c r="S421" i="5"/>
  <c r="T421" i="5"/>
  <c r="U421" i="5"/>
  <c r="V421" i="5"/>
  <c r="B422" i="5"/>
  <c r="C422" i="5"/>
  <c r="D422" i="5"/>
  <c r="E422" i="5"/>
  <c r="F422" i="5"/>
  <c r="G422" i="5"/>
  <c r="H422" i="5"/>
  <c r="I422" i="5"/>
  <c r="J422" i="5"/>
  <c r="K422" i="5"/>
  <c r="L422" i="5"/>
  <c r="M422" i="5"/>
  <c r="N422" i="5"/>
  <c r="O422" i="5"/>
  <c r="P422" i="5"/>
  <c r="Q422" i="5"/>
  <c r="R422" i="5"/>
  <c r="S422" i="5"/>
  <c r="T422" i="5"/>
  <c r="U422" i="5"/>
  <c r="V422" i="5"/>
  <c r="B423" i="5"/>
  <c r="C423" i="5"/>
  <c r="D423" i="5"/>
  <c r="E423" i="5"/>
  <c r="F423" i="5"/>
  <c r="G423" i="5"/>
  <c r="H423" i="5"/>
  <c r="I423" i="5"/>
  <c r="J423" i="5"/>
  <c r="K423" i="5"/>
  <c r="L423" i="5"/>
  <c r="M423" i="5"/>
  <c r="N423" i="5"/>
  <c r="O423" i="5"/>
  <c r="P423" i="5"/>
  <c r="Q423" i="5"/>
  <c r="R423" i="5"/>
  <c r="S423" i="5"/>
  <c r="T423" i="5"/>
  <c r="U423" i="5"/>
  <c r="V423" i="5"/>
  <c r="B424" i="5"/>
  <c r="C424" i="5"/>
  <c r="D424" i="5"/>
  <c r="E424" i="5"/>
  <c r="F424" i="5"/>
  <c r="G424" i="5"/>
  <c r="H424" i="5"/>
  <c r="I424" i="5"/>
  <c r="J424" i="5"/>
  <c r="K424" i="5"/>
  <c r="L424" i="5"/>
  <c r="M424" i="5"/>
  <c r="N424" i="5"/>
  <c r="O424" i="5"/>
  <c r="P424" i="5"/>
  <c r="Q424" i="5"/>
  <c r="R424" i="5"/>
  <c r="S424" i="5"/>
  <c r="T424" i="5"/>
  <c r="U424" i="5"/>
  <c r="V424" i="5"/>
  <c r="B425" i="5"/>
  <c r="C425" i="5"/>
  <c r="D425" i="5"/>
  <c r="E425" i="5"/>
  <c r="F425" i="5"/>
  <c r="G425" i="5"/>
  <c r="H425" i="5"/>
  <c r="I425" i="5"/>
  <c r="J425" i="5"/>
  <c r="K425" i="5"/>
  <c r="L425" i="5"/>
  <c r="M425" i="5"/>
  <c r="N425" i="5"/>
  <c r="O425" i="5"/>
  <c r="P425" i="5"/>
  <c r="Q425" i="5"/>
  <c r="R425" i="5"/>
  <c r="S425" i="5"/>
  <c r="T425" i="5"/>
  <c r="U425" i="5"/>
  <c r="V425" i="5"/>
  <c r="B426" i="5"/>
  <c r="C426" i="5"/>
  <c r="D426" i="5"/>
  <c r="E426" i="5"/>
  <c r="F426" i="5"/>
  <c r="G426" i="5"/>
  <c r="H426" i="5"/>
  <c r="I426" i="5"/>
  <c r="J426" i="5"/>
  <c r="K426" i="5"/>
  <c r="L426" i="5"/>
  <c r="M426" i="5"/>
  <c r="N426" i="5"/>
  <c r="O426" i="5"/>
  <c r="P426" i="5"/>
  <c r="Q426" i="5"/>
  <c r="R426" i="5"/>
  <c r="S426" i="5"/>
  <c r="T426" i="5"/>
  <c r="U426" i="5"/>
  <c r="V426" i="5"/>
  <c r="B427" i="5"/>
  <c r="C427" i="5"/>
  <c r="D427" i="5"/>
  <c r="E427" i="5"/>
  <c r="F427" i="5"/>
  <c r="G427" i="5"/>
  <c r="H427" i="5"/>
  <c r="I427" i="5"/>
  <c r="J427" i="5"/>
  <c r="K427" i="5"/>
  <c r="L427" i="5"/>
  <c r="M427" i="5"/>
  <c r="N427" i="5"/>
  <c r="O427" i="5"/>
  <c r="P427" i="5"/>
  <c r="Q427" i="5"/>
  <c r="R427" i="5"/>
  <c r="S427" i="5"/>
  <c r="T427" i="5"/>
  <c r="U427" i="5"/>
  <c r="V427" i="5"/>
  <c r="B428" i="5"/>
  <c r="C428" i="5"/>
  <c r="D428" i="5"/>
  <c r="E428" i="5"/>
  <c r="F428" i="5"/>
  <c r="G428" i="5"/>
  <c r="H428" i="5"/>
  <c r="I428" i="5"/>
  <c r="J428" i="5"/>
  <c r="K428" i="5"/>
  <c r="L428" i="5"/>
  <c r="M428" i="5"/>
  <c r="N428" i="5"/>
  <c r="O428" i="5"/>
  <c r="P428" i="5"/>
  <c r="Q428" i="5"/>
  <c r="R428" i="5"/>
  <c r="S428" i="5"/>
  <c r="T428" i="5"/>
  <c r="U428" i="5"/>
  <c r="V428" i="5"/>
  <c r="B429" i="5"/>
  <c r="C429" i="5"/>
  <c r="D429" i="5"/>
  <c r="E429" i="5"/>
  <c r="F429" i="5"/>
  <c r="G429" i="5"/>
  <c r="H429" i="5"/>
  <c r="I429" i="5"/>
  <c r="J429" i="5"/>
  <c r="K429" i="5"/>
  <c r="L429" i="5"/>
  <c r="M429" i="5"/>
  <c r="N429" i="5"/>
  <c r="O429" i="5"/>
  <c r="P429" i="5"/>
  <c r="Q429" i="5"/>
  <c r="R429" i="5"/>
  <c r="S429" i="5"/>
  <c r="T429" i="5"/>
  <c r="U429" i="5"/>
  <c r="V429" i="5"/>
  <c r="B430" i="5"/>
  <c r="C430" i="5"/>
  <c r="D430" i="5"/>
  <c r="E430" i="5"/>
  <c r="F430" i="5"/>
  <c r="G430" i="5"/>
  <c r="H430" i="5"/>
  <c r="I430" i="5"/>
  <c r="J430" i="5"/>
  <c r="K430" i="5"/>
  <c r="L430" i="5"/>
  <c r="M430" i="5"/>
  <c r="N430" i="5"/>
  <c r="O430" i="5"/>
  <c r="P430" i="5"/>
  <c r="Q430" i="5"/>
  <c r="R430" i="5"/>
  <c r="S430" i="5"/>
  <c r="T430" i="5"/>
  <c r="U430" i="5"/>
  <c r="V430" i="5"/>
  <c r="B431" i="5"/>
  <c r="C431" i="5"/>
  <c r="D431" i="5"/>
  <c r="E431" i="5"/>
  <c r="F431" i="5"/>
  <c r="G431" i="5"/>
  <c r="H431" i="5"/>
  <c r="I431" i="5"/>
  <c r="J431" i="5"/>
  <c r="K431" i="5"/>
  <c r="L431" i="5"/>
  <c r="M431" i="5"/>
  <c r="N431" i="5"/>
  <c r="O431" i="5"/>
  <c r="P431" i="5"/>
  <c r="Q431" i="5"/>
  <c r="R431" i="5"/>
  <c r="S431" i="5"/>
  <c r="T431" i="5"/>
  <c r="U431" i="5"/>
  <c r="V431" i="5"/>
  <c r="B432" i="5"/>
  <c r="C432" i="5"/>
  <c r="D432" i="5"/>
  <c r="E432" i="5"/>
  <c r="F432" i="5"/>
  <c r="G432" i="5"/>
  <c r="H432" i="5"/>
  <c r="I432" i="5"/>
  <c r="J432" i="5"/>
  <c r="K432" i="5"/>
  <c r="L432" i="5"/>
  <c r="M432" i="5"/>
  <c r="N432" i="5"/>
  <c r="O432" i="5"/>
  <c r="P432" i="5"/>
  <c r="Q432" i="5"/>
  <c r="R432" i="5"/>
  <c r="S432" i="5"/>
  <c r="T432" i="5"/>
  <c r="U432" i="5"/>
  <c r="V432" i="5"/>
  <c r="B433" i="5"/>
  <c r="C433" i="5"/>
  <c r="D433" i="5"/>
  <c r="E433" i="5"/>
  <c r="F433" i="5"/>
  <c r="G433" i="5"/>
  <c r="H433" i="5"/>
  <c r="I433" i="5"/>
  <c r="J433" i="5"/>
  <c r="K433" i="5"/>
  <c r="L433" i="5"/>
  <c r="M433" i="5"/>
  <c r="N433" i="5"/>
  <c r="O433" i="5"/>
  <c r="P433" i="5"/>
  <c r="Q433" i="5"/>
  <c r="R433" i="5"/>
  <c r="S433" i="5"/>
  <c r="T433" i="5"/>
  <c r="U433" i="5"/>
  <c r="V433" i="5"/>
  <c r="B434" i="5"/>
  <c r="C434" i="5"/>
  <c r="D434" i="5"/>
  <c r="E434" i="5"/>
  <c r="F434" i="5"/>
  <c r="G434" i="5"/>
  <c r="H434" i="5"/>
  <c r="I434" i="5"/>
  <c r="J434" i="5"/>
  <c r="K434" i="5"/>
  <c r="L434" i="5"/>
  <c r="M434" i="5"/>
  <c r="N434" i="5"/>
  <c r="O434" i="5"/>
  <c r="P434" i="5"/>
  <c r="Q434" i="5"/>
  <c r="R434" i="5"/>
  <c r="S434" i="5"/>
  <c r="T434" i="5"/>
  <c r="U434" i="5"/>
  <c r="V434" i="5"/>
  <c r="B435" i="5"/>
  <c r="C435" i="5"/>
  <c r="D435" i="5"/>
  <c r="E435" i="5"/>
  <c r="F435" i="5"/>
  <c r="G435" i="5"/>
  <c r="H435" i="5"/>
  <c r="I435" i="5"/>
  <c r="J435" i="5"/>
  <c r="K435" i="5"/>
  <c r="L435" i="5"/>
  <c r="M435" i="5"/>
  <c r="N435" i="5"/>
  <c r="O435" i="5"/>
  <c r="P435" i="5"/>
  <c r="Q435" i="5"/>
  <c r="R435" i="5"/>
  <c r="S435" i="5"/>
  <c r="T435" i="5"/>
  <c r="U435" i="5"/>
  <c r="V435" i="5"/>
  <c r="B436" i="5"/>
  <c r="C436" i="5"/>
  <c r="D436" i="5"/>
  <c r="E436" i="5"/>
  <c r="F436" i="5"/>
  <c r="G436" i="5"/>
  <c r="H436" i="5"/>
  <c r="I436" i="5"/>
  <c r="J436" i="5"/>
  <c r="K436" i="5"/>
  <c r="L436" i="5"/>
  <c r="M436" i="5"/>
  <c r="N436" i="5"/>
  <c r="O436" i="5"/>
  <c r="P436" i="5"/>
  <c r="Q436" i="5"/>
  <c r="R436" i="5"/>
  <c r="S436" i="5"/>
  <c r="T436" i="5"/>
  <c r="U436" i="5"/>
  <c r="V436" i="5"/>
  <c r="B437" i="5"/>
  <c r="C437" i="5"/>
  <c r="D437" i="5"/>
  <c r="E437" i="5"/>
  <c r="F437" i="5"/>
  <c r="G437" i="5"/>
  <c r="H437" i="5"/>
  <c r="I437" i="5"/>
  <c r="J437" i="5"/>
  <c r="K437" i="5"/>
  <c r="L437" i="5"/>
  <c r="M437" i="5"/>
  <c r="N437" i="5"/>
  <c r="O437" i="5"/>
  <c r="P437" i="5"/>
  <c r="Q437" i="5"/>
  <c r="R437" i="5"/>
  <c r="S437" i="5"/>
  <c r="T437" i="5"/>
  <c r="U437" i="5"/>
  <c r="V437" i="5"/>
  <c r="B438" i="5"/>
  <c r="C438" i="5"/>
  <c r="D438" i="5"/>
  <c r="E438" i="5"/>
  <c r="F438" i="5"/>
  <c r="G438" i="5"/>
  <c r="H438" i="5"/>
  <c r="I438" i="5"/>
  <c r="J438" i="5"/>
  <c r="K438" i="5"/>
  <c r="L438" i="5"/>
  <c r="M438" i="5"/>
  <c r="N438" i="5"/>
  <c r="O438" i="5"/>
  <c r="P438" i="5"/>
  <c r="Q438" i="5"/>
  <c r="R438" i="5"/>
  <c r="S438" i="5"/>
  <c r="T438" i="5"/>
  <c r="U438" i="5"/>
  <c r="V438" i="5"/>
  <c r="B439" i="5"/>
  <c r="C439" i="5"/>
  <c r="D439" i="5"/>
  <c r="E439" i="5"/>
  <c r="F439" i="5"/>
  <c r="G439" i="5"/>
  <c r="H439" i="5"/>
  <c r="I439" i="5"/>
  <c r="J439" i="5"/>
  <c r="K439" i="5"/>
  <c r="L439" i="5"/>
  <c r="M439" i="5"/>
  <c r="N439" i="5"/>
  <c r="O439" i="5"/>
  <c r="P439" i="5"/>
  <c r="Q439" i="5"/>
  <c r="R439" i="5"/>
  <c r="S439" i="5"/>
  <c r="T439" i="5"/>
  <c r="U439" i="5"/>
  <c r="V439" i="5"/>
  <c r="B440" i="5"/>
  <c r="C440" i="5"/>
  <c r="D440" i="5"/>
  <c r="E440" i="5"/>
  <c r="F440" i="5"/>
  <c r="G440" i="5"/>
  <c r="H440" i="5"/>
  <c r="I440" i="5"/>
  <c r="J440" i="5"/>
  <c r="K440" i="5"/>
  <c r="L440" i="5"/>
  <c r="M440" i="5"/>
  <c r="N440" i="5"/>
  <c r="O440" i="5"/>
  <c r="P440" i="5"/>
  <c r="Q440" i="5"/>
  <c r="R440" i="5"/>
  <c r="S440" i="5"/>
  <c r="T440" i="5"/>
  <c r="U440" i="5"/>
  <c r="V440" i="5"/>
  <c r="B441" i="5"/>
  <c r="C441" i="5"/>
  <c r="D441" i="5"/>
  <c r="E441" i="5"/>
  <c r="F441" i="5"/>
  <c r="G441" i="5"/>
  <c r="H441" i="5"/>
  <c r="I441" i="5"/>
  <c r="J441" i="5"/>
  <c r="K441" i="5"/>
  <c r="L441" i="5"/>
  <c r="M441" i="5"/>
  <c r="N441" i="5"/>
  <c r="O441" i="5"/>
  <c r="P441" i="5"/>
  <c r="Q441" i="5"/>
  <c r="R441" i="5"/>
  <c r="S441" i="5"/>
  <c r="T441" i="5"/>
  <c r="U441" i="5"/>
  <c r="V441" i="5"/>
  <c r="B442" i="5"/>
  <c r="C442" i="5"/>
  <c r="D442" i="5"/>
  <c r="E442" i="5"/>
  <c r="F442" i="5"/>
  <c r="G442" i="5"/>
  <c r="H442" i="5"/>
  <c r="I442" i="5"/>
  <c r="J442" i="5"/>
  <c r="K442" i="5"/>
  <c r="L442" i="5"/>
  <c r="M442" i="5"/>
  <c r="N442" i="5"/>
  <c r="O442" i="5"/>
  <c r="P442" i="5"/>
  <c r="Q442" i="5"/>
  <c r="R442" i="5"/>
  <c r="S442" i="5"/>
  <c r="T442" i="5"/>
  <c r="U442" i="5"/>
  <c r="V442" i="5"/>
  <c r="B443" i="5"/>
  <c r="C443" i="5"/>
  <c r="D443" i="5"/>
  <c r="E443" i="5"/>
  <c r="F443" i="5"/>
  <c r="G443" i="5"/>
  <c r="H443" i="5"/>
  <c r="I443" i="5"/>
  <c r="J443" i="5"/>
  <c r="K443" i="5"/>
  <c r="L443" i="5"/>
  <c r="M443" i="5"/>
  <c r="N443" i="5"/>
  <c r="O443" i="5"/>
  <c r="P443" i="5"/>
  <c r="Q443" i="5"/>
  <c r="R443" i="5"/>
  <c r="S443" i="5"/>
  <c r="T443" i="5"/>
  <c r="U443" i="5"/>
  <c r="V443" i="5"/>
  <c r="B444" i="5"/>
  <c r="C444" i="5"/>
  <c r="D444" i="5"/>
  <c r="E444" i="5"/>
  <c r="F444" i="5"/>
  <c r="G444" i="5"/>
  <c r="H444" i="5"/>
  <c r="I444" i="5"/>
  <c r="J444" i="5"/>
  <c r="K444" i="5"/>
  <c r="L444" i="5"/>
  <c r="M444" i="5"/>
  <c r="N444" i="5"/>
  <c r="O444" i="5"/>
  <c r="P444" i="5"/>
  <c r="Q444" i="5"/>
  <c r="R444" i="5"/>
  <c r="S444" i="5"/>
  <c r="T444" i="5"/>
  <c r="U444" i="5"/>
  <c r="V444" i="5"/>
  <c r="B445" i="5"/>
  <c r="C445" i="5"/>
  <c r="D445" i="5"/>
  <c r="E445" i="5"/>
  <c r="F445" i="5"/>
  <c r="G445" i="5"/>
  <c r="H445" i="5"/>
  <c r="I445" i="5"/>
  <c r="J445" i="5"/>
  <c r="K445" i="5"/>
  <c r="L445" i="5"/>
  <c r="M445" i="5"/>
  <c r="N445" i="5"/>
  <c r="O445" i="5"/>
  <c r="P445" i="5"/>
  <c r="Q445" i="5"/>
  <c r="R445" i="5"/>
  <c r="S445" i="5"/>
  <c r="T445" i="5"/>
  <c r="U445" i="5"/>
  <c r="V445" i="5"/>
  <c r="B446" i="5"/>
  <c r="C446" i="5"/>
  <c r="D446" i="5"/>
  <c r="E446" i="5"/>
  <c r="F446" i="5"/>
  <c r="G446" i="5"/>
  <c r="H446" i="5"/>
  <c r="I446" i="5"/>
  <c r="J446" i="5"/>
  <c r="K446" i="5"/>
  <c r="L446" i="5"/>
  <c r="M446" i="5"/>
  <c r="N446" i="5"/>
  <c r="O446" i="5"/>
  <c r="P446" i="5"/>
  <c r="Q446" i="5"/>
  <c r="R446" i="5"/>
  <c r="S446" i="5"/>
  <c r="T446" i="5"/>
  <c r="U446" i="5"/>
  <c r="V446" i="5"/>
  <c r="B447" i="5"/>
  <c r="C447" i="5"/>
  <c r="D447" i="5"/>
  <c r="E447" i="5"/>
  <c r="F447" i="5"/>
  <c r="G447" i="5"/>
  <c r="H447" i="5"/>
  <c r="I447" i="5"/>
  <c r="J447" i="5"/>
  <c r="K447" i="5"/>
  <c r="L447" i="5"/>
  <c r="M447" i="5"/>
  <c r="N447" i="5"/>
  <c r="O447" i="5"/>
  <c r="P447" i="5"/>
  <c r="Q447" i="5"/>
  <c r="R447" i="5"/>
  <c r="S447" i="5"/>
  <c r="T447" i="5"/>
  <c r="U447" i="5"/>
  <c r="V447" i="5"/>
  <c r="B448" i="5"/>
  <c r="C448" i="5"/>
  <c r="D448" i="5"/>
  <c r="E448" i="5"/>
  <c r="F448" i="5"/>
  <c r="G448" i="5"/>
  <c r="H448" i="5"/>
  <c r="I448" i="5"/>
  <c r="J448" i="5"/>
  <c r="K448" i="5"/>
  <c r="L448" i="5"/>
  <c r="M448" i="5"/>
  <c r="N448" i="5"/>
  <c r="O448" i="5"/>
  <c r="P448" i="5"/>
  <c r="Q448" i="5"/>
  <c r="R448" i="5"/>
  <c r="S448" i="5"/>
  <c r="T448" i="5"/>
  <c r="U448" i="5"/>
  <c r="V448" i="5"/>
  <c r="B449" i="5"/>
  <c r="C449" i="5"/>
  <c r="D449" i="5"/>
  <c r="E449" i="5"/>
  <c r="F449" i="5"/>
  <c r="G449" i="5"/>
  <c r="H449" i="5"/>
  <c r="I449" i="5"/>
  <c r="J449" i="5"/>
  <c r="K449" i="5"/>
  <c r="L449" i="5"/>
  <c r="M449" i="5"/>
  <c r="N449" i="5"/>
  <c r="O449" i="5"/>
  <c r="P449" i="5"/>
  <c r="Q449" i="5"/>
  <c r="R449" i="5"/>
  <c r="S449" i="5"/>
  <c r="T449" i="5"/>
  <c r="U449" i="5"/>
  <c r="V449" i="5"/>
  <c r="B450" i="5"/>
  <c r="C450" i="5"/>
  <c r="D450" i="5"/>
  <c r="E450" i="5"/>
  <c r="F450" i="5"/>
  <c r="G450" i="5"/>
  <c r="H450" i="5"/>
  <c r="I450" i="5"/>
  <c r="J450" i="5"/>
  <c r="K450" i="5"/>
  <c r="L450" i="5"/>
  <c r="M450" i="5"/>
  <c r="N450" i="5"/>
  <c r="O450" i="5"/>
  <c r="P450" i="5"/>
  <c r="Q450" i="5"/>
  <c r="R450" i="5"/>
  <c r="S450" i="5"/>
  <c r="T450" i="5"/>
  <c r="U450" i="5"/>
  <c r="V450" i="5"/>
  <c r="B451" i="5"/>
  <c r="C451" i="5"/>
  <c r="D451" i="5"/>
  <c r="E451" i="5"/>
  <c r="F451" i="5"/>
  <c r="G451" i="5"/>
  <c r="H451" i="5"/>
  <c r="I451" i="5"/>
  <c r="J451" i="5"/>
  <c r="K451" i="5"/>
  <c r="L451" i="5"/>
  <c r="M451" i="5"/>
  <c r="N451" i="5"/>
  <c r="O451" i="5"/>
  <c r="P451" i="5"/>
  <c r="Q451" i="5"/>
  <c r="R451" i="5"/>
  <c r="S451" i="5"/>
  <c r="T451" i="5"/>
  <c r="U451" i="5"/>
  <c r="V451" i="5"/>
  <c r="B452" i="5"/>
  <c r="C452" i="5"/>
  <c r="D452" i="5"/>
  <c r="E452" i="5"/>
  <c r="F452" i="5"/>
  <c r="G452" i="5"/>
  <c r="H452" i="5"/>
  <c r="I452" i="5"/>
  <c r="J452" i="5"/>
  <c r="K452" i="5"/>
  <c r="L452" i="5"/>
  <c r="M452" i="5"/>
  <c r="N452" i="5"/>
  <c r="O452" i="5"/>
  <c r="P452" i="5"/>
  <c r="Q452" i="5"/>
  <c r="R452" i="5"/>
  <c r="S452" i="5"/>
  <c r="T452" i="5"/>
  <c r="U452" i="5"/>
  <c r="V452" i="5"/>
  <c r="B453" i="5"/>
  <c r="C453" i="5"/>
  <c r="D453" i="5"/>
  <c r="E453" i="5"/>
  <c r="F453" i="5"/>
  <c r="G453" i="5"/>
  <c r="H453" i="5"/>
  <c r="I453" i="5"/>
  <c r="J453" i="5"/>
  <c r="K453" i="5"/>
  <c r="L453" i="5"/>
  <c r="M453" i="5"/>
  <c r="N453" i="5"/>
  <c r="O453" i="5"/>
  <c r="P453" i="5"/>
  <c r="Q453" i="5"/>
  <c r="R453" i="5"/>
  <c r="S453" i="5"/>
  <c r="T453" i="5"/>
  <c r="U453" i="5"/>
  <c r="V453" i="5"/>
  <c r="B454" i="5"/>
  <c r="C454" i="5"/>
  <c r="D454" i="5"/>
  <c r="E454" i="5"/>
  <c r="F454" i="5"/>
  <c r="G454" i="5"/>
  <c r="H454" i="5"/>
  <c r="I454" i="5"/>
  <c r="J454" i="5"/>
  <c r="K454" i="5"/>
  <c r="L454" i="5"/>
  <c r="M454" i="5"/>
  <c r="N454" i="5"/>
  <c r="O454" i="5"/>
  <c r="P454" i="5"/>
  <c r="Q454" i="5"/>
  <c r="R454" i="5"/>
  <c r="S454" i="5"/>
  <c r="T454" i="5"/>
  <c r="U454" i="5"/>
  <c r="V454" i="5"/>
  <c r="B455" i="5"/>
  <c r="C455" i="5"/>
  <c r="D455" i="5"/>
  <c r="E455" i="5"/>
  <c r="F455" i="5"/>
  <c r="G455" i="5"/>
  <c r="H455" i="5"/>
  <c r="I455" i="5"/>
  <c r="J455" i="5"/>
  <c r="K455" i="5"/>
  <c r="L455" i="5"/>
  <c r="M455" i="5"/>
  <c r="N455" i="5"/>
  <c r="O455" i="5"/>
  <c r="P455" i="5"/>
  <c r="Q455" i="5"/>
  <c r="R455" i="5"/>
  <c r="S455" i="5"/>
  <c r="T455" i="5"/>
  <c r="U455" i="5"/>
  <c r="V455" i="5"/>
  <c r="B456" i="5"/>
  <c r="C456" i="5"/>
  <c r="D456" i="5"/>
  <c r="E456" i="5"/>
  <c r="F456" i="5"/>
  <c r="G456" i="5"/>
  <c r="H456" i="5"/>
  <c r="I456" i="5"/>
  <c r="J456" i="5"/>
  <c r="K456" i="5"/>
  <c r="L456" i="5"/>
  <c r="M456" i="5"/>
  <c r="N456" i="5"/>
  <c r="O456" i="5"/>
  <c r="P456" i="5"/>
  <c r="Q456" i="5"/>
  <c r="R456" i="5"/>
  <c r="S456" i="5"/>
  <c r="T456" i="5"/>
  <c r="U456" i="5"/>
  <c r="V456" i="5"/>
  <c r="B457" i="5"/>
  <c r="C457" i="5"/>
  <c r="D457" i="5"/>
  <c r="E457" i="5"/>
  <c r="F457" i="5"/>
  <c r="G457" i="5"/>
  <c r="H457" i="5"/>
  <c r="I457" i="5"/>
  <c r="J457" i="5"/>
  <c r="K457" i="5"/>
  <c r="L457" i="5"/>
  <c r="M457" i="5"/>
  <c r="N457" i="5"/>
  <c r="O457" i="5"/>
  <c r="P457" i="5"/>
  <c r="Q457" i="5"/>
  <c r="R457" i="5"/>
  <c r="S457" i="5"/>
  <c r="T457" i="5"/>
  <c r="U457" i="5"/>
  <c r="V457" i="5"/>
  <c r="B458" i="5"/>
  <c r="C458" i="5"/>
  <c r="D458" i="5"/>
  <c r="E458" i="5"/>
  <c r="F458" i="5"/>
  <c r="G458" i="5"/>
  <c r="H458" i="5"/>
  <c r="I458" i="5"/>
  <c r="J458" i="5"/>
  <c r="K458" i="5"/>
  <c r="L458" i="5"/>
  <c r="M458" i="5"/>
  <c r="N458" i="5"/>
  <c r="O458" i="5"/>
  <c r="P458" i="5"/>
  <c r="Q458" i="5"/>
  <c r="R458" i="5"/>
  <c r="S458" i="5"/>
  <c r="T458" i="5"/>
  <c r="U458" i="5"/>
  <c r="V458" i="5"/>
  <c r="B459" i="5"/>
  <c r="C459" i="5"/>
  <c r="D459" i="5"/>
  <c r="E459" i="5"/>
  <c r="F459" i="5"/>
  <c r="G459" i="5"/>
  <c r="H459" i="5"/>
  <c r="I459" i="5"/>
  <c r="J459" i="5"/>
  <c r="K459" i="5"/>
  <c r="L459" i="5"/>
  <c r="M459" i="5"/>
  <c r="N459" i="5"/>
  <c r="O459" i="5"/>
  <c r="P459" i="5"/>
  <c r="Q459" i="5"/>
  <c r="R459" i="5"/>
  <c r="S459" i="5"/>
  <c r="T459" i="5"/>
  <c r="U459" i="5"/>
  <c r="V459" i="5"/>
  <c r="B460" i="5"/>
  <c r="C460" i="5"/>
  <c r="D460" i="5"/>
  <c r="E460" i="5"/>
  <c r="F460" i="5"/>
  <c r="G460" i="5"/>
  <c r="H460" i="5"/>
  <c r="I460" i="5"/>
  <c r="J460" i="5"/>
  <c r="K460" i="5"/>
  <c r="L460" i="5"/>
  <c r="M460" i="5"/>
  <c r="N460" i="5"/>
  <c r="O460" i="5"/>
  <c r="P460" i="5"/>
  <c r="Q460" i="5"/>
  <c r="R460" i="5"/>
  <c r="S460" i="5"/>
  <c r="T460" i="5"/>
  <c r="U460" i="5"/>
  <c r="V460" i="5"/>
  <c r="B461" i="5"/>
  <c r="C461" i="5"/>
  <c r="D461" i="5"/>
  <c r="E461" i="5"/>
  <c r="F461" i="5"/>
  <c r="G461" i="5"/>
  <c r="H461" i="5"/>
  <c r="I461" i="5"/>
  <c r="J461" i="5"/>
  <c r="K461" i="5"/>
  <c r="L461" i="5"/>
  <c r="M461" i="5"/>
  <c r="N461" i="5"/>
  <c r="O461" i="5"/>
  <c r="P461" i="5"/>
  <c r="Q461" i="5"/>
  <c r="R461" i="5"/>
  <c r="S461" i="5"/>
  <c r="T461" i="5"/>
  <c r="U461" i="5"/>
  <c r="V461" i="5"/>
  <c r="B462" i="5"/>
  <c r="C462" i="5"/>
  <c r="D462" i="5"/>
  <c r="E462" i="5"/>
  <c r="F462" i="5"/>
  <c r="G462" i="5"/>
  <c r="H462" i="5"/>
  <c r="I462" i="5"/>
  <c r="J462" i="5"/>
  <c r="K462" i="5"/>
  <c r="L462" i="5"/>
  <c r="M462" i="5"/>
  <c r="N462" i="5"/>
  <c r="O462" i="5"/>
  <c r="P462" i="5"/>
  <c r="Q462" i="5"/>
  <c r="R462" i="5"/>
  <c r="S462" i="5"/>
  <c r="T462" i="5"/>
  <c r="U462" i="5"/>
  <c r="V462" i="5"/>
  <c r="B463" i="5"/>
  <c r="C463" i="5"/>
  <c r="D463" i="5"/>
  <c r="E463" i="5"/>
  <c r="F463" i="5"/>
  <c r="G463" i="5"/>
  <c r="H463" i="5"/>
  <c r="I463" i="5"/>
  <c r="J463" i="5"/>
  <c r="K463" i="5"/>
  <c r="L463" i="5"/>
  <c r="M463" i="5"/>
  <c r="N463" i="5"/>
  <c r="O463" i="5"/>
  <c r="P463" i="5"/>
  <c r="Q463" i="5"/>
  <c r="R463" i="5"/>
  <c r="S463" i="5"/>
  <c r="T463" i="5"/>
  <c r="U463" i="5"/>
  <c r="V463" i="5"/>
  <c r="B464" i="5"/>
  <c r="C464" i="5"/>
  <c r="D464" i="5"/>
  <c r="E464" i="5"/>
  <c r="F464" i="5"/>
  <c r="G464" i="5"/>
  <c r="H464" i="5"/>
  <c r="I464" i="5"/>
  <c r="J464" i="5"/>
  <c r="K464" i="5"/>
  <c r="L464" i="5"/>
  <c r="M464" i="5"/>
  <c r="N464" i="5"/>
  <c r="O464" i="5"/>
  <c r="P464" i="5"/>
  <c r="Q464" i="5"/>
  <c r="R464" i="5"/>
  <c r="S464" i="5"/>
  <c r="T464" i="5"/>
  <c r="U464" i="5"/>
  <c r="V464" i="5"/>
  <c r="B465" i="5"/>
  <c r="C465" i="5"/>
  <c r="D465" i="5"/>
  <c r="E465" i="5"/>
  <c r="F465" i="5"/>
  <c r="G465" i="5"/>
  <c r="H465" i="5"/>
  <c r="I465" i="5"/>
  <c r="J465" i="5"/>
  <c r="K465" i="5"/>
  <c r="L465" i="5"/>
  <c r="M465" i="5"/>
  <c r="N465" i="5"/>
  <c r="O465" i="5"/>
  <c r="P465" i="5"/>
  <c r="Q465" i="5"/>
  <c r="R465" i="5"/>
  <c r="S465" i="5"/>
  <c r="T465" i="5"/>
  <c r="U465" i="5"/>
  <c r="V465" i="5"/>
  <c r="B466" i="5"/>
  <c r="C466" i="5"/>
  <c r="D466" i="5"/>
  <c r="E466" i="5"/>
  <c r="F466" i="5"/>
  <c r="G466" i="5"/>
  <c r="H466" i="5"/>
  <c r="I466" i="5"/>
  <c r="J466" i="5"/>
  <c r="K466" i="5"/>
  <c r="L466" i="5"/>
  <c r="M466" i="5"/>
  <c r="N466" i="5"/>
  <c r="O466" i="5"/>
  <c r="P466" i="5"/>
  <c r="Q466" i="5"/>
  <c r="R466" i="5"/>
  <c r="S466" i="5"/>
  <c r="T466" i="5"/>
  <c r="U466" i="5"/>
  <c r="V466" i="5"/>
  <c r="B467" i="5"/>
  <c r="C467" i="5"/>
  <c r="D467" i="5"/>
  <c r="E467" i="5"/>
  <c r="F467" i="5"/>
  <c r="G467" i="5"/>
  <c r="H467" i="5"/>
  <c r="I467" i="5"/>
  <c r="J467" i="5"/>
  <c r="K467" i="5"/>
  <c r="L467" i="5"/>
  <c r="M467" i="5"/>
  <c r="N467" i="5"/>
  <c r="O467" i="5"/>
  <c r="P467" i="5"/>
  <c r="Q467" i="5"/>
  <c r="R467" i="5"/>
  <c r="S467" i="5"/>
  <c r="T467" i="5"/>
  <c r="U467" i="5"/>
  <c r="V467" i="5"/>
  <c r="B468" i="5"/>
  <c r="C468" i="5"/>
  <c r="D468" i="5"/>
  <c r="E468" i="5"/>
  <c r="F468" i="5"/>
  <c r="G468" i="5"/>
  <c r="H468" i="5"/>
  <c r="I468" i="5"/>
  <c r="J468" i="5"/>
  <c r="K468" i="5"/>
  <c r="L468" i="5"/>
  <c r="M468" i="5"/>
  <c r="N468" i="5"/>
  <c r="O468" i="5"/>
  <c r="P468" i="5"/>
  <c r="Q468" i="5"/>
  <c r="R468" i="5"/>
  <c r="S468" i="5"/>
  <c r="T468" i="5"/>
  <c r="U468" i="5"/>
  <c r="V468" i="5"/>
  <c r="B469" i="5"/>
  <c r="C469" i="5"/>
  <c r="D469" i="5"/>
  <c r="E469" i="5"/>
  <c r="F469" i="5"/>
  <c r="G469" i="5"/>
  <c r="H469" i="5"/>
  <c r="I469" i="5"/>
  <c r="J469" i="5"/>
  <c r="K469" i="5"/>
  <c r="L469" i="5"/>
  <c r="M469" i="5"/>
  <c r="N469" i="5"/>
  <c r="O469" i="5"/>
  <c r="P469" i="5"/>
  <c r="Q469" i="5"/>
  <c r="R469" i="5"/>
  <c r="S469" i="5"/>
  <c r="T469" i="5"/>
  <c r="U469" i="5"/>
  <c r="V469" i="5"/>
  <c r="B470" i="5"/>
  <c r="C470" i="5"/>
  <c r="D470" i="5"/>
  <c r="E470" i="5"/>
  <c r="F470" i="5"/>
  <c r="G470" i="5"/>
  <c r="H470" i="5"/>
  <c r="I470" i="5"/>
  <c r="J470" i="5"/>
  <c r="K470" i="5"/>
  <c r="L470" i="5"/>
  <c r="M470" i="5"/>
  <c r="N470" i="5"/>
  <c r="O470" i="5"/>
  <c r="P470" i="5"/>
  <c r="Q470" i="5"/>
  <c r="R470" i="5"/>
  <c r="S470" i="5"/>
  <c r="T470" i="5"/>
  <c r="U470" i="5"/>
  <c r="V470" i="5"/>
  <c r="B471" i="5"/>
  <c r="C471" i="5"/>
  <c r="D471" i="5"/>
  <c r="E471" i="5"/>
  <c r="F471" i="5"/>
  <c r="G471" i="5"/>
  <c r="H471" i="5"/>
  <c r="I471" i="5"/>
  <c r="J471" i="5"/>
  <c r="K471" i="5"/>
  <c r="L471" i="5"/>
  <c r="M471" i="5"/>
  <c r="N471" i="5"/>
  <c r="O471" i="5"/>
  <c r="P471" i="5"/>
  <c r="Q471" i="5"/>
  <c r="R471" i="5"/>
  <c r="S471" i="5"/>
  <c r="T471" i="5"/>
  <c r="U471" i="5"/>
  <c r="V471" i="5"/>
  <c r="B472" i="5"/>
  <c r="C472" i="5"/>
  <c r="D472" i="5"/>
  <c r="E472" i="5"/>
  <c r="F472" i="5"/>
  <c r="G472" i="5"/>
  <c r="H472" i="5"/>
  <c r="I472" i="5"/>
  <c r="J472" i="5"/>
  <c r="K472" i="5"/>
  <c r="L472" i="5"/>
  <c r="M472" i="5"/>
  <c r="N472" i="5"/>
  <c r="O472" i="5"/>
  <c r="P472" i="5"/>
  <c r="Q472" i="5"/>
  <c r="R472" i="5"/>
  <c r="S472" i="5"/>
  <c r="T472" i="5"/>
  <c r="U472" i="5"/>
  <c r="V472" i="5"/>
  <c r="B473" i="5"/>
  <c r="C473" i="5"/>
  <c r="D473" i="5"/>
  <c r="E473" i="5"/>
  <c r="F473" i="5"/>
  <c r="G473" i="5"/>
  <c r="H473" i="5"/>
  <c r="I473" i="5"/>
  <c r="J473" i="5"/>
  <c r="K473" i="5"/>
  <c r="L473" i="5"/>
  <c r="M473" i="5"/>
  <c r="N473" i="5"/>
  <c r="O473" i="5"/>
  <c r="P473" i="5"/>
  <c r="Q473" i="5"/>
  <c r="R473" i="5"/>
  <c r="S473" i="5"/>
  <c r="T473" i="5"/>
  <c r="U473" i="5"/>
  <c r="V473" i="5"/>
  <c r="B474" i="5"/>
  <c r="C474" i="5"/>
  <c r="D474" i="5"/>
  <c r="E474" i="5"/>
  <c r="F474" i="5"/>
  <c r="G474" i="5"/>
  <c r="H474" i="5"/>
  <c r="I474" i="5"/>
  <c r="J474" i="5"/>
  <c r="K474" i="5"/>
  <c r="L474" i="5"/>
  <c r="M474" i="5"/>
  <c r="N474" i="5"/>
  <c r="O474" i="5"/>
  <c r="P474" i="5"/>
  <c r="Q474" i="5"/>
  <c r="R474" i="5"/>
  <c r="S474" i="5"/>
  <c r="T474" i="5"/>
  <c r="U474" i="5"/>
  <c r="V474" i="5"/>
  <c r="B475" i="5"/>
  <c r="C475" i="5"/>
  <c r="D475" i="5"/>
  <c r="E475" i="5"/>
  <c r="F475" i="5"/>
  <c r="G475" i="5"/>
  <c r="H475" i="5"/>
  <c r="I475" i="5"/>
  <c r="J475" i="5"/>
  <c r="K475" i="5"/>
  <c r="L475" i="5"/>
  <c r="M475" i="5"/>
  <c r="N475" i="5"/>
  <c r="O475" i="5"/>
  <c r="P475" i="5"/>
  <c r="Q475" i="5"/>
  <c r="R475" i="5"/>
  <c r="S475" i="5"/>
  <c r="T475" i="5"/>
  <c r="U475" i="5"/>
  <c r="V475" i="5"/>
  <c r="B476" i="5"/>
  <c r="C476" i="5"/>
  <c r="D476" i="5"/>
  <c r="E476" i="5"/>
  <c r="F476" i="5"/>
  <c r="G476" i="5"/>
  <c r="H476" i="5"/>
  <c r="I476" i="5"/>
  <c r="J476" i="5"/>
  <c r="K476" i="5"/>
  <c r="L476" i="5"/>
  <c r="M476" i="5"/>
  <c r="N476" i="5"/>
  <c r="O476" i="5"/>
  <c r="P476" i="5"/>
  <c r="Q476" i="5"/>
  <c r="R476" i="5"/>
  <c r="S476" i="5"/>
  <c r="T476" i="5"/>
  <c r="U476" i="5"/>
  <c r="V476" i="5"/>
  <c r="B477" i="5"/>
  <c r="C477" i="5"/>
  <c r="D477" i="5"/>
  <c r="E477" i="5"/>
  <c r="F477" i="5"/>
  <c r="G477" i="5"/>
  <c r="H477" i="5"/>
  <c r="I477" i="5"/>
  <c r="J477" i="5"/>
  <c r="K477" i="5"/>
  <c r="L477" i="5"/>
  <c r="M477" i="5"/>
  <c r="N477" i="5"/>
  <c r="O477" i="5"/>
  <c r="P477" i="5"/>
  <c r="Q477" i="5"/>
  <c r="R477" i="5"/>
  <c r="S477" i="5"/>
  <c r="T477" i="5"/>
  <c r="U477" i="5"/>
  <c r="V477" i="5"/>
  <c r="B478" i="5"/>
  <c r="C478" i="5"/>
  <c r="D478" i="5"/>
  <c r="E478" i="5"/>
  <c r="F478" i="5"/>
  <c r="G478" i="5"/>
  <c r="H478" i="5"/>
  <c r="I478" i="5"/>
  <c r="J478" i="5"/>
  <c r="K478" i="5"/>
  <c r="L478" i="5"/>
  <c r="M478" i="5"/>
  <c r="N478" i="5"/>
  <c r="O478" i="5"/>
  <c r="P478" i="5"/>
  <c r="Q478" i="5"/>
  <c r="R478" i="5"/>
  <c r="S478" i="5"/>
  <c r="T478" i="5"/>
  <c r="U478" i="5"/>
  <c r="V478" i="5"/>
  <c r="B479" i="5"/>
  <c r="C479" i="5"/>
  <c r="D479" i="5"/>
  <c r="E479" i="5"/>
  <c r="F479" i="5"/>
  <c r="G479" i="5"/>
  <c r="H479" i="5"/>
  <c r="I479" i="5"/>
  <c r="J479" i="5"/>
  <c r="K479" i="5"/>
  <c r="L479" i="5"/>
  <c r="M479" i="5"/>
  <c r="N479" i="5"/>
  <c r="O479" i="5"/>
  <c r="P479" i="5"/>
  <c r="Q479" i="5"/>
  <c r="R479" i="5"/>
  <c r="S479" i="5"/>
  <c r="T479" i="5"/>
  <c r="U479" i="5"/>
  <c r="V479" i="5"/>
  <c r="B480" i="5"/>
  <c r="C480" i="5"/>
  <c r="D480" i="5"/>
  <c r="E480" i="5"/>
  <c r="F480" i="5"/>
  <c r="G480" i="5"/>
  <c r="H480" i="5"/>
  <c r="I480" i="5"/>
  <c r="J480" i="5"/>
  <c r="K480" i="5"/>
  <c r="L480" i="5"/>
  <c r="M480" i="5"/>
  <c r="N480" i="5"/>
  <c r="O480" i="5"/>
  <c r="P480" i="5"/>
  <c r="Q480" i="5"/>
  <c r="R480" i="5"/>
  <c r="S480" i="5"/>
  <c r="T480" i="5"/>
  <c r="U480" i="5"/>
  <c r="V480" i="5"/>
  <c r="B481" i="5"/>
  <c r="C481" i="5"/>
  <c r="D481" i="5"/>
  <c r="E481" i="5"/>
  <c r="F481" i="5"/>
  <c r="G481" i="5"/>
  <c r="H481" i="5"/>
  <c r="I481" i="5"/>
  <c r="J481" i="5"/>
  <c r="K481" i="5"/>
  <c r="L481" i="5"/>
  <c r="M481" i="5"/>
  <c r="N481" i="5"/>
  <c r="O481" i="5"/>
  <c r="P481" i="5"/>
  <c r="Q481" i="5"/>
  <c r="R481" i="5"/>
  <c r="S481" i="5"/>
  <c r="T481" i="5"/>
  <c r="U481" i="5"/>
  <c r="V481" i="5"/>
  <c r="B482" i="5"/>
  <c r="C482" i="5"/>
  <c r="D482" i="5"/>
  <c r="E482" i="5"/>
  <c r="F482" i="5"/>
  <c r="G482" i="5"/>
  <c r="H482" i="5"/>
  <c r="I482" i="5"/>
  <c r="J482" i="5"/>
  <c r="K482" i="5"/>
  <c r="L482" i="5"/>
  <c r="M482" i="5"/>
  <c r="N482" i="5"/>
  <c r="O482" i="5"/>
  <c r="P482" i="5"/>
  <c r="Q482" i="5"/>
  <c r="R482" i="5"/>
  <c r="S482" i="5"/>
  <c r="T482" i="5"/>
  <c r="U482" i="5"/>
  <c r="V482" i="5"/>
  <c r="B483" i="5"/>
  <c r="C483" i="5"/>
  <c r="D483" i="5"/>
  <c r="E483" i="5"/>
  <c r="F483" i="5"/>
  <c r="G483" i="5"/>
  <c r="H483" i="5"/>
  <c r="I483" i="5"/>
  <c r="J483" i="5"/>
  <c r="K483" i="5"/>
  <c r="L483" i="5"/>
  <c r="M483" i="5"/>
  <c r="N483" i="5"/>
  <c r="O483" i="5"/>
  <c r="P483" i="5"/>
  <c r="Q483" i="5"/>
  <c r="R483" i="5"/>
  <c r="S483" i="5"/>
  <c r="T483" i="5"/>
  <c r="U483" i="5"/>
  <c r="V483" i="5"/>
  <c r="B484" i="5"/>
  <c r="C484" i="5"/>
  <c r="D484" i="5"/>
  <c r="E484" i="5"/>
  <c r="F484" i="5"/>
  <c r="G484" i="5"/>
  <c r="H484" i="5"/>
  <c r="I484" i="5"/>
  <c r="J484" i="5"/>
  <c r="K484" i="5"/>
  <c r="L484" i="5"/>
  <c r="M484" i="5"/>
  <c r="N484" i="5"/>
  <c r="O484" i="5"/>
  <c r="P484" i="5"/>
  <c r="Q484" i="5"/>
  <c r="R484" i="5"/>
  <c r="S484" i="5"/>
  <c r="T484" i="5"/>
  <c r="U484" i="5"/>
  <c r="V484" i="5"/>
  <c r="B485" i="5"/>
  <c r="C485" i="5"/>
  <c r="D485" i="5"/>
  <c r="E485" i="5"/>
  <c r="F485" i="5"/>
  <c r="G485" i="5"/>
  <c r="H485" i="5"/>
  <c r="I485" i="5"/>
  <c r="J485" i="5"/>
  <c r="K485" i="5"/>
  <c r="L485" i="5"/>
  <c r="M485" i="5"/>
  <c r="N485" i="5"/>
  <c r="O485" i="5"/>
  <c r="P485" i="5"/>
  <c r="Q485" i="5"/>
  <c r="R485" i="5"/>
  <c r="S485" i="5"/>
  <c r="T485" i="5"/>
  <c r="U485" i="5"/>
  <c r="V485" i="5"/>
  <c r="B486" i="5"/>
  <c r="C486" i="5"/>
  <c r="D486" i="5"/>
  <c r="E486" i="5"/>
  <c r="F486" i="5"/>
  <c r="G486" i="5"/>
  <c r="H486" i="5"/>
  <c r="I486" i="5"/>
  <c r="J486" i="5"/>
  <c r="K486" i="5"/>
  <c r="L486" i="5"/>
  <c r="M486" i="5"/>
  <c r="N486" i="5"/>
  <c r="O486" i="5"/>
  <c r="P486" i="5"/>
  <c r="Q486" i="5"/>
  <c r="R486" i="5"/>
  <c r="S486" i="5"/>
  <c r="T486" i="5"/>
  <c r="U486" i="5"/>
  <c r="V486" i="5"/>
  <c r="B487" i="5"/>
  <c r="C487" i="5"/>
  <c r="D487" i="5"/>
  <c r="E487" i="5"/>
  <c r="F487" i="5"/>
  <c r="G487" i="5"/>
  <c r="H487" i="5"/>
  <c r="I487" i="5"/>
  <c r="J487" i="5"/>
  <c r="K487" i="5"/>
  <c r="L487" i="5"/>
  <c r="M487" i="5"/>
  <c r="N487" i="5"/>
  <c r="O487" i="5"/>
  <c r="P487" i="5"/>
  <c r="Q487" i="5"/>
  <c r="R487" i="5"/>
  <c r="S487" i="5"/>
  <c r="T487" i="5"/>
  <c r="U487" i="5"/>
  <c r="V487" i="5"/>
  <c r="B488" i="5"/>
  <c r="C488" i="5"/>
  <c r="D488" i="5"/>
  <c r="E488" i="5"/>
  <c r="F488" i="5"/>
  <c r="G488" i="5"/>
  <c r="H488" i="5"/>
  <c r="I488" i="5"/>
  <c r="J488" i="5"/>
  <c r="K488" i="5"/>
  <c r="L488" i="5"/>
  <c r="M488" i="5"/>
  <c r="N488" i="5"/>
  <c r="O488" i="5"/>
  <c r="P488" i="5"/>
  <c r="Q488" i="5"/>
  <c r="R488" i="5"/>
  <c r="S488" i="5"/>
  <c r="T488" i="5"/>
  <c r="U488" i="5"/>
  <c r="V488" i="5"/>
  <c r="B489" i="5"/>
  <c r="C489" i="5"/>
  <c r="D489" i="5"/>
  <c r="E489" i="5"/>
  <c r="F489" i="5"/>
  <c r="G489" i="5"/>
  <c r="H489" i="5"/>
  <c r="I489" i="5"/>
  <c r="J489" i="5"/>
  <c r="K489" i="5"/>
  <c r="L489" i="5"/>
  <c r="M489" i="5"/>
  <c r="N489" i="5"/>
  <c r="O489" i="5"/>
  <c r="P489" i="5"/>
  <c r="Q489" i="5"/>
  <c r="R489" i="5"/>
  <c r="S489" i="5"/>
  <c r="T489" i="5"/>
  <c r="U489" i="5"/>
  <c r="V489" i="5"/>
  <c r="B490" i="5"/>
  <c r="C490" i="5"/>
  <c r="D490" i="5"/>
  <c r="E490" i="5"/>
  <c r="F490" i="5"/>
  <c r="G490" i="5"/>
  <c r="H490" i="5"/>
  <c r="I490" i="5"/>
  <c r="J490" i="5"/>
  <c r="K490" i="5"/>
  <c r="L490" i="5"/>
  <c r="M490" i="5"/>
  <c r="N490" i="5"/>
  <c r="O490" i="5"/>
  <c r="P490" i="5"/>
  <c r="Q490" i="5"/>
  <c r="R490" i="5"/>
  <c r="S490" i="5"/>
  <c r="T490" i="5"/>
  <c r="U490" i="5"/>
  <c r="V490" i="5"/>
  <c r="B491" i="5"/>
  <c r="C491" i="5"/>
  <c r="D491" i="5"/>
  <c r="E491" i="5"/>
  <c r="F491" i="5"/>
  <c r="G491" i="5"/>
  <c r="H491" i="5"/>
  <c r="I491" i="5"/>
  <c r="J491" i="5"/>
  <c r="K491" i="5"/>
  <c r="L491" i="5"/>
  <c r="M491" i="5"/>
  <c r="N491" i="5"/>
  <c r="O491" i="5"/>
  <c r="P491" i="5"/>
  <c r="Q491" i="5"/>
  <c r="R491" i="5"/>
  <c r="S491" i="5"/>
  <c r="T491" i="5"/>
  <c r="U491" i="5"/>
  <c r="V491" i="5"/>
  <c r="B492" i="5"/>
  <c r="C492" i="5"/>
  <c r="D492" i="5"/>
  <c r="E492" i="5"/>
  <c r="F492" i="5"/>
  <c r="G492" i="5"/>
  <c r="H492" i="5"/>
  <c r="I492" i="5"/>
  <c r="J492" i="5"/>
  <c r="K492" i="5"/>
  <c r="L492" i="5"/>
  <c r="M492" i="5"/>
  <c r="N492" i="5"/>
  <c r="O492" i="5"/>
  <c r="P492" i="5"/>
  <c r="Q492" i="5"/>
  <c r="R492" i="5"/>
  <c r="S492" i="5"/>
  <c r="T492" i="5"/>
  <c r="U492" i="5"/>
  <c r="V492" i="5"/>
  <c r="B493" i="5"/>
  <c r="C493" i="5"/>
  <c r="D493" i="5"/>
  <c r="E493" i="5"/>
  <c r="F493" i="5"/>
  <c r="G493" i="5"/>
  <c r="H493" i="5"/>
  <c r="I493" i="5"/>
  <c r="J493" i="5"/>
  <c r="K493" i="5"/>
  <c r="L493" i="5"/>
  <c r="M493" i="5"/>
  <c r="N493" i="5"/>
  <c r="O493" i="5"/>
  <c r="P493" i="5"/>
  <c r="Q493" i="5"/>
  <c r="R493" i="5"/>
  <c r="S493" i="5"/>
  <c r="T493" i="5"/>
  <c r="U493" i="5"/>
  <c r="V493" i="5"/>
  <c r="B494" i="5"/>
  <c r="C494" i="5"/>
  <c r="D494" i="5"/>
  <c r="E494" i="5"/>
  <c r="F494" i="5"/>
  <c r="G494" i="5"/>
  <c r="H494" i="5"/>
  <c r="I494" i="5"/>
  <c r="J494" i="5"/>
  <c r="K494" i="5"/>
  <c r="L494" i="5"/>
  <c r="M494" i="5"/>
  <c r="N494" i="5"/>
  <c r="O494" i="5"/>
  <c r="P494" i="5"/>
  <c r="Q494" i="5"/>
  <c r="R494" i="5"/>
  <c r="S494" i="5"/>
  <c r="T494" i="5"/>
  <c r="U494" i="5"/>
  <c r="V494" i="5"/>
  <c r="B495" i="5"/>
  <c r="C495" i="5"/>
  <c r="D495" i="5"/>
  <c r="E495" i="5"/>
  <c r="F495" i="5"/>
  <c r="G495" i="5"/>
  <c r="H495" i="5"/>
  <c r="I495" i="5"/>
  <c r="J495" i="5"/>
  <c r="K495" i="5"/>
  <c r="L495" i="5"/>
  <c r="M495" i="5"/>
  <c r="N495" i="5"/>
  <c r="O495" i="5"/>
  <c r="P495" i="5"/>
  <c r="Q495" i="5"/>
  <c r="R495" i="5"/>
  <c r="S495" i="5"/>
  <c r="T495" i="5"/>
  <c r="U495" i="5"/>
  <c r="V495" i="5"/>
  <c r="B496" i="5"/>
  <c r="C496" i="5"/>
  <c r="D496" i="5"/>
  <c r="E496" i="5"/>
  <c r="F496" i="5"/>
  <c r="G496" i="5"/>
  <c r="H496" i="5"/>
  <c r="I496" i="5"/>
  <c r="J496" i="5"/>
  <c r="K496" i="5"/>
  <c r="L496" i="5"/>
  <c r="M496" i="5"/>
  <c r="N496" i="5"/>
  <c r="O496" i="5"/>
  <c r="P496" i="5"/>
  <c r="Q496" i="5"/>
  <c r="R496" i="5"/>
  <c r="S496" i="5"/>
  <c r="T496" i="5"/>
  <c r="U496" i="5"/>
  <c r="V496" i="5"/>
  <c r="B497" i="5"/>
  <c r="C497" i="5"/>
  <c r="D497" i="5"/>
  <c r="E497" i="5"/>
  <c r="F497" i="5"/>
  <c r="G497" i="5"/>
  <c r="H497" i="5"/>
  <c r="I497" i="5"/>
  <c r="J497" i="5"/>
  <c r="K497" i="5"/>
  <c r="L497" i="5"/>
  <c r="M497" i="5"/>
  <c r="N497" i="5"/>
  <c r="O497" i="5"/>
  <c r="P497" i="5"/>
  <c r="Q497" i="5"/>
  <c r="R497" i="5"/>
  <c r="S497" i="5"/>
  <c r="T497" i="5"/>
  <c r="U497" i="5"/>
  <c r="V497" i="5"/>
  <c r="B498" i="5"/>
  <c r="C498" i="5"/>
  <c r="D498" i="5"/>
  <c r="E498" i="5"/>
  <c r="F498" i="5"/>
  <c r="G498" i="5"/>
  <c r="H498" i="5"/>
  <c r="I498" i="5"/>
  <c r="J498" i="5"/>
  <c r="K498" i="5"/>
  <c r="L498" i="5"/>
  <c r="M498" i="5"/>
  <c r="N498" i="5"/>
  <c r="O498" i="5"/>
  <c r="P498" i="5"/>
  <c r="Q498" i="5"/>
  <c r="R498" i="5"/>
  <c r="S498" i="5"/>
  <c r="T498" i="5"/>
  <c r="U498" i="5"/>
  <c r="V498" i="5"/>
  <c r="B499" i="5"/>
  <c r="C499" i="5"/>
  <c r="D499" i="5"/>
  <c r="E499" i="5"/>
  <c r="F499" i="5"/>
  <c r="G499" i="5"/>
  <c r="H499" i="5"/>
  <c r="I499" i="5"/>
  <c r="J499" i="5"/>
  <c r="K499" i="5"/>
  <c r="L499" i="5"/>
  <c r="M499" i="5"/>
  <c r="N499" i="5"/>
  <c r="O499" i="5"/>
  <c r="P499" i="5"/>
  <c r="Q499" i="5"/>
  <c r="R499" i="5"/>
  <c r="S499" i="5"/>
  <c r="T499" i="5"/>
  <c r="U499" i="5"/>
  <c r="V499" i="5"/>
  <c r="B500" i="5"/>
  <c r="C500" i="5"/>
  <c r="D500" i="5"/>
  <c r="E500" i="5"/>
  <c r="F500" i="5"/>
  <c r="G500" i="5"/>
  <c r="H500" i="5"/>
  <c r="I500" i="5"/>
  <c r="J500" i="5"/>
  <c r="K500" i="5"/>
  <c r="L500" i="5"/>
  <c r="M500" i="5"/>
  <c r="N500" i="5"/>
  <c r="O500" i="5"/>
  <c r="P500" i="5"/>
  <c r="Q500" i="5"/>
  <c r="R500" i="5"/>
  <c r="S500" i="5"/>
  <c r="T500" i="5"/>
  <c r="U500" i="5"/>
  <c r="V500" i="5"/>
  <c r="B501" i="5"/>
  <c r="C501" i="5"/>
  <c r="D501" i="5"/>
  <c r="E501" i="5"/>
  <c r="F501" i="5"/>
  <c r="G501" i="5"/>
  <c r="H501" i="5"/>
  <c r="I501" i="5"/>
  <c r="J501" i="5"/>
  <c r="K501" i="5"/>
  <c r="L501" i="5"/>
  <c r="M501" i="5"/>
  <c r="N501" i="5"/>
  <c r="O501" i="5"/>
  <c r="P501" i="5"/>
  <c r="Q501" i="5"/>
  <c r="R501" i="5"/>
  <c r="S501" i="5"/>
  <c r="T501" i="5"/>
  <c r="U501" i="5"/>
  <c r="V501" i="5"/>
  <c r="B502" i="5"/>
  <c r="C502" i="5"/>
  <c r="D502" i="5"/>
  <c r="E502" i="5"/>
  <c r="F502" i="5"/>
  <c r="G502" i="5"/>
  <c r="H502" i="5"/>
  <c r="I502" i="5"/>
  <c r="J502" i="5"/>
  <c r="K502" i="5"/>
  <c r="L502" i="5"/>
  <c r="M502" i="5"/>
  <c r="N502" i="5"/>
  <c r="O502" i="5"/>
  <c r="P502" i="5"/>
  <c r="Q502" i="5"/>
  <c r="R502" i="5"/>
  <c r="S502" i="5"/>
  <c r="T502" i="5"/>
  <c r="U502" i="5"/>
  <c r="V502" i="5"/>
  <c r="B503" i="5"/>
  <c r="C503" i="5"/>
  <c r="D503" i="5"/>
  <c r="E503" i="5"/>
  <c r="F503" i="5"/>
  <c r="G503" i="5"/>
  <c r="H503" i="5"/>
  <c r="I503" i="5"/>
  <c r="J503" i="5"/>
  <c r="K503" i="5"/>
  <c r="L503" i="5"/>
  <c r="M503" i="5"/>
  <c r="N503" i="5"/>
  <c r="O503" i="5"/>
  <c r="P503" i="5"/>
  <c r="Q503" i="5"/>
  <c r="R503" i="5"/>
  <c r="S503" i="5"/>
  <c r="T503" i="5"/>
  <c r="U503" i="5"/>
  <c r="V503" i="5"/>
  <c r="B504" i="5"/>
  <c r="C504" i="5"/>
  <c r="D504" i="5"/>
  <c r="E504" i="5"/>
  <c r="F504" i="5"/>
  <c r="G504" i="5"/>
  <c r="H504" i="5"/>
  <c r="I504" i="5"/>
  <c r="J504" i="5"/>
  <c r="K504" i="5"/>
  <c r="L504" i="5"/>
  <c r="M504" i="5"/>
  <c r="N504" i="5"/>
  <c r="O504" i="5"/>
  <c r="P504" i="5"/>
  <c r="Q504" i="5"/>
  <c r="R504" i="5"/>
  <c r="S504" i="5"/>
  <c r="T504" i="5"/>
  <c r="U504" i="5"/>
  <c r="V504" i="5"/>
  <c r="B505" i="5"/>
  <c r="C505" i="5"/>
  <c r="D505" i="5"/>
  <c r="E505" i="5"/>
  <c r="F505" i="5"/>
  <c r="G505" i="5"/>
  <c r="H505" i="5"/>
  <c r="I505" i="5"/>
  <c r="J505" i="5"/>
  <c r="K505" i="5"/>
  <c r="L505" i="5"/>
  <c r="M505" i="5"/>
  <c r="N505" i="5"/>
  <c r="O505" i="5"/>
  <c r="P505" i="5"/>
  <c r="Q505" i="5"/>
  <c r="R505" i="5"/>
  <c r="S505" i="5"/>
  <c r="T505" i="5"/>
  <c r="U505" i="5"/>
  <c r="V505" i="5"/>
  <c r="B506" i="5"/>
  <c r="C506" i="5"/>
  <c r="D506" i="5"/>
  <c r="E506" i="5"/>
  <c r="F506" i="5"/>
  <c r="G506" i="5"/>
  <c r="H506" i="5"/>
  <c r="I506" i="5"/>
  <c r="J506" i="5"/>
  <c r="K506" i="5"/>
  <c r="L506" i="5"/>
  <c r="M506" i="5"/>
  <c r="N506" i="5"/>
  <c r="O506" i="5"/>
  <c r="P506" i="5"/>
  <c r="Q506" i="5"/>
  <c r="R506" i="5"/>
  <c r="S506" i="5"/>
  <c r="T506" i="5"/>
  <c r="U506" i="5"/>
  <c r="V506" i="5"/>
  <c r="B507" i="5"/>
  <c r="C507" i="5"/>
  <c r="D507" i="5"/>
  <c r="E507" i="5"/>
  <c r="F507" i="5"/>
  <c r="G507" i="5"/>
  <c r="H507" i="5"/>
  <c r="I507" i="5"/>
  <c r="J507" i="5"/>
  <c r="K507" i="5"/>
  <c r="L507" i="5"/>
  <c r="M507" i="5"/>
  <c r="N507" i="5"/>
  <c r="O507" i="5"/>
  <c r="P507" i="5"/>
  <c r="Q507" i="5"/>
  <c r="R507" i="5"/>
  <c r="S507" i="5"/>
  <c r="T507" i="5"/>
  <c r="U507" i="5"/>
  <c r="V507" i="5"/>
  <c r="B508" i="5"/>
  <c r="C508" i="5"/>
  <c r="D508" i="5"/>
  <c r="E508" i="5"/>
  <c r="F508" i="5"/>
  <c r="G508" i="5"/>
  <c r="H508" i="5"/>
  <c r="I508" i="5"/>
  <c r="J508" i="5"/>
  <c r="K508" i="5"/>
  <c r="L508" i="5"/>
  <c r="M508" i="5"/>
  <c r="N508" i="5"/>
  <c r="O508" i="5"/>
  <c r="P508" i="5"/>
  <c r="Q508" i="5"/>
  <c r="R508" i="5"/>
  <c r="S508" i="5"/>
  <c r="T508" i="5"/>
  <c r="U508" i="5"/>
  <c r="V508" i="5"/>
  <c r="B509" i="5"/>
  <c r="C509" i="5"/>
  <c r="D509" i="5"/>
  <c r="E509" i="5"/>
  <c r="F509" i="5"/>
  <c r="G509" i="5"/>
  <c r="H509" i="5"/>
  <c r="I509" i="5"/>
  <c r="J509" i="5"/>
  <c r="K509" i="5"/>
  <c r="L509" i="5"/>
  <c r="M509" i="5"/>
  <c r="N509" i="5"/>
  <c r="O509" i="5"/>
  <c r="P509" i="5"/>
  <c r="Q509" i="5"/>
  <c r="R509" i="5"/>
  <c r="S509" i="5"/>
  <c r="T509" i="5"/>
  <c r="U509" i="5"/>
  <c r="V509" i="5"/>
  <c r="B510" i="5"/>
  <c r="C510" i="5"/>
  <c r="D510" i="5"/>
  <c r="E510" i="5"/>
  <c r="F510" i="5"/>
  <c r="G510" i="5"/>
  <c r="H510" i="5"/>
  <c r="I510" i="5"/>
  <c r="J510" i="5"/>
  <c r="K510" i="5"/>
  <c r="L510" i="5"/>
  <c r="M510" i="5"/>
  <c r="N510" i="5"/>
  <c r="O510" i="5"/>
  <c r="P510" i="5"/>
  <c r="Q510" i="5"/>
  <c r="R510" i="5"/>
  <c r="S510" i="5"/>
  <c r="T510" i="5"/>
  <c r="U510" i="5"/>
  <c r="V510" i="5"/>
  <c r="B511" i="5"/>
  <c r="C511" i="5"/>
  <c r="D511" i="5"/>
  <c r="E511" i="5"/>
  <c r="F511" i="5"/>
  <c r="G511" i="5"/>
  <c r="H511" i="5"/>
  <c r="I511" i="5"/>
  <c r="J511" i="5"/>
  <c r="K511" i="5"/>
  <c r="L511" i="5"/>
  <c r="M511" i="5"/>
  <c r="N511" i="5"/>
  <c r="O511" i="5"/>
  <c r="P511" i="5"/>
  <c r="Q511" i="5"/>
  <c r="R511" i="5"/>
  <c r="S511" i="5"/>
  <c r="T511" i="5"/>
  <c r="U511" i="5"/>
  <c r="V511" i="5"/>
  <c r="B512" i="5"/>
  <c r="C512" i="5"/>
  <c r="D512" i="5"/>
  <c r="E512" i="5"/>
  <c r="F512" i="5"/>
  <c r="G512" i="5"/>
  <c r="H512" i="5"/>
  <c r="I512" i="5"/>
  <c r="J512" i="5"/>
  <c r="K512" i="5"/>
  <c r="L512" i="5"/>
  <c r="M512" i="5"/>
  <c r="N512" i="5"/>
  <c r="O512" i="5"/>
  <c r="P512" i="5"/>
  <c r="Q512" i="5"/>
  <c r="R512" i="5"/>
  <c r="S512" i="5"/>
  <c r="T512" i="5"/>
  <c r="U512" i="5"/>
  <c r="V512" i="5"/>
  <c r="B513" i="5"/>
  <c r="C513" i="5"/>
  <c r="D513" i="5"/>
  <c r="E513" i="5"/>
  <c r="F513" i="5"/>
  <c r="G513" i="5"/>
  <c r="H513" i="5"/>
  <c r="I513" i="5"/>
  <c r="J513" i="5"/>
  <c r="K513" i="5"/>
  <c r="L513" i="5"/>
  <c r="M513" i="5"/>
  <c r="N513" i="5"/>
  <c r="O513" i="5"/>
  <c r="P513" i="5"/>
  <c r="Q513" i="5"/>
  <c r="R513" i="5"/>
  <c r="S513" i="5"/>
  <c r="T513" i="5"/>
  <c r="U513" i="5"/>
  <c r="V513" i="5"/>
  <c r="B514" i="5"/>
  <c r="C514" i="5"/>
  <c r="D514" i="5"/>
  <c r="E514" i="5"/>
  <c r="F514" i="5"/>
  <c r="G514" i="5"/>
  <c r="H514" i="5"/>
  <c r="I514" i="5"/>
  <c r="J514" i="5"/>
  <c r="K514" i="5"/>
  <c r="L514" i="5"/>
  <c r="M514" i="5"/>
  <c r="N514" i="5"/>
  <c r="O514" i="5"/>
  <c r="P514" i="5"/>
  <c r="Q514" i="5"/>
  <c r="R514" i="5"/>
  <c r="S514" i="5"/>
  <c r="T514" i="5"/>
  <c r="U514" i="5"/>
  <c r="V514" i="5"/>
  <c r="B515" i="5"/>
  <c r="C515" i="5"/>
  <c r="D515" i="5"/>
  <c r="E515" i="5"/>
  <c r="F515" i="5"/>
  <c r="G515" i="5"/>
  <c r="H515" i="5"/>
  <c r="I515" i="5"/>
  <c r="J515" i="5"/>
  <c r="K515" i="5"/>
  <c r="L515" i="5"/>
  <c r="M515" i="5"/>
  <c r="N515" i="5"/>
  <c r="O515" i="5"/>
  <c r="P515" i="5"/>
  <c r="Q515" i="5"/>
  <c r="R515" i="5"/>
  <c r="S515" i="5"/>
  <c r="T515" i="5"/>
  <c r="U515" i="5"/>
  <c r="V515" i="5"/>
  <c r="B516" i="5"/>
  <c r="C516" i="5"/>
  <c r="D516" i="5"/>
  <c r="E516" i="5"/>
  <c r="F516" i="5"/>
  <c r="G516" i="5"/>
  <c r="H516" i="5"/>
  <c r="I516" i="5"/>
  <c r="J516" i="5"/>
  <c r="K516" i="5"/>
  <c r="L516" i="5"/>
  <c r="M516" i="5"/>
  <c r="N516" i="5"/>
  <c r="O516" i="5"/>
  <c r="P516" i="5"/>
  <c r="Q516" i="5"/>
  <c r="R516" i="5"/>
  <c r="S516" i="5"/>
  <c r="T516" i="5"/>
  <c r="U516" i="5"/>
  <c r="V516" i="5"/>
  <c r="B517" i="5"/>
  <c r="C517" i="5"/>
  <c r="D517" i="5"/>
  <c r="E517" i="5"/>
  <c r="F517" i="5"/>
  <c r="G517" i="5"/>
  <c r="H517" i="5"/>
  <c r="I517" i="5"/>
  <c r="J517" i="5"/>
  <c r="K517" i="5"/>
  <c r="L517" i="5"/>
  <c r="M517" i="5"/>
  <c r="N517" i="5"/>
  <c r="O517" i="5"/>
  <c r="P517" i="5"/>
  <c r="Q517" i="5"/>
  <c r="R517" i="5"/>
  <c r="S517" i="5"/>
  <c r="T517" i="5"/>
  <c r="U517" i="5"/>
  <c r="V517" i="5"/>
  <c r="B518" i="5"/>
  <c r="C518" i="5"/>
  <c r="D518" i="5"/>
  <c r="E518" i="5"/>
  <c r="F518" i="5"/>
  <c r="G518" i="5"/>
  <c r="H518" i="5"/>
  <c r="I518" i="5"/>
  <c r="J518" i="5"/>
  <c r="K518" i="5"/>
  <c r="L518" i="5"/>
  <c r="M518" i="5"/>
  <c r="N518" i="5"/>
  <c r="O518" i="5"/>
  <c r="P518" i="5"/>
  <c r="Q518" i="5"/>
  <c r="R518" i="5"/>
  <c r="S518" i="5"/>
  <c r="T518" i="5"/>
  <c r="U518" i="5"/>
  <c r="V518" i="5"/>
  <c r="B519" i="5"/>
  <c r="C519" i="5"/>
  <c r="D519" i="5"/>
  <c r="E519" i="5"/>
  <c r="F519" i="5"/>
  <c r="G519" i="5"/>
  <c r="H519" i="5"/>
  <c r="I519" i="5"/>
  <c r="J519" i="5"/>
  <c r="K519" i="5"/>
  <c r="L519" i="5"/>
  <c r="M519" i="5"/>
  <c r="N519" i="5"/>
  <c r="O519" i="5"/>
  <c r="P519" i="5"/>
  <c r="Q519" i="5"/>
  <c r="R519" i="5"/>
  <c r="S519" i="5"/>
  <c r="T519" i="5"/>
  <c r="U519" i="5"/>
  <c r="V519" i="5"/>
  <c r="B520" i="5"/>
  <c r="C520" i="5"/>
  <c r="D520" i="5"/>
  <c r="E520" i="5"/>
  <c r="F520" i="5"/>
  <c r="G520" i="5"/>
  <c r="H520" i="5"/>
  <c r="I520" i="5"/>
  <c r="J520" i="5"/>
  <c r="K520" i="5"/>
  <c r="L520" i="5"/>
  <c r="M520" i="5"/>
  <c r="N520" i="5"/>
  <c r="O520" i="5"/>
  <c r="P520" i="5"/>
  <c r="Q520" i="5"/>
  <c r="R520" i="5"/>
  <c r="S520" i="5"/>
  <c r="T520" i="5"/>
  <c r="U520" i="5"/>
  <c r="V520" i="5"/>
  <c r="B521" i="5"/>
  <c r="C521" i="5"/>
  <c r="D521" i="5"/>
  <c r="E521" i="5"/>
  <c r="F521" i="5"/>
  <c r="G521" i="5"/>
  <c r="H521" i="5"/>
  <c r="I521" i="5"/>
  <c r="J521" i="5"/>
  <c r="K521" i="5"/>
  <c r="L521" i="5"/>
  <c r="M521" i="5"/>
  <c r="N521" i="5"/>
  <c r="O521" i="5"/>
  <c r="P521" i="5"/>
  <c r="Q521" i="5"/>
  <c r="R521" i="5"/>
  <c r="S521" i="5"/>
  <c r="T521" i="5"/>
  <c r="U521" i="5"/>
  <c r="V521" i="5"/>
  <c r="B522" i="5"/>
  <c r="C522" i="5"/>
  <c r="D522" i="5"/>
  <c r="E522" i="5"/>
  <c r="F522" i="5"/>
  <c r="G522" i="5"/>
  <c r="H522" i="5"/>
  <c r="I522" i="5"/>
  <c r="J522" i="5"/>
  <c r="K522" i="5"/>
  <c r="L522" i="5"/>
  <c r="M522" i="5"/>
  <c r="N522" i="5"/>
  <c r="O522" i="5"/>
  <c r="P522" i="5"/>
  <c r="Q522" i="5"/>
  <c r="R522" i="5"/>
  <c r="S522" i="5"/>
  <c r="T522" i="5"/>
  <c r="U522" i="5"/>
  <c r="V522" i="5"/>
  <c r="B523" i="5"/>
  <c r="C523" i="5"/>
  <c r="D523" i="5"/>
  <c r="E523" i="5"/>
  <c r="F523" i="5"/>
  <c r="G523" i="5"/>
  <c r="H523" i="5"/>
  <c r="I523" i="5"/>
  <c r="J523" i="5"/>
  <c r="K523" i="5"/>
  <c r="L523" i="5"/>
  <c r="M523" i="5"/>
  <c r="N523" i="5"/>
  <c r="O523" i="5"/>
  <c r="P523" i="5"/>
  <c r="Q523" i="5"/>
  <c r="R523" i="5"/>
  <c r="S523" i="5"/>
  <c r="T523" i="5"/>
  <c r="U523" i="5"/>
  <c r="V523" i="5"/>
  <c r="B524" i="5"/>
  <c r="C524" i="5"/>
  <c r="D524" i="5"/>
  <c r="E524" i="5"/>
  <c r="F524" i="5"/>
  <c r="G524" i="5"/>
  <c r="H524" i="5"/>
  <c r="I524" i="5"/>
  <c r="J524" i="5"/>
  <c r="K524" i="5"/>
  <c r="L524" i="5"/>
  <c r="M524" i="5"/>
  <c r="N524" i="5"/>
  <c r="O524" i="5"/>
  <c r="P524" i="5"/>
  <c r="Q524" i="5"/>
  <c r="R524" i="5"/>
  <c r="S524" i="5"/>
  <c r="T524" i="5"/>
  <c r="U524" i="5"/>
  <c r="V524" i="5"/>
  <c r="B525" i="5"/>
  <c r="C525" i="5"/>
  <c r="D525" i="5"/>
  <c r="E525" i="5"/>
  <c r="F525" i="5"/>
  <c r="G525" i="5"/>
  <c r="H525" i="5"/>
  <c r="I525" i="5"/>
  <c r="J525" i="5"/>
  <c r="K525" i="5"/>
  <c r="L525" i="5"/>
  <c r="M525" i="5"/>
  <c r="N525" i="5"/>
  <c r="O525" i="5"/>
  <c r="P525" i="5"/>
  <c r="Q525" i="5"/>
  <c r="R525" i="5"/>
  <c r="S525" i="5"/>
  <c r="T525" i="5"/>
  <c r="U525" i="5"/>
  <c r="V525" i="5"/>
  <c r="B526" i="5"/>
  <c r="C526" i="5"/>
  <c r="D526" i="5"/>
  <c r="E526" i="5"/>
  <c r="F526" i="5"/>
  <c r="G526" i="5"/>
  <c r="H526" i="5"/>
  <c r="I526" i="5"/>
  <c r="J526" i="5"/>
  <c r="K526" i="5"/>
  <c r="L526" i="5"/>
  <c r="M526" i="5"/>
  <c r="N526" i="5"/>
  <c r="O526" i="5"/>
  <c r="P526" i="5"/>
  <c r="Q526" i="5"/>
  <c r="R526" i="5"/>
  <c r="S526" i="5"/>
  <c r="T526" i="5"/>
  <c r="U526" i="5"/>
  <c r="V526" i="5"/>
  <c r="B527" i="5"/>
  <c r="C527" i="5"/>
  <c r="D527" i="5"/>
  <c r="E527" i="5"/>
  <c r="F527" i="5"/>
  <c r="G527" i="5"/>
  <c r="H527" i="5"/>
  <c r="I527" i="5"/>
  <c r="J527" i="5"/>
  <c r="K527" i="5"/>
  <c r="L527" i="5"/>
  <c r="M527" i="5"/>
  <c r="N527" i="5"/>
  <c r="O527" i="5"/>
  <c r="P527" i="5"/>
  <c r="Q527" i="5"/>
  <c r="R527" i="5"/>
  <c r="S527" i="5"/>
  <c r="T527" i="5"/>
  <c r="U527" i="5"/>
  <c r="V527" i="5"/>
  <c r="B528" i="5"/>
  <c r="C528" i="5"/>
  <c r="D528" i="5"/>
  <c r="E528" i="5"/>
  <c r="F528" i="5"/>
  <c r="G528" i="5"/>
  <c r="H528" i="5"/>
  <c r="I528" i="5"/>
  <c r="J528" i="5"/>
  <c r="K528" i="5"/>
  <c r="L528" i="5"/>
  <c r="M528" i="5"/>
  <c r="N528" i="5"/>
  <c r="O528" i="5"/>
  <c r="P528" i="5"/>
  <c r="Q528" i="5"/>
  <c r="R528" i="5"/>
  <c r="S528" i="5"/>
  <c r="T528" i="5"/>
  <c r="U528" i="5"/>
  <c r="V528" i="5"/>
  <c r="B529" i="5"/>
  <c r="C529" i="5"/>
  <c r="D529" i="5"/>
  <c r="E529" i="5"/>
  <c r="F529" i="5"/>
  <c r="G529" i="5"/>
  <c r="H529" i="5"/>
  <c r="I529" i="5"/>
  <c r="J529" i="5"/>
  <c r="K529" i="5"/>
  <c r="L529" i="5"/>
  <c r="M529" i="5"/>
  <c r="N529" i="5"/>
  <c r="O529" i="5"/>
  <c r="P529" i="5"/>
  <c r="Q529" i="5"/>
  <c r="R529" i="5"/>
  <c r="S529" i="5"/>
  <c r="T529" i="5"/>
  <c r="U529" i="5"/>
  <c r="V529" i="5"/>
  <c r="B530" i="5"/>
  <c r="C530" i="5"/>
  <c r="D530" i="5"/>
  <c r="E530" i="5"/>
  <c r="F530" i="5"/>
  <c r="G530" i="5"/>
  <c r="H530" i="5"/>
  <c r="I530" i="5"/>
  <c r="J530" i="5"/>
  <c r="K530" i="5"/>
  <c r="L530" i="5"/>
  <c r="M530" i="5"/>
  <c r="N530" i="5"/>
  <c r="O530" i="5"/>
  <c r="P530" i="5"/>
  <c r="Q530" i="5"/>
  <c r="R530" i="5"/>
  <c r="S530" i="5"/>
  <c r="T530" i="5"/>
  <c r="U530" i="5"/>
  <c r="V530" i="5"/>
  <c r="B531" i="5"/>
  <c r="C531" i="5"/>
  <c r="D531" i="5"/>
  <c r="E531" i="5"/>
  <c r="F531" i="5"/>
  <c r="G531" i="5"/>
  <c r="H531" i="5"/>
  <c r="I531" i="5"/>
  <c r="J531" i="5"/>
  <c r="K531" i="5"/>
  <c r="L531" i="5"/>
  <c r="M531" i="5"/>
  <c r="N531" i="5"/>
  <c r="O531" i="5"/>
  <c r="P531" i="5"/>
  <c r="Q531" i="5"/>
  <c r="R531" i="5"/>
  <c r="S531" i="5"/>
  <c r="T531" i="5"/>
  <c r="U531" i="5"/>
  <c r="V531" i="5"/>
  <c r="B532" i="5"/>
  <c r="C532" i="5"/>
  <c r="D532" i="5"/>
  <c r="E532" i="5"/>
  <c r="F532" i="5"/>
  <c r="G532" i="5"/>
  <c r="H532" i="5"/>
  <c r="I532" i="5"/>
  <c r="J532" i="5"/>
  <c r="K532" i="5"/>
  <c r="L532" i="5"/>
  <c r="M532" i="5"/>
  <c r="N532" i="5"/>
  <c r="O532" i="5"/>
  <c r="P532" i="5"/>
  <c r="Q532" i="5"/>
  <c r="R532" i="5"/>
  <c r="S532" i="5"/>
  <c r="T532" i="5"/>
  <c r="U532" i="5"/>
  <c r="V532" i="5"/>
  <c r="B533" i="5"/>
  <c r="C533" i="5"/>
  <c r="D533" i="5"/>
  <c r="E533" i="5"/>
  <c r="F533" i="5"/>
  <c r="G533" i="5"/>
  <c r="H533" i="5"/>
  <c r="I533" i="5"/>
  <c r="J533" i="5"/>
  <c r="K533" i="5"/>
  <c r="L533" i="5"/>
  <c r="M533" i="5"/>
  <c r="N533" i="5"/>
  <c r="O533" i="5"/>
  <c r="P533" i="5"/>
  <c r="Q533" i="5"/>
  <c r="R533" i="5"/>
  <c r="S533" i="5"/>
  <c r="T533" i="5"/>
  <c r="U533" i="5"/>
  <c r="V533" i="5"/>
  <c r="B534" i="5"/>
  <c r="C534" i="5"/>
  <c r="D534" i="5"/>
  <c r="E534" i="5"/>
  <c r="F534" i="5"/>
  <c r="G534" i="5"/>
  <c r="H534" i="5"/>
  <c r="I534" i="5"/>
  <c r="J534" i="5"/>
  <c r="K534" i="5"/>
  <c r="L534" i="5"/>
  <c r="M534" i="5"/>
  <c r="N534" i="5"/>
  <c r="O534" i="5"/>
  <c r="P534" i="5"/>
  <c r="Q534" i="5"/>
  <c r="R534" i="5"/>
  <c r="S534" i="5"/>
  <c r="T534" i="5"/>
  <c r="U534" i="5"/>
  <c r="V534" i="5"/>
  <c r="B535" i="5"/>
  <c r="C535" i="5"/>
  <c r="D535" i="5"/>
  <c r="E535" i="5"/>
  <c r="F535" i="5"/>
  <c r="G535" i="5"/>
  <c r="H535" i="5"/>
  <c r="I535" i="5"/>
  <c r="J535" i="5"/>
  <c r="K535" i="5"/>
  <c r="L535" i="5"/>
  <c r="M535" i="5"/>
  <c r="N535" i="5"/>
  <c r="O535" i="5"/>
  <c r="P535" i="5"/>
  <c r="Q535" i="5"/>
  <c r="R535" i="5"/>
  <c r="S535" i="5"/>
  <c r="T535" i="5"/>
  <c r="U535" i="5"/>
  <c r="V535" i="5"/>
  <c r="B536" i="5"/>
  <c r="C536" i="5"/>
  <c r="D536" i="5"/>
  <c r="E536" i="5"/>
  <c r="F536" i="5"/>
  <c r="G536" i="5"/>
  <c r="H536" i="5"/>
  <c r="I536" i="5"/>
  <c r="J536" i="5"/>
  <c r="K536" i="5"/>
  <c r="L536" i="5"/>
  <c r="M536" i="5"/>
  <c r="N536" i="5"/>
  <c r="O536" i="5"/>
  <c r="P536" i="5"/>
  <c r="Q536" i="5"/>
  <c r="R536" i="5"/>
  <c r="S536" i="5"/>
  <c r="T536" i="5"/>
  <c r="U536" i="5"/>
  <c r="V536" i="5"/>
  <c r="B537" i="5"/>
  <c r="C537" i="5"/>
  <c r="D537" i="5"/>
  <c r="E537" i="5"/>
  <c r="F537" i="5"/>
  <c r="G537" i="5"/>
  <c r="H537" i="5"/>
  <c r="I537" i="5"/>
  <c r="J537" i="5"/>
  <c r="K537" i="5"/>
  <c r="L537" i="5"/>
  <c r="M537" i="5"/>
  <c r="N537" i="5"/>
  <c r="O537" i="5"/>
  <c r="P537" i="5"/>
  <c r="Q537" i="5"/>
  <c r="R537" i="5"/>
  <c r="S537" i="5"/>
  <c r="T537" i="5"/>
  <c r="U537" i="5"/>
  <c r="V537" i="5"/>
  <c r="B538" i="5"/>
  <c r="C538" i="5"/>
  <c r="D538" i="5"/>
  <c r="E538" i="5"/>
  <c r="F538" i="5"/>
  <c r="G538" i="5"/>
  <c r="H538" i="5"/>
  <c r="I538" i="5"/>
  <c r="J538" i="5"/>
  <c r="K538" i="5"/>
  <c r="L538" i="5"/>
  <c r="M538" i="5"/>
  <c r="N538" i="5"/>
  <c r="O538" i="5"/>
  <c r="P538" i="5"/>
  <c r="Q538" i="5"/>
  <c r="R538" i="5"/>
  <c r="S538" i="5"/>
  <c r="T538" i="5"/>
  <c r="U538" i="5"/>
  <c r="V538" i="5"/>
  <c r="B539" i="5"/>
  <c r="C539" i="5"/>
  <c r="D539" i="5"/>
  <c r="E539" i="5"/>
  <c r="F539" i="5"/>
  <c r="G539" i="5"/>
  <c r="H539" i="5"/>
  <c r="I539" i="5"/>
  <c r="J539" i="5"/>
  <c r="K539" i="5"/>
  <c r="L539" i="5"/>
  <c r="M539" i="5"/>
  <c r="N539" i="5"/>
  <c r="O539" i="5"/>
  <c r="P539" i="5"/>
  <c r="Q539" i="5"/>
  <c r="R539" i="5"/>
  <c r="S539" i="5"/>
  <c r="T539" i="5"/>
  <c r="U539" i="5"/>
  <c r="V539" i="5"/>
  <c r="B540" i="5"/>
  <c r="C540" i="5"/>
  <c r="D540" i="5"/>
  <c r="E540" i="5"/>
  <c r="F540" i="5"/>
  <c r="G540" i="5"/>
  <c r="H540" i="5"/>
  <c r="I540" i="5"/>
  <c r="J540" i="5"/>
  <c r="K540" i="5"/>
  <c r="L540" i="5"/>
  <c r="M540" i="5"/>
  <c r="N540" i="5"/>
  <c r="O540" i="5"/>
  <c r="P540" i="5"/>
  <c r="Q540" i="5"/>
  <c r="R540" i="5"/>
  <c r="S540" i="5"/>
  <c r="T540" i="5"/>
  <c r="U540" i="5"/>
  <c r="V540" i="5"/>
  <c r="B541" i="5"/>
  <c r="C541" i="5"/>
  <c r="D541" i="5"/>
  <c r="E541" i="5"/>
  <c r="F541" i="5"/>
  <c r="G541" i="5"/>
  <c r="H541" i="5"/>
  <c r="I541" i="5"/>
  <c r="J541" i="5"/>
  <c r="K541" i="5"/>
  <c r="L541" i="5"/>
  <c r="M541" i="5"/>
  <c r="N541" i="5"/>
  <c r="O541" i="5"/>
  <c r="P541" i="5"/>
  <c r="Q541" i="5"/>
  <c r="R541" i="5"/>
  <c r="S541" i="5"/>
  <c r="T541" i="5"/>
  <c r="U541" i="5"/>
  <c r="V541" i="5"/>
  <c r="B542" i="5"/>
  <c r="C542" i="5"/>
  <c r="D542" i="5"/>
  <c r="E542" i="5"/>
  <c r="F542" i="5"/>
  <c r="G542" i="5"/>
  <c r="H542" i="5"/>
  <c r="I542" i="5"/>
  <c r="J542" i="5"/>
  <c r="K542" i="5"/>
  <c r="L542" i="5"/>
  <c r="M542" i="5"/>
  <c r="N542" i="5"/>
  <c r="O542" i="5"/>
  <c r="P542" i="5"/>
  <c r="Q542" i="5"/>
  <c r="R542" i="5"/>
  <c r="S542" i="5"/>
  <c r="T542" i="5"/>
  <c r="U542" i="5"/>
  <c r="V542" i="5"/>
  <c r="B543" i="5"/>
  <c r="C543" i="5"/>
  <c r="D543" i="5"/>
  <c r="E543" i="5"/>
  <c r="F543" i="5"/>
  <c r="G543" i="5"/>
  <c r="H543" i="5"/>
  <c r="I543" i="5"/>
  <c r="J543" i="5"/>
  <c r="K543" i="5"/>
  <c r="L543" i="5"/>
  <c r="M543" i="5"/>
  <c r="N543" i="5"/>
  <c r="O543" i="5"/>
  <c r="P543" i="5"/>
  <c r="Q543" i="5"/>
  <c r="R543" i="5"/>
  <c r="S543" i="5"/>
  <c r="T543" i="5"/>
  <c r="U543" i="5"/>
  <c r="V543" i="5"/>
  <c r="B544" i="5"/>
  <c r="C544" i="5"/>
  <c r="D544" i="5"/>
  <c r="E544" i="5"/>
  <c r="F544" i="5"/>
  <c r="G544" i="5"/>
  <c r="H544" i="5"/>
  <c r="I544" i="5"/>
  <c r="J544" i="5"/>
  <c r="K544" i="5"/>
  <c r="L544" i="5"/>
  <c r="M544" i="5"/>
  <c r="N544" i="5"/>
  <c r="O544" i="5"/>
  <c r="P544" i="5"/>
  <c r="Q544" i="5"/>
  <c r="R544" i="5"/>
  <c r="S544" i="5"/>
  <c r="T544" i="5"/>
  <c r="U544" i="5"/>
  <c r="V544" i="5"/>
  <c r="B545" i="5"/>
  <c r="C545" i="5"/>
  <c r="D545" i="5"/>
  <c r="E545" i="5"/>
  <c r="F545" i="5"/>
  <c r="G545" i="5"/>
  <c r="H545" i="5"/>
  <c r="I545" i="5"/>
  <c r="J545" i="5"/>
  <c r="K545" i="5"/>
  <c r="L545" i="5"/>
  <c r="M545" i="5"/>
  <c r="N545" i="5"/>
  <c r="O545" i="5"/>
  <c r="P545" i="5"/>
  <c r="Q545" i="5"/>
  <c r="R545" i="5"/>
  <c r="S545" i="5"/>
  <c r="T545" i="5"/>
  <c r="U545" i="5"/>
  <c r="V545" i="5"/>
  <c r="B546" i="5"/>
  <c r="C546" i="5"/>
  <c r="D546" i="5"/>
  <c r="E546" i="5"/>
  <c r="F546" i="5"/>
  <c r="G546" i="5"/>
  <c r="H546" i="5"/>
  <c r="I546" i="5"/>
  <c r="J546" i="5"/>
  <c r="K546" i="5"/>
  <c r="L546" i="5"/>
  <c r="M546" i="5"/>
  <c r="N546" i="5"/>
  <c r="O546" i="5"/>
  <c r="P546" i="5"/>
  <c r="Q546" i="5"/>
  <c r="R546" i="5"/>
  <c r="S546" i="5"/>
  <c r="T546" i="5"/>
  <c r="U546" i="5"/>
  <c r="V546" i="5"/>
  <c r="B547" i="5"/>
  <c r="C547" i="5"/>
  <c r="D547" i="5"/>
  <c r="E547" i="5"/>
  <c r="F547" i="5"/>
  <c r="G547" i="5"/>
  <c r="H547" i="5"/>
  <c r="I547" i="5"/>
  <c r="J547" i="5"/>
  <c r="K547" i="5"/>
  <c r="L547" i="5"/>
  <c r="M547" i="5"/>
  <c r="N547" i="5"/>
  <c r="O547" i="5"/>
  <c r="P547" i="5"/>
  <c r="Q547" i="5"/>
  <c r="R547" i="5"/>
  <c r="S547" i="5"/>
  <c r="T547" i="5"/>
  <c r="U547" i="5"/>
  <c r="V547" i="5"/>
  <c r="B548" i="5"/>
  <c r="C548" i="5"/>
  <c r="D548" i="5"/>
  <c r="E548" i="5"/>
  <c r="F548" i="5"/>
  <c r="G548" i="5"/>
  <c r="H548" i="5"/>
  <c r="I548" i="5"/>
  <c r="J548" i="5"/>
  <c r="K548" i="5"/>
  <c r="L548" i="5"/>
  <c r="M548" i="5"/>
  <c r="N548" i="5"/>
  <c r="O548" i="5"/>
  <c r="P548" i="5"/>
  <c r="Q548" i="5"/>
  <c r="R548" i="5"/>
  <c r="S548" i="5"/>
  <c r="T548" i="5"/>
  <c r="U548" i="5"/>
  <c r="V548" i="5"/>
  <c r="B549" i="5"/>
  <c r="C549" i="5"/>
  <c r="D549" i="5"/>
  <c r="E549" i="5"/>
  <c r="F549" i="5"/>
  <c r="G549" i="5"/>
  <c r="H549" i="5"/>
  <c r="I549" i="5"/>
  <c r="J549" i="5"/>
  <c r="K549" i="5"/>
  <c r="L549" i="5"/>
  <c r="M549" i="5"/>
  <c r="N549" i="5"/>
  <c r="O549" i="5"/>
  <c r="P549" i="5"/>
  <c r="Q549" i="5"/>
  <c r="R549" i="5"/>
  <c r="S549" i="5"/>
  <c r="T549" i="5"/>
  <c r="U549" i="5"/>
  <c r="V549" i="5"/>
  <c r="B550" i="5"/>
  <c r="C550" i="5"/>
  <c r="D550" i="5"/>
  <c r="E550" i="5"/>
  <c r="F550" i="5"/>
  <c r="G550" i="5"/>
  <c r="H550" i="5"/>
  <c r="I550" i="5"/>
  <c r="J550" i="5"/>
  <c r="K550" i="5"/>
  <c r="L550" i="5"/>
  <c r="M550" i="5"/>
  <c r="N550" i="5"/>
  <c r="O550" i="5"/>
  <c r="P550" i="5"/>
  <c r="Q550" i="5"/>
  <c r="R550" i="5"/>
  <c r="S550" i="5"/>
  <c r="T550" i="5"/>
  <c r="U550" i="5"/>
  <c r="V550" i="5"/>
  <c r="B551" i="5"/>
  <c r="C551" i="5"/>
  <c r="D551" i="5"/>
  <c r="E551" i="5"/>
  <c r="F551" i="5"/>
  <c r="G551" i="5"/>
  <c r="H551" i="5"/>
  <c r="I551" i="5"/>
  <c r="J551" i="5"/>
  <c r="K551" i="5"/>
  <c r="L551" i="5"/>
  <c r="M551" i="5"/>
  <c r="N551" i="5"/>
  <c r="O551" i="5"/>
  <c r="P551" i="5"/>
  <c r="Q551" i="5"/>
  <c r="R551" i="5"/>
  <c r="S551" i="5"/>
  <c r="T551" i="5"/>
  <c r="U551" i="5"/>
  <c r="V551" i="5"/>
  <c r="B552" i="5"/>
  <c r="C552" i="5"/>
  <c r="D552" i="5"/>
  <c r="E552" i="5"/>
  <c r="F552" i="5"/>
  <c r="G552" i="5"/>
  <c r="H552" i="5"/>
  <c r="I552" i="5"/>
  <c r="J552" i="5"/>
  <c r="K552" i="5"/>
  <c r="L552" i="5"/>
  <c r="M552" i="5"/>
  <c r="N552" i="5"/>
  <c r="O552" i="5"/>
  <c r="P552" i="5"/>
  <c r="Q552" i="5"/>
  <c r="R552" i="5"/>
  <c r="S552" i="5"/>
  <c r="T552" i="5"/>
  <c r="U552" i="5"/>
  <c r="V552" i="5"/>
  <c r="B553" i="5"/>
  <c r="C553" i="5"/>
  <c r="D553" i="5"/>
  <c r="E553" i="5"/>
  <c r="F553" i="5"/>
  <c r="G553" i="5"/>
  <c r="H553" i="5"/>
  <c r="I553" i="5"/>
  <c r="J553" i="5"/>
  <c r="K553" i="5"/>
  <c r="L553" i="5"/>
  <c r="M553" i="5"/>
  <c r="N553" i="5"/>
  <c r="O553" i="5"/>
  <c r="P553" i="5"/>
  <c r="Q553" i="5"/>
  <c r="R553" i="5"/>
  <c r="S553" i="5"/>
  <c r="T553" i="5"/>
  <c r="U553" i="5"/>
  <c r="V553" i="5"/>
  <c r="B554" i="5"/>
  <c r="C554" i="5"/>
  <c r="D554" i="5"/>
  <c r="E554" i="5"/>
  <c r="F554" i="5"/>
  <c r="G554" i="5"/>
  <c r="H554" i="5"/>
  <c r="I554" i="5"/>
  <c r="J554" i="5"/>
  <c r="K554" i="5"/>
  <c r="L554" i="5"/>
  <c r="M554" i="5"/>
  <c r="N554" i="5"/>
  <c r="O554" i="5"/>
  <c r="P554" i="5"/>
  <c r="Q554" i="5"/>
  <c r="R554" i="5"/>
  <c r="S554" i="5"/>
  <c r="T554" i="5"/>
  <c r="U554" i="5"/>
  <c r="V554" i="5"/>
  <c r="B555" i="5"/>
  <c r="C555" i="5"/>
  <c r="D555" i="5"/>
  <c r="E555" i="5"/>
  <c r="F555" i="5"/>
  <c r="G555" i="5"/>
  <c r="H555" i="5"/>
  <c r="I555" i="5"/>
  <c r="J555" i="5"/>
  <c r="K555" i="5"/>
  <c r="L555" i="5"/>
  <c r="M555" i="5"/>
  <c r="N555" i="5"/>
  <c r="O555" i="5"/>
  <c r="P555" i="5"/>
  <c r="Q555" i="5"/>
  <c r="R555" i="5"/>
  <c r="S555" i="5"/>
  <c r="T555" i="5"/>
  <c r="U555" i="5"/>
  <c r="V555" i="5"/>
  <c r="B556" i="5"/>
  <c r="C556" i="5"/>
  <c r="D556" i="5"/>
  <c r="E556" i="5"/>
  <c r="F556" i="5"/>
  <c r="G556" i="5"/>
  <c r="H556" i="5"/>
  <c r="I556" i="5"/>
  <c r="J556" i="5"/>
  <c r="K556" i="5"/>
  <c r="L556" i="5"/>
  <c r="M556" i="5"/>
  <c r="N556" i="5"/>
  <c r="O556" i="5"/>
  <c r="P556" i="5"/>
  <c r="Q556" i="5"/>
  <c r="R556" i="5"/>
  <c r="S556" i="5"/>
  <c r="T556" i="5"/>
  <c r="U556" i="5"/>
  <c r="V556" i="5"/>
  <c r="B557" i="5"/>
  <c r="C557" i="5"/>
  <c r="D557" i="5"/>
  <c r="E557" i="5"/>
  <c r="F557" i="5"/>
  <c r="G557" i="5"/>
  <c r="H557" i="5"/>
  <c r="I557" i="5"/>
  <c r="J557" i="5"/>
  <c r="K557" i="5"/>
  <c r="L557" i="5"/>
  <c r="M557" i="5"/>
  <c r="N557" i="5"/>
  <c r="O557" i="5"/>
  <c r="P557" i="5"/>
  <c r="Q557" i="5"/>
  <c r="R557" i="5"/>
  <c r="S557" i="5"/>
  <c r="T557" i="5"/>
  <c r="U557" i="5"/>
  <c r="V557" i="5"/>
  <c r="B558" i="5"/>
  <c r="C558" i="5"/>
  <c r="D558" i="5"/>
  <c r="E558" i="5"/>
  <c r="F558" i="5"/>
  <c r="G558" i="5"/>
  <c r="H558" i="5"/>
  <c r="I558" i="5"/>
  <c r="J558" i="5"/>
  <c r="K558" i="5"/>
  <c r="L558" i="5"/>
  <c r="M558" i="5"/>
  <c r="N558" i="5"/>
  <c r="O558" i="5"/>
  <c r="P558" i="5"/>
  <c r="Q558" i="5"/>
  <c r="R558" i="5"/>
  <c r="S558" i="5"/>
  <c r="T558" i="5"/>
  <c r="U558" i="5"/>
  <c r="V558" i="5"/>
  <c r="B559" i="5"/>
  <c r="C559" i="5"/>
  <c r="D559" i="5"/>
  <c r="E559" i="5"/>
  <c r="F559" i="5"/>
  <c r="G559" i="5"/>
  <c r="H559" i="5"/>
  <c r="I559" i="5"/>
  <c r="J559" i="5"/>
  <c r="K559" i="5"/>
  <c r="L559" i="5"/>
  <c r="M559" i="5"/>
  <c r="N559" i="5"/>
  <c r="O559" i="5"/>
  <c r="P559" i="5"/>
  <c r="Q559" i="5"/>
  <c r="R559" i="5"/>
  <c r="S559" i="5"/>
  <c r="T559" i="5"/>
  <c r="U559" i="5"/>
  <c r="V559" i="5"/>
  <c r="B560" i="5"/>
  <c r="C560" i="5"/>
  <c r="D560" i="5"/>
  <c r="E560" i="5"/>
  <c r="F560" i="5"/>
  <c r="G560" i="5"/>
  <c r="H560" i="5"/>
  <c r="I560" i="5"/>
  <c r="J560" i="5"/>
  <c r="K560" i="5"/>
  <c r="L560" i="5"/>
  <c r="M560" i="5"/>
  <c r="N560" i="5"/>
  <c r="O560" i="5"/>
  <c r="P560" i="5"/>
  <c r="Q560" i="5"/>
  <c r="R560" i="5"/>
  <c r="S560" i="5"/>
  <c r="T560" i="5"/>
  <c r="U560" i="5"/>
  <c r="V560" i="5"/>
  <c r="B561" i="5"/>
  <c r="C561" i="5"/>
  <c r="D561" i="5"/>
  <c r="E561" i="5"/>
  <c r="F561" i="5"/>
  <c r="G561" i="5"/>
  <c r="H561" i="5"/>
  <c r="I561" i="5"/>
  <c r="J561" i="5"/>
  <c r="K561" i="5"/>
  <c r="L561" i="5"/>
  <c r="M561" i="5"/>
  <c r="N561" i="5"/>
  <c r="O561" i="5"/>
  <c r="P561" i="5"/>
  <c r="Q561" i="5"/>
  <c r="R561" i="5"/>
  <c r="S561" i="5"/>
  <c r="T561" i="5"/>
  <c r="U561" i="5"/>
  <c r="V561" i="5"/>
  <c r="B562" i="5"/>
  <c r="C562" i="5"/>
  <c r="D562" i="5"/>
  <c r="E562" i="5"/>
  <c r="F562" i="5"/>
  <c r="G562" i="5"/>
  <c r="H562" i="5"/>
  <c r="I562" i="5"/>
  <c r="J562" i="5"/>
  <c r="K562" i="5"/>
  <c r="L562" i="5"/>
  <c r="M562" i="5"/>
  <c r="N562" i="5"/>
  <c r="O562" i="5"/>
  <c r="P562" i="5"/>
  <c r="Q562" i="5"/>
  <c r="R562" i="5"/>
  <c r="S562" i="5"/>
  <c r="T562" i="5"/>
  <c r="U562" i="5"/>
  <c r="V562" i="5"/>
  <c r="B563" i="5"/>
  <c r="C563" i="5"/>
  <c r="D563" i="5"/>
  <c r="E563" i="5"/>
  <c r="F563" i="5"/>
  <c r="G563" i="5"/>
  <c r="H563" i="5"/>
  <c r="I563" i="5"/>
  <c r="J563" i="5"/>
  <c r="K563" i="5"/>
  <c r="L563" i="5"/>
  <c r="M563" i="5"/>
  <c r="N563" i="5"/>
  <c r="O563" i="5"/>
  <c r="P563" i="5"/>
  <c r="Q563" i="5"/>
  <c r="R563" i="5"/>
  <c r="S563" i="5"/>
  <c r="T563" i="5"/>
  <c r="U563" i="5"/>
  <c r="V563" i="5"/>
  <c r="B564" i="5"/>
  <c r="C564" i="5"/>
  <c r="D564" i="5"/>
  <c r="E564" i="5"/>
  <c r="F564" i="5"/>
  <c r="G564" i="5"/>
  <c r="H564" i="5"/>
  <c r="I564" i="5"/>
  <c r="J564" i="5"/>
  <c r="K564" i="5"/>
  <c r="L564" i="5"/>
  <c r="M564" i="5"/>
  <c r="N564" i="5"/>
  <c r="O564" i="5"/>
  <c r="P564" i="5"/>
  <c r="Q564" i="5"/>
  <c r="R564" i="5"/>
  <c r="S564" i="5"/>
  <c r="T564" i="5"/>
  <c r="U564" i="5"/>
  <c r="V564" i="5"/>
  <c r="B565" i="5"/>
  <c r="C565" i="5"/>
  <c r="D565" i="5"/>
  <c r="E565" i="5"/>
  <c r="F565" i="5"/>
  <c r="G565" i="5"/>
  <c r="H565" i="5"/>
  <c r="I565" i="5"/>
  <c r="J565" i="5"/>
  <c r="K565" i="5"/>
  <c r="L565" i="5"/>
  <c r="M565" i="5"/>
  <c r="N565" i="5"/>
  <c r="O565" i="5"/>
  <c r="P565" i="5"/>
  <c r="Q565" i="5"/>
  <c r="R565" i="5"/>
  <c r="S565" i="5"/>
  <c r="T565" i="5"/>
  <c r="U565" i="5"/>
  <c r="V565" i="5"/>
  <c r="B566" i="5"/>
  <c r="C566" i="5"/>
  <c r="D566" i="5"/>
  <c r="E566" i="5"/>
  <c r="F566" i="5"/>
  <c r="G566" i="5"/>
  <c r="H566" i="5"/>
  <c r="I566" i="5"/>
  <c r="J566" i="5"/>
  <c r="K566" i="5"/>
  <c r="L566" i="5"/>
  <c r="M566" i="5"/>
  <c r="N566" i="5"/>
  <c r="O566" i="5"/>
  <c r="P566" i="5"/>
  <c r="Q566" i="5"/>
  <c r="R566" i="5"/>
  <c r="S566" i="5"/>
  <c r="T566" i="5"/>
  <c r="U566" i="5"/>
  <c r="V566" i="5"/>
  <c r="B567" i="5"/>
  <c r="C567" i="5"/>
  <c r="D567" i="5"/>
  <c r="E567" i="5"/>
  <c r="F567" i="5"/>
  <c r="G567" i="5"/>
  <c r="H567" i="5"/>
  <c r="I567" i="5"/>
  <c r="J567" i="5"/>
  <c r="K567" i="5"/>
  <c r="L567" i="5"/>
  <c r="M567" i="5"/>
  <c r="N567" i="5"/>
  <c r="O567" i="5"/>
  <c r="P567" i="5"/>
  <c r="Q567" i="5"/>
  <c r="R567" i="5"/>
  <c r="S567" i="5"/>
  <c r="T567" i="5"/>
  <c r="U567" i="5"/>
  <c r="V567" i="5"/>
  <c r="B568" i="5"/>
  <c r="C568" i="5"/>
  <c r="D568" i="5"/>
  <c r="E568" i="5"/>
  <c r="F568" i="5"/>
  <c r="G568" i="5"/>
  <c r="H568" i="5"/>
  <c r="I568" i="5"/>
  <c r="J568" i="5"/>
  <c r="K568" i="5"/>
  <c r="L568" i="5"/>
  <c r="M568" i="5"/>
  <c r="N568" i="5"/>
  <c r="O568" i="5"/>
  <c r="P568" i="5"/>
  <c r="Q568" i="5"/>
  <c r="R568" i="5"/>
  <c r="S568" i="5"/>
  <c r="T568" i="5"/>
  <c r="U568" i="5"/>
  <c r="V568" i="5"/>
  <c r="B569" i="5"/>
  <c r="C569" i="5"/>
  <c r="D569" i="5"/>
  <c r="E569" i="5"/>
  <c r="F569" i="5"/>
  <c r="G569" i="5"/>
  <c r="H569" i="5"/>
  <c r="I569" i="5"/>
  <c r="J569" i="5"/>
  <c r="K569" i="5"/>
  <c r="L569" i="5"/>
  <c r="M569" i="5"/>
  <c r="N569" i="5"/>
  <c r="O569" i="5"/>
  <c r="P569" i="5"/>
  <c r="Q569" i="5"/>
  <c r="R569" i="5"/>
  <c r="S569" i="5"/>
  <c r="T569" i="5"/>
  <c r="U569" i="5"/>
  <c r="V569" i="5"/>
  <c r="B570" i="5"/>
  <c r="C570" i="5"/>
  <c r="D570" i="5"/>
  <c r="E570" i="5"/>
  <c r="F570" i="5"/>
  <c r="G570" i="5"/>
  <c r="H570" i="5"/>
  <c r="I570" i="5"/>
  <c r="J570" i="5"/>
  <c r="K570" i="5"/>
  <c r="L570" i="5"/>
  <c r="M570" i="5"/>
  <c r="N570" i="5"/>
  <c r="O570" i="5"/>
  <c r="P570" i="5"/>
  <c r="Q570" i="5"/>
  <c r="R570" i="5"/>
  <c r="S570" i="5"/>
  <c r="T570" i="5"/>
  <c r="U570" i="5"/>
  <c r="V570" i="5"/>
  <c r="B571" i="5"/>
  <c r="C571" i="5"/>
  <c r="D571" i="5"/>
  <c r="E571" i="5"/>
  <c r="F571" i="5"/>
  <c r="G571" i="5"/>
  <c r="H571" i="5"/>
  <c r="I571" i="5"/>
  <c r="J571" i="5"/>
  <c r="K571" i="5"/>
  <c r="L571" i="5"/>
  <c r="M571" i="5"/>
  <c r="N571" i="5"/>
  <c r="O571" i="5"/>
  <c r="P571" i="5"/>
  <c r="Q571" i="5"/>
  <c r="R571" i="5"/>
  <c r="S571" i="5"/>
  <c r="T571" i="5"/>
  <c r="U571" i="5"/>
  <c r="V571" i="5"/>
  <c r="B572" i="5"/>
  <c r="C572" i="5"/>
  <c r="D572" i="5"/>
  <c r="E572" i="5"/>
  <c r="F572" i="5"/>
  <c r="G572" i="5"/>
  <c r="H572" i="5"/>
  <c r="I572" i="5"/>
  <c r="J572" i="5"/>
  <c r="K572" i="5"/>
  <c r="L572" i="5"/>
  <c r="M572" i="5"/>
  <c r="N572" i="5"/>
  <c r="O572" i="5"/>
  <c r="P572" i="5"/>
  <c r="Q572" i="5"/>
  <c r="R572" i="5"/>
  <c r="S572" i="5"/>
  <c r="T572" i="5"/>
  <c r="U572" i="5"/>
  <c r="V572" i="5"/>
  <c r="B573" i="5"/>
  <c r="C573" i="5"/>
  <c r="D573" i="5"/>
  <c r="E573" i="5"/>
  <c r="F573" i="5"/>
  <c r="G573" i="5"/>
  <c r="H573" i="5"/>
  <c r="I573" i="5"/>
  <c r="J573" i="5"/>
  <c r="K573" i="5"/>
  <c r="L573" i="5"/>
  <c r="M573" i="5"/>
  <c r="N573" i="5"/>
  <c r="O573" i="5"/>
  <c r="P573" i="5"/>
  <c r="Q573" i="5"/>
  <c r="R573" i="5"/>
  <c r="S573" i="5"/>
  <c r="T573" i="5"/>
  <c r="U573" i="5"/>
  <c r="V573" i="5"/>
  <c r="B574" i="5"/>
  <c r="C574" i="5"/>
  <c r="D574" i="5"/>
  <c r="E574" i="5"/>
  <c r="F574" i="5"/>
  <c r="G574" i="5"/>
  <c r="H574" i="5"/>
  <c r="I574" i="5"/>
  <c r="J574" i="5"/>
  <c r="K574" i="5"/>
  <c r="L574" i="5"/>
  <c r="M574" i="5"/>
  <c r="N574" i="5"/>
  <c r="O574" i="5"/>
  <c r="P574" i="5"/>
  <c r="Q574" i="5"/>
  <c r="R574" i="5"/>
  <c r="S574" i="5"/>
  <c r="T574" i="5"/>
  <c r="U574" i="5"/>
  <c r="V574" i="5"/>
  <c r="B575" i="5"/>
  <c r="C575" i="5"/>
  <c r="D575" i="5"/>
  <c r="E575" i="5"/>
  <c r="F575" i="5"/>
  <c r="G575" i="5"/>
  <c r="H575" i="5"/>
  <c r="I575" i="5"/>
  <c r="J575" i="5"/>
  <c r="K575" i="5"/>
  <c r="L575" i="5"/>
  <c r="M575" i="5"/>
  <c r="N575" i="5"/>
  <c r="O575" i="5"/>
  <c r="P575" i="5"/>
  <c r="Q575" i="5"/>
  <c r="R575" i="5"/>
  <c r="S575" i="5"/>
  <c r="T575" i="5"/>
  <c r="U575" i="5"/>
  <c r="V575" i="5"/>
  <c r="B576" i="5"/>
  <c r="C576" i="5"/>
  <c r="D576" i="5"/>
  <c r="E576" i="5"/>
  <c r="F576" i="5"/>
  <c r="G576" i="5"/>
  <c r="H576" i="5"/>
  <c r="I576" i="5"/>
  <c r="J576" i="5"/>
  <c r="K576" i="5"/>
  <c r="L576" i="5"/>
  <c r="M576" i="5"/>
  <c r="N576" i="5"/>
  <c r="O576" i="5"/>
  <c r="P576" i="5"/>
  <c r="Q576" i="5"/>
  <c r="R576" i="5"/>
  <c r="S576" i="5"/>
  <c r="T576" i="5"/>
  <c r="U576" i="5"/>
  <c r="V576" i="5"/>
  <c r="B577" i="5"/>
  <c r="C577" i="5"/>
  <c r="D577" i="5"/>
  <c r="E577" i="5"/>
  <c r="F577" i="5"/>
  <c r="G577" i="5"/>
  <c r="H577" i="5"/>
  <c r="I577" i="5"/>
  <c r="J577" i="5"/>
  <c r="K577" i="5"/>
  <c r="L577" i="5"/>
  <c r="M577" i="5"/>
  <c r="N577" i="5"/>
  <c r="O577" i="5"/>
  <c r="P577" i="5"/>
  <c r="Q577" i="5"/>
  <c r="R577" i="5"/>
  <c r="S577" i="5"/>
  <c r="T577" i="5"/>
  <c r="U577" i="5"/>
  <c r="V577" i="5"/>
  <c r="B578" i="5"/>
  <c r="C578" i="5"/>
  <c r="D578" i="5"/>
  <c r="E578" i="5"/>
  <c r="F578" i="5"/>
  <c r="G578" i="5"/>
  <c r="H578" i="5"/>
  <c r="I578" i="5"/>
  <c r="J578" i="5"/>
  <c r="K578" i="5"/>
  <c r="L578" i="5"/>
  <c r="M578" i="5"/>
  <c r="N578" i="5"/>
  <c r="O578" i="5"/>
  <c r="P578" i="5"/>
  <c r="Q578" i="5"/>
  <c r="R578" i="5"/>
  <c r="S578" i="5"/>
  <c r="T578" i="5"/>
  <c r="U578" i="5"/>
  <c r="V578" i="5"/>
  <c r="B579" i="5"/>
  <c r="C579" i="5"/>
  <c r="D579" i="5"/>
  <c r="E579" i="5"/>
  <c r="F579" i="5"/>
  <c r="G579" i="5"/>
  <c r="H579" i="5"/>
  <c r="I579" i="5"/>
  <c r="J579" i="5"/>
  <c r="K579" i="5"/>
  <c r="L579" i="5"/>
  <c r="M579" i="5"/>
  <c r="N579" i="5"/>
  <c r="O579" i="5"/>
  <c r="P579" i="5"/>
  <c r="Q579" i="5"/>
  <c r="R579" i="5"/>
  <c r="S579" i="5"/>
  <c r="T579" i="5"/>
  <c r="U579" i="5"/>
  <c r="V579" i="5"/>
  <c r="B580" i="5"/>
  <c r="C580" i="5"/>
  <c r="D580" i="5"/>
  <c r="E580" i="5"/>
  <c r="F580" i="5"/>
  <c r="G580" i="5"/>
  <c r="H580" i="5"/>
  <c r="I580" i="5"/>
  <c r="J580" i="5"/>
  <c r="K580" i="5"/>
  <c r="L580" i="5"/>
  <c r="M580" i="5"/>
  <c r="N580" i="5"/>
  <c r="O580" i="5"/>
  <c r="P580" i="5"/>
  <c r="Q580" i="5"/>
  <c r="R580" i="5"/>
  <c r="S580" i="5"/>
  <c r="T580" i="5"/>
  <c r="U580" i="5"/>
  <c r="V580" i="5"/>
  <c r="B581" i="5"/>
  <c r="C581" i="5"/>
  <c r="D581" i="5"/>
  <c r="E581" i="5"/>
  <c r="F581" i="5"/>
  <c r="G581" i="5"/>
  <c r="H581" i="5"/>
  <c r="I581" i="5"/>
  <c r="J581" i="5"/>
  <c r="K581" i="5"/>
  <c r="L581" i="5"/>
  <c r="M581" i="5"/>
  <c r="N581" i="5"/>
  <c r="O581" i="5"/>
  <c r="P581" i="5"/>
  <c r="Q581" i="5"/>
  <c r="R581" i="5"/>
  <c r="S581" i="5"/>
  <c r="T581" i="5"/>
  <c r="U581" i="5"/>
  <c r="V581" i="5"/>
  <c r="B582" i="5"/>
  <c r="C582" i="5"/>
  <c r="D582" i="5"/>
  <c r="E582" i="5"/>
  <c r="F582" i="5"/>
  <c r="G582" i="5"/>
  <c r="H582" i="5"/>
  <c r="I582" i="5"/>
  <c r="J582" i="5"/>
  <c r="K582" i="5"/>
  <c r="L582" i="5"/>
  <c r="M582" i="5"/>
  <c r="N582" i="5"/>
  <c r="O582" i="5"/>
  <c r="P582" i="5"/>
  <c r="Q582" i="5"/>
  <c r="R582" i="5"/>
  <c r="S582" i="5"/>
  <c r="T582" i="5"/>
  <c r="U582" i="5"/>
  <c r="V582" i="5"/>
  <c r="B583" i="5"/>
  <c r="C583" i="5"/>
  <c r="D583" i="5"/>
  <c r="E583" i="5"/>
  <c r="F583" i="5"/>
  <c r="G583" i="5"/>
  <c r="H583" i="5"/>
  <c r="I583" i="5"/>
  <c r="J583" i="5"/>
  <c r="K583" i="5"/>
  <c r="L583" i="5"/>
  <c r="M583" i="5"/>
  <c r="N583" i="5"/>
  <c r="O583" i="5"/>
  <c r="P583" i="5"/>
  <c r="Q583" i="5"/>
  <c r="R583" i="5"/>
  <c r="S583" i="5"/>
  <c r="T583" i="5"/>
  <c r="U583" i="5"/>
  <c r="V583" i="5"/>
  <c r="B584" i="5"/>
  <c r="C584" i="5"/>
  <c r="D584" i="5"/>
  <c r="E584" i="5"/>
  <c r="F584" i="5"/>
  <c r="G584" i="5"/>
  <c r="H584" i="5"/>
  <c r="I584" i="5"/>
  <c r="J584" i="5"/>
  <c r="K584" i="5"/>
  <c r="L584" i="5"/>
  <c r="M584" i="5"/>
  <c r="N584" i="5"/>
  <c r="O584" i="5"/>
  <c r="P584" i="5"/>
  <c r="Q584" i="5"/>
  <c r="R584" i="5"/>
  <c r="S584" i="5"/>
  <c r="T584" i="5"/>
  <c r="U584" i="5"/>
  <c r="V584" i="5"/>
  <c r="B585" i="5"/>
  <c r="C585" i="5"/>
  <c r="D585" i="5"/>
  <c r="E585" i="5"/>
  <c r="F585" i="5"/>
  <c r="G585" i="5"/>
  <c r="H585" i="5"/>
  <c r="I585" i="5"/>
  <c r="J585" i="5"/>
  <c r="K585" i="5"/>
  <c r="L585" i="5"/>
  <c r="M585" i="5"/>
  <c r="N585" i="5"/>
  <c r="O585" i="5"/>
  <c r="P585" i="5"/>
  <c r="Q585" i="5"/>
  <c r="R585" i="5"/>
  <c r="S585" i="5"/>
  <c r="T585" i="5"/>
  <c r="U585" i="5"/>
  <c r="V585" i="5"/>
  <c r="B586" i="5"/>
  <c r="C586" i="5"/>
  <c r="D586" i="5"/>
  <c r="E586" i="5"/>
  <c r="F586" i="5"/>
  <c r="G586" i="5"/>
  <c r="H586" i="5"/>
  <c r="I586" i="5"/>
  <c r="J586" i="5"/>
  <c r="K586" i="5"/>
  <c r="L586" i="5"/>
  <c r="M586" i="5"/>
  <c r="N586" i="5"/>
  <c r="O586" i="5"/>
  <c r="P586" i="5"/>
  <c r="Q586" i="5"/>
  <c r="R586" i="5"/>
  <c r="S586" i="5"/>
  <c r="T586" i="5"/>
  <c r="U586" i="5"/>
  <c r="V586" i="5"/>
  <c r="B587" i="5"/>
  <c r="C587" i="5"/>
  <c r="D587" i="5"/>
  <c r="E587" i="5"/>
  <c r="F587" i="5"/>
  <c r="G587" i="5"/>
  <c r="H587" i="5"/>
  <c r="I587" i="5"/>
  <c r="J587" i="5"/>
  <c r="K587" i="5"/>
  <c r="L587" i="5"/>
  <c r="M587" i="5"/>
  <c r="N587" i="5"/>
  <c r="O587" i="5"/>
  <c r="P587" i="5"/>
  <c r="Q587" i="5"/>
  <c r="R587" i="5"/>
  <c r="S587" i="5"/>
  <c r="T587" i="5"/>
  <c r="U587" i="5"/>
  <c r="V587" i="5"/>
  <c r="B588" i="5"/>
  <c r="C588" i="5"/>
  <c r="D588" i="5"/>
  <c r="E588" i="5"/>
  <c r="F588" i="5"/>
  <c r="G588" i="5"/>
  <c r="H588" i="5"/>
  <c r="I588" i="5"/>
  <c r="J588" i="5"/>
  <c r="K588" i="5"/>
  <c r="L588" i="5"/>
  <c r="M588" i="5"/>
  <c r="N588" i="5"/>
  <c r="O588" i="5"/>
  <c r="P588" i="5"/>
  <c r="Q588" i="5"/>
  <c r="R588" i="5"/>
  <c r="S588" i="5"/>
  <c r="T588" i="5"/>
  <c r="U588" i="5"/>
  <c r="V588" i="5"/>
  <c r="B589" i="5"/>
  <c r="C589" i="5"/>
  <c r="D589" i="5"/>
  <c r="E589" i="5"/>
  <c r="F589" i="5"/>
  <c r="G589" i="5"/>
  <c r="H589" i="5"/>
  <c r="I589" i="5"/>
  <c r="J589" i="5"/>
  <c r="K589" i="5"/>
  <c r="L589" i="5"/>
  <c r="M589" i="5"/>
  <c r="N589" i="5"/>
  <c r="O589" i="5"/>
  <c r="P589" i="5"/>
  <c r="Q589" i="5"/>
  <c r="R589" i="5"/>
  <c r="S589" i="5"/>
  <c r="T589" i="5"/>
  <c r="U589" i="5"/>
  <c r="V589" i="5"/>
  <c r="B590" i="5"/>
  <c r="C590" i="5"/>
  <c r="D590" i="5"/>
  <c r="E590" i="5"/>
  <c r="F590" i="5"/>
  <c r="G590" i="5"/>
  <c r="H590" i="5"/>
  <c r="I590" i="5"/>
  <c r="J590" i="5"/>
  <c r="K590" i="5"/>
  <c r="L590" i="5"/>
  <c r="M590" i="5"/>
  <c r="N590" i="5"/>
  <c r="O590" i="5"/>
  <c r="P590" i="5"/>
  <c r="Q590" i="5"/>
  <c r="R590" i="5"/>
  <c r="S590" i="5"/>
  <c r="T590" i="5"/>
  <c r="U590" i="5"/>
  <c r="V590" i="5"/>
  <c r="B591" i="5"/>
  <c r="C591" i="5"/>
  <c r="D591" i="5"/>
  <c r="E591" i="5"/>
  <c r="F591" i="5"/>
  <c r="G591" i="5"/>
  <c r="H591" i="5"/>
  <c r="I591" i="5"/>
  <c r="J591" i="5"/>
  <c r="K591" i="5"/>
  <c r="L591" i="5"/>
  <c r="M591" i="5"/>
  <c r="N591" i="5"/>
  <c r="O591" i="5"/>
  <c r="P591" i="5"/>
  <c r="Q591" i="5"/>
  <c r="R591" i="5"/>
  <c r="S591" i="5"/>
  <c r="T591" i="5"/>
  <c r="U591" i="5"/>
  <c r="V591" i="5"/>
  <c r="B592" i="5"/>
  <c r="C592" i="5"/>
  <c r="D592" i="5"/>
  <c r="E592" i="5"/>
  <c r="F592" i="5"/>
  <c r="G592" i="5"/>
  <c r="H592" i="5"/>
  <c r="I592" i="5"/>
  <c r="J592" i="5"/>
  <c r="K592" i="5"/>
  <c r="L592" i="5"/>
  <c r="M592" i="5"/>
  <c r="N592" i="5"/>
  <c r="O592" i="5"/>
  <c r="P592" i="5"/>
  <c r="Q592" i="5"/>
  <c r="R592" i="5"/>
  <c r="S592" i="5"/>
  <c r="T592" i="5"/>
  <c r="U592" i="5"/>
  <c r="V592" i="5"/>
  <c r="B593" i="5"/>
  <c r="C593" i="5"/>
  <c r="D593" i="5"/>
  <c r="E593" i="5"/>
  <c r="F593" i="5"/>
  <c r="G593" i="5"/>
  <c r="H593" i="5"/>
  <c r="I593" i="5"/>
  <c r="J593" i="5"/>
  <c r="K593" i="5"/>
  <c r="L593" i="5"/>
  <c r="M593" i="5"/>
  <c r="N593" i="5"/>
  <c r="O593" i="5"/>
  <c r="P593" i="5"/>
  <c r="Q593" i="5"/>
  <c r="R593" i="5"/>
  <c r="S593" i="5"/>
  <c r="T593" i="5"/>
  <c r="U593" i="5"/>
  <c r="V593" i="5"/>
  <c r="B594" i="5"/>
  <c r="C594" i="5"/>
  <c r="D594" i="5"/>
  <c r="E594" i="5"/>
  <c r="F594" i="5"/>
  <c r="G594" i="5"/>
  <c r="H594" i="5"/>
  <c r="I594" i="5"/>
  <c r="J594" i="5"/>
  <c r="K594" i="5"/>
  <c r="L594" i="5"/>
  <c r="M594" i="5"/>
  <c r="N594" i="5"/>
  <c r="O594" i="5"/>
  <c r="P594" i="5"/>
  <c r="Q594" i="5"/>
  <c r="R594" i="5"/>
  <c r="S594" i="5"/>
  <c r="T594" i="5"/>
  <c r="U594" i="5"/>
  <c r="V594" i="5"/>
  <c r="B595" i="5"/>
  <c r="C595" i="5"/>
  <c r="D595" i="5"/>
  <c r="E595" i="5"/>
  <c r="F595" i="5"/>
  <c r="G595" i="5"/>
  <c r="H595" i="5"/>
  <c r="I595" i="5"/>
  <c r="J595" i="5"/>
  <c r="K595" i="5"/>
  <c r="L595" i="5"/>
  <c r="M595" i="5"/>
  <c r="N595" i="5"/>
  <c r="O595" i="5"/>
  <c r="P595" i="5"/>
  <c r="Q595" i="5"/>
  <c r="R595" i="5"/>
  <c r="S595" i="5"/>
  <c r="T595" i="5"/>
  <c r="U595" i="5"/>
  <c r="V595" i="5"/>
  <c r="B596" i="5"/>
  <c r="C596" i="5"/>
  <c r="D596" i="5"/>
  <c r="E596" i="5"/>
  <c r="F596" i="5"/>
  <c r="G596" i="5"/>
  <c r="H596" i="5"/>
  <c r="I596" i="5"/>
  <c r="J596" i="5"/>
  <c r="K596" i="5"/>
  <c r="L596" i="5"/>
  <c r="M596" i="5"/>
  <c r="N596" i="5"/>
  <c r="O596" i="5"/>
  <c r="P596" i="5"/>
  <c r="Q596" i="5"/>
  <c r="R596" i="5"/>
  <c r="S596" i="5"/>
  <c r="T596" i="5"/>
  <c r="U596" i="5"/>
  <c r="V596" i="5"/>
  <c r="B597" i="5"/>
  <c r="C597" i="5"/>
  <c r="D597" i="5"/>
  <c r="E597" i="5"/>
  <c r="F597" i="5"/>
  <c r="G597" i="5"/>
  <c r="H597" i="5"/>
  <c r="I597" i="5"/>
  <c r="J597" i="5"/>
  <c r="K597" i="5"/>
  <c r="L597" i="5"/>
  <c r="M597" i="5"/>
  <c r="N597" i="5"/>
  <c r="O597" i="5"/>
  <c r="P597" i="5"/>
  <c r="Q597" i="5"/>
  <c r="R597" i="5"/>
  <c r="S597" i="5"/>
  <c r="T597" i="5"/>
  <c r="U597" i="5"/>
  <c r="V597" i="5"/>
  <c r="B598" i="5"/>
  <c r="C598" i="5"/>
  <c r="D598" i="5"/>
  <c r="E598" i="5"/>
  <c r="F598" i="5"/>
  <c r="G598" i="5"/>
  <c r="H598" i="5"/>
  <c r="I598" i="5"/>
  <c r="J598" i="5"/>
  <c r="K598" i="5"/>
  <c r="L598" i="5"/>
  <c r="M598" i="5"/>
  <c r="N598" i="5"/>
  <c r="O598" i="5"/>
  <c r="P598" i="5"/>
  <c r="Q598" i="5"/>
  <c r="R598" i="5"/>
  <c r="S598" i="5"/>
  <c r="T598" i="5"/>
  <c r="U598" i="5"/>
  <c r="V598" i="5"/>
  <c r="B599" i="5"/>
  <c r="C599" i="5"/>
  <c r="D599" i="5"/>
  <c r="E599" i="5"/>
  <c r="F599" i="5"/>
  <c r="G599" i="5"/>
  <c r="H599" i="5"/>
  <c r="I599" i="5"/>
  <c r="J599" i="5"/>
  <c r="K599" i="5"/>
  <c r="L599" i="5"/>
  <c r="M599" i="5"/>
  <c r="N599" i="5"/>
  <c r="O599" i="5"/>
  <c r="P599" i="5"/>
  <c r="Q599" i="5"/>
  <c r="R599" i="5"/>
  <c r="S599" i="5"/>
  <c r="T599" i="5"/>
  <c r="U599" i="5"/>
  <c r="V599" i="5"/>
  <c r="B600" i="5"/>
  <c r="C600" i="5"/>
  <c r="D600" i="5"/>
  <c r="E600" i="5"/>
  <c r="F600" i="5"/>
  <c r="G600" i="5"/>
  <c r="H600" i="5"/>
  <c r="I600" i="5"/>
  <c r="J600" i="5"/>
  <c r="K600" i="5"/>
  <c r="L600" i="5"/>
  <c r="M600" i="5"/>
  <c r="N600" i="5"/>
  <c r="O600" i="5"/>
  <c r="P600" i="5"/>
  <c r="Q600" i="5"/>
  <c r="R600" i="5"/>
  <c r="S600" i="5"/>
  <c r="T600" i="5"/>
  <c r="U600" i="5"/>
  <c r="V600" i="5"/>
  <c r="B601" i="5"/>
  <c r="C601" i="5"/>
  <c r="D601" i="5"/>
  <c r="E601" i="5"/>
  <c r="F601" i="5"/>
  <c r="G601" i="5"/>
  <c r="H601" i="5"/>
  <c r="I601" i="5"/>
  <c r="J601" i="5"/>
  <c r="K601" i="5"/>
  <c r="L601" i="5"/>
  <c r="M601" i="5"/>
  <c r="N601" i="5"/>
  <c r="O601" i="5"/>
  <c r="P601" i="5"/>
  <c r="Q601" i="5"/>
  <c r="R601" i="5"/>
  <c r="S601" i="5"/>
  <c r="T601" i="5"/>
  <c r="U601" i="5"/>
  <c r="V601" i="5"/>
  <c r="B602" i="5"/>
  <c r="C602" i="5"/>
  <c r="D602" i="5"/>
  <c r="E602" i="5"/>
  <c r="F602" i="5"/>
  <c r="G602" i="5"/>
  <c r="H602" i="5"/>
  <c r="I602" i="5"/>
  <c r="J602" i="5"/>
  <c r="K602" i="5"/>
  <c r="L602" i="5"/>
  <c r="M602" i="5"/>
  <c r="N602" i="5"/>
  <c r="O602" i="5"/>
  <c r="P602" i="5"/>
  <c r="Q602" i="5"/>
  <c r="R602" i="5"/>
  <c r="S602" i="5"/>
  <c r="T602" i="5"/>
  <c r="U602" i="5"/>
  <c r="V602" i="5"/>
  <c r="B603" i="5"/>
  <c r="C603" i="5"/>
  <c r="D603" i="5"/>
  <c r="E603" i="5"/>
  <c r="F603" i="5"/>
  <c r="G603" i="5"/>
  <c r="H603" i="5"/>
  <c r="I603" i="5"/>
  <c r="J603" i="5"/>
  <c r="K603" i="5"/>
  <c r="L603" i="5"/>
  <c r="M603" i="5"/>
  <c r="N603" i="5"/>
  <c r="O603" i="5"/>
  <c r="P603" i="5"/>
  <c r="Q603" i="5"/>
  <c r="R603" i="5"/>
  <c r="S603" i="5"/>
  <c r="T603" i="5"/>
  <c r="U603" i="5"/>
  <c r="V603" i="5"/>
  <c r="B604" i="5"/>
  <c r="C604" i="5"/>
  <c r="D604" i="5"/>
  <c r="E604" i="5"/>
  <c r="F604" i="5"/>
  <c r="G604" i="5"/>
  <c r="H604" i="5"/>
  <c r="I604" i="5"/>
  <c r="J604" i="5"/>
  <c r="K604" i="5"/>
  <c r="L604" i="5"/>
  <c r="M604" i="5"/>
  <c r="N604" i="5"/>
  <c r="O604" i="5"/>
  <c r="P604" i="5"/>
  <c r="Q604" i="5"/>
  <c r="R604" i="5"/>
  <c r="S604" i="5"/>
  <c r="T604" i="5"/>
  <c r="U604" i="5"/>
  <c r="V604" i="5"/>
  <c r="B605" i="5"/>
  <c r="C605" i="5"/>
  <c r="D605" i="5"/>
  <c r="E605" i="5"/>
  <c r="F605" i="5"/>
  <c r="G605" i="5"/>
  <c r="H605" i="5"/>
  <c r="I605" i="5"/>
  <c r="J605" i="5"/>
  <c r="K605" i="5"/>
  <c r="L605" i="5"/>
  <c r="M605" i="5"/>
  <c r="N605" i="5"/>
  <c r="O605" i="5"/>
  <c r="P605" i="5"/>
  <c r="Q605" i="5"/>
  <c r="R605" i="5"/>
  <c r="S605" i="5"/>
  <c r="T605" i="5"/>
  <c r="U605" i="5"/>
  <c r="V605" i="5"/>
  <c r="B606" i="5"/>
  <c r="C606" i="5"/>
  <c r="D606" i="5"/>
  <c r="E606" i="5"/>
  <c r="F606" i="5"/>
  <c r="G606" i="5"/>
  <c r="H606" i="5"/>
  <c r="I606" i="5"/>
  <c r="J606" i="5"/>
  <c r="K606" i="5"/>
  <c r="L606" i="5"/>
  <c r="M606" i="5"/>
  <c r="N606" i="5"/>
  <c r="O606" i="5"/>
  <c r="P606" i="5"/>
  <c r="Q606" i="5"/>
  <c r="R606" i="5"/>
  <c r="S606" i="5"/>
  <c r="T606" i="5"/>
  <c r="U606" i="5"/>
  <c r="V606" i="5"/>
  <c r="B607" i="5"/>
  <c r="C607" i="5"/>
  <c r="D607" i="5"/>
  <c r="E607" i="5"/>
  <c r="F607" i="5"/>
  <c r="G607" i="5"/>
  <c r="H607" i="5"/>
  <c r="I607" i="5"/>
  <c r="J607" i="5"/>
  <c r="K607" i="5"/>
  <c r="L607" i="5"/>
  <c r="M607" i="5"/>
  <c r="N607" i="5"/>
  <c r="O607" i="5"/>
  <c r="P607" i="5"/>
  <c r="Q607" i="5"/>
  <c r="R607" i="5"/>
  <c r="S607" i="5"/>
  <c r="T607" i="5"/>
  <c r="U607" i="5"/>
  <c r="V607" i="5"/>
  <c r="B608" i="5"/>
  <c r="C608" i="5"/>
  <c r="D608" i="5"/>
  <c r="E608" i="5"/>
  <c r="F608" i="5"/>
  <c r="G608" i="5"/>
  <c r="H608" i="5"/>
  <c r="I608" i="5"/>
  <c r="J608" i="5"/>
  <c r="K608" i="5"/>
  <c r="L608" i="5"/>
  <c r="M608" i="5"/>
  <c r="N608" i="5"/>
  <c r="O608" i="5"/>
  <c r="P608" i="5"/>
  <c r="Q608" i="5"/>
  <c r="R608" i="5"/>
  <c r="S608" i="5"/>
  <c r="T608" i="5"/>
  <c r="U608" i="5"/>
  <c r="V608" i="5"/>
  <c r="B609" i="5"/>
  <c r="C609" i="5"/>
  <c r="D609" i="5"/>
  <c r="E609" i="5"/>
  <c r="F609" i="5"/>
  <c r="G609" i="5"/>
  <c r="H609" i="5"/>
  <c r="I609" i="5"/>
  <c r="J609" i="5"/>
  <c r="K609" i="5"/>
  <c r="L609" i="5"/>
  <c r="M609" i="5"/>
  <c r="N609" i="5"/>
  <c r="O609" i="5"/>
  <c r="P609" i="5"/>
  <c r="Q609" i="5"/>
  <c r="R609" i="5"/>
  <c r="S609" i="5"/>
  <c r="T609" i="5"/>
  <c r="U609" i="5"/>
  <c r="V609" i="5"/>
  <c r="B610" i="5"/>
  <c r="C610" i="5"/>
  <c r="D610" i="5"/>
  <c r="E610" i="5"/>
  <c r="F610" i="5"/>
  <c r="G610" i="5"/>
  <c r="H610" i="5"/>
  <c r="I610" i="5"/>
  <c r="J610" i="5"/>
  <c r="K610" i="5"/>
  <c r="L610" i="5"/>
  <c r="M610" i="5"/>
  <c r="N610" i="5"/>
  <c r="O610" i="5"/>
  <c r="P610" i="5"/>
  <c r="Q610" i="5"/>
  <c r="R610" i="5"/>
  <c r="S610" i="5"/>
  <c r="T610" i="5"/>
  <c r="U610" i="5"/>
  <c r="V610" i="5"/>
  <c r="B611" i="5"/>
  <c r="C611" i="5"/>
  <c r="D611" i="5"/>
  <c r="E611" i="5"/>
  <c r="F611" i="5"/>
  <c r="G611" i="5"/>
  <c r="H611" i="5"/>
  <c r="I611" i="5"/>
  <c r="J611" i="5"/>
  <c r="K611" i="5"/>
  <c r="L611" i="5"/>
  <c r="M611" i="5"/>
  <c r="N611" i="5"/>
  <c r="O611" i="5"/>
  <c r="P611" i="5"/>
  <c r="Q611" i="5"/>
  <c r="R611" i="5"/>
  <c r="S611" i="5"/>
  <c r="T611" i="5"/>
  <c r="U611" i="5"/>
  <c r="V611" i="5"/>
  <c r="B612" i="5"/>
  <c r="C612" i="5"/>
  <c r="D612" i="5"/>
  <c r="E612" i="5"/>
  <c r="F612" i="5"/>
  <c r="G612" i="5"/>
  <c r="H612" i="5"/>
  <c r="I612" i="5"/>
  <c r="J612" i="5"/>
  <c r="K612" i="5"/>
  <c r="L612" i="5"/>
  <c r="M612" i="5"/>
  <c r="N612" i="5"/>
  <c r="O612" i="5"/>
  <c r="P612" i="5"/>
  <c r="Q612" i="5"/>
  <c r="R612" i="5"/>
  <c r="S612" i="5"/>
  <c r="T612" i="5"/>
  <c r="U612" i="5"/>
  <c r="V612" i="5"/>
  <c r="B613" i="5"/>
  <c r="C613" i="5"/>
  <c r="D613" i="5"/>
  <c r="E613" i="5"/>
  <c r="F613" i="5"/>
  <c r="G613" i="5"/>
  <c r="H613" i="5"/>
  <c r="I613" i="5"/>
  <c r="J613" i="5"/>
  <c r="K613" i="5"/>
  <c r="L613" i="5"/>
  <c r="M613" i="5"/>
  <c r="N613" i="5"/>
  <c r="O613" i="5"/>
  <c r="P613" i="5"/>
  <c r="Q613" i="5"/>
  <c r="R613" i="5"/>
  <c r="S613" i="5"/>
  <c r="T613" i="5"/>
  <c r="U613" i="5"/>
  <c r="V613" i="5"/>
  <c r="B614" i="5"/>
  <c r="C614" i="5"/>
  <c r="D614" i="5"/>
  <c r="E614" i="5"/>
  <c r="F614" i="5"/>
  <c r="G614" i="5"/>
  <c r="H614" i="5"/>
  <c r="I614" i="5"/>
  <c r="J614" i="5"/>
  <c r="K614" i="5"/>
  <c r="L614" i="5"/>
  <c r="M614" i="5"/>
  <c r="N614" i="5"/>
  <c r="O614" i="5"/>
  <c r="P614" i="5"/>
  <c r="Q614" i="5"/>
  <c r="R614" i="5"/>
  <c r="S614" i="5"/>
  <c r="T614" i="5"/>
  <c r="U614" i="5"/>
  <c r="V614" i="5"/>
  <c r="B615" i="5"/>
  <c r="C615" i="5"/>
  <c r="D615" i="5"/>
  <c r="E615" i="5"/>
  <c r="F615" i="5"/>
  <c r="G615" i="5"/>
  <c r="H615" i="5"/>
  <c r="I615" i="5"/>
  <c r="J615" i="5"/>
  <c r="K615" i="5"/>
  <c r="L615" i="5"/>
  <c r="M615" i="5"/>
  <c r="N615" i="5"/>
  <c r="O615" i="5"/>
  <c r="P615" i="5"/>
  <c r="Q615" i="5"/>
  <c r="R615" i="5"/>
  <c r="S615" i="5"/>
  <c r="T615" i="5"/>
  <c r="U615" i="5"/>
  <c r="V615" i="5"/>
  <c r="B616" i="5"/>
  <c r="C616" i="5"/>
  <c r="D616" i="5"/>
  <c r="E616" i="5"/>
  <c r="F616" i="5"/>
  <c r="G616" i="5"/>
  <c r="H616" i="5"/>
  <c r="I616" i="5"/>
  <c r="J616" i="5"/>
  <c r="K616" i="5"/>
  <c r="L616" i="5"/>
  <c r="M616" i="5"/>
  <c r="N616" i="5"/>
  <c r="O616" i="5"/>
  <c r="P616" i="5"/>
  <c r="Q616" i="5"/>
  <c r="R616" i="5"/>
  <c r="S616" i="5"/>
  <c r="T616" i="5"/>
  <c r="U616" i="5"/>
  <c r="V616" i="5"/>
  <c r="B617" i="5"/>
  <c r="C617" i="5"/>
  <c r="D617" i="5"/>
  <c r="E617" i="5"/>
  <c r="F617" i="5"/>
  <c r="G617" i="5"/>
  <c r="H617" i="5"/>
  <c r="I617" i="5"/>
  <c r="J617" i="5"/>
  <c r="K617" i="5"/>
  <c r="L617" i="5"/>
  <c r="M617" i="5"/>
  <c r="N617" i="5"/>
  <c r="O617" i="5"/>
  <c r="P617" i="5"/>
  <c r="Q617" i="5"/>
  <c r="R617" i="5"/>
  <c r="S617" i="5"/>
  <c r="T617" i="5"/>
  <c r="U617" i="5"/>
  <c r="V617" i="5"/>
  <c r="B618" i="5"/>
  <c r="C618" i="5"/>
  <c r="D618" i="5"/>
  <c r="E618" i="5"/>
  <c r="F618" i="5"/>
  <c r="G618" i="5"/>
  <c r="H618" i="5"/>
  <c r="I618" i="5"/>
  <c r="J618" i="5"/>
  <c r="K618" i="5"/>
  <c r="L618" i="5"/>
  <c r="M618" i="5"/>
  <c r="N618" i="5"/>
  <c r="O618" i="5"/>
  <c r="P618" i="5"/>
  <c r="Q618" i="5"/>
  <c r="R618" i="5"/>
  <c r="S618" i="5"/>
  <c r="T618" i="5"/>
  <c r="U618" i="5"/>
  <c r="V618" i="5"/>
  <c r="B619" i="5"/>
  <c r="C619" i="5"/>
  <c r="D619" i="5"/>
  <c r="E619" i="5"/>
  <c r="F619" i="5"/>
  <c r="G619" i="5"/>
  <c r="H619" i="5"/>
  <c r="I619" i="5"/>
  <c r="J619" i="5"/>
  <c r="K619" i="5"/>
  <c r="L619" i="5"/>
  <c r="M619" i="5"/>
  <c r="N619" i="5"/>
  <c r="O619" i="5"/>
  <c r="P619" i="5"/>
  <c r="Q619" i="5"/>
  <c r="R619" i="5"/>
  <c r="S619" i="5"/>
  <c r="T619" i="5"/>
  <c r="U619" i="5"/>
  <c r="V619" i="5"/>
  <c r="B620" i="5"/>
  <c r="C620" i="5"/>
  <c r="D620" i="5"/>
  <c r="E620" i="5"/>
  <c r="F620" i="5"/>
  <c r="G620" i="5"/>
  <c r="H620" i="5"/>
  <c r="I620" i="5"/>
  <c r="J620" i="5"/>
  <c r="K620" i="5"/>
  <c r="L620" i="5"/>
  <c r="M620" i="5"/>
  <c r="N620" i="5"/>
  <c r="O620" i="5"/>
  <c r="P620" i="5"/>
  <c r="Q620" i="5"/>
  <c r="R620" i="5"/>
  <c r="S620" i="5"/>
  <c r="T620" i="5"/>
  <c r="U620" i="5"/>
  <c r="V620" i="5"/>
  <c r="B621" i="5"/>
  <c r="C621" i="5"/>
  <c r="D621" i="5"/>
  <c r="E621" i="5"/>
  <c r="F621" i="5"/>
  <c r="G621" i="5"/>
  <c r="H621" i="5"/>
  <c r="I621" i="5"/>
  <c r="J621" i="5"/>
  <c r="K621" i="5"/>
  <c r="L621" i="5"/>
  <c r="M621" i="5"/>
  <c r="N621" i="5"/>
  <c r="O621" i="5"/>
  <c r="P621" i="5"/>
  <c r="Q621" i="5"/>
  <c r="R621" i="5"/>
  <c r="S621" i="5"/>
  <c r="T621" i="5"/>
  <c r="U621" i="5"/>
  <c r="V621" i="5"/>
  <c r="B622" i="5"/>
  <c r="C622" i="5"/>
  <c r="D622" i="5"/>
  <c r="E622" i="5"/>
  <c r="F622" i="5"/>
  <c r="G622" i="5"/>
  <c r="H622" i="5"/>
  <c r="I622" i="5"/>
  <c r="J622" i="5"/>
  <c r="K622" i="5"/>
  <c r="L622" i="5"/>
  <c r="M622" i="5"/>
  <c r="N622" i="5"/>
  <c r="O622" i="5"/>
  <c r="P622" i="5"/>
  <c r="Q622" i="5"/>
  <c r="R622" i="5"/>
  <c r="S622" i="5"/>
  <c r="T622" i="5"/>
  <c r="U622" i="5"/>
  <c r="V622" i="5"/>
  <c r="B623" i="5"/>
  <c r="C623" i="5"/>
  <c r="D623" i="5"/>
  <c r="E623" i="5"/>
  <c r="F623" i="5"/>
  <c r="G623" i="5"/>
  <c r="H623" i="5"/>
  <c r="I623" i="5"/>
  <c r="J623" i="5"/>
  <c r="K623" i="5"/>
  <c r="L623" i="5"/>
  <c r="M623" i="5"/>
  <c r="N623" i="5"/>
  <c r="O623" i="5"/>
  <c r="P623" i="5"/>
  <c r="Q623" i="5"/>
  <c r="R623" i="5"/>
  <c r="S623" i="5"/>
  <c r="T623" i="5"/>
  <c r="U623" i="5"/>
  <c r="V623" i="5"/>
  <c r="B624" i="5"/>
  <c r="C624" i="5"/>
  <c r="D624" i="5"/>
  <c r="E624" i="5"/>
  <c r="F624" i="5"/>
  <c r="G624" i="5"/>
  <c r="H624" i="5"/>
  <c r="I624" i="5"/>
  <c r="J624" i="5"/>
  <c r="K624" i="5"/>
  <c r="L624" i="5"/>
  <c r="M624" i="5"/>
  <c r="N624" i="5"/>
  <c r="O624" i="5"/>
  <c r="P624" i="5"/>
  <c r="Q624" i="5"/>
  <c r="R624" i="5"/>
  <c r="S624" i="5"/>
  <c r="T624" i="5"/>
  <c r="U624" i="5"/>
  <c r="V624" i="5"/>
  <c r="B625" i="5"/>
  <c r="C625" i="5"/>
  <c r="D625" i="5"/>
  <c r="E625" i="5"/>
  <c r="F625" i="5"/>
  <c r="G625" i="5"/>
  <c r="H625" i="5"/>
  <c r="I625" i="5"/>
  <c r="J625" i="5"/>
  <c r="K625" i="5"/>
  <c r="L625" i="5"/>
  <c r="M625" i="5"/>
  <c r="N625" i="5"/>
  <c r="O625" i="5"/>
  <c r="P625" i="5"/>
  <c r="Q625" i="5"/>
  <c r="R625" i="5"/>
  <c r="S625" i="5"/>
  <c r="T625" i="5"/>
  <c r="U625" i="5"/>
  <c r="V625" i="5"/>
  <c r="B626" i="5"/>
  <c r="C626" i="5"/>
  <c r="D626" i="5"/>
  <c r="E626" i="5"/>
  <c r="F626" i="5"/>
  <c r="G626" i="5"/>
  <c r="H626" i="5"/>
  <c r="I626" i="5"/>
  <c r="J626" i="5"/>
  <c r="K626" i="5"/>
  <c r="L626" i="5"/>
  <c r="M626" i="5"/>
  <c r="N626" i="5"/>
  <c r="O626" i="5"/>
  <c r="P626" i="5"/>
  <c r="Q626" i="5"/>
  <c r="R626" i="5"/>
  <c r="S626" i="5"/>
  <c r="T626" i="5"/>
  <c r="U626" i="5"/>
  <c r="V626" i="5"/>
  <c r="B627" i="5"/>
  <c r="C627" i="5"/>
  <c r="D627" i="5"/>
  <c r="E627" i="5"/>
  <c r="F627" i="5"/>
  <c r="G627" i="5"/>
  <c r="H627" i="5"/>
  <c r="I627" i="5"/>
  <c r="J627" i="5"/>
  <c r="K627" i="5"/>
  <c r="L627" i="5"/>
  <c r="M627" i="5"/>
  <c r="N627" i="5"/>
  <c r="O627" i="5"/>
  <c r="P627" i="5"/>
  <c r="Q627" i="5"/>
  <c r="R627" i="5"/>
  <c r="S627" i="5"/>
  <c r="T627" i="5"/>
  <c r="U627" i="5"/>
  <c r="V627" i="5"/>
  <c r="B628" i="5"/>
  <c r="C628" i="5"/>
  <c r="D628" i="5"/>
  <c r="E628" i="5"/>
  <c r="F628" i="5"/>
  <c r="G628" i="5"/>
  <c r="H628" i="5"/>
  <c r="I628" i="5"/>
  <c r="J628" i="5"/>
  <c r="K628" i="5"/>
  <c r="L628" i="5"/>
  <c r="M628" i="5"/>
  <c r="N628" i="5"/>
  <c r="O628" i="5"/>
  <c r="P628" i="5"/>
  <c r="Q628" i="5"/>
  <c r="R628" i="5"/>
  <c r="S628" i="5"/>
  <c r="T628" i="5"/>
  <c r="U628" i="5"/>
  <c r="V628" i="5"/>
  <c r="B629" i="5"/>
  <c r="C629" i="5"/>
  <c r="D629" i="5"/>
  <c r="E629" i="5"/>
  <c r="F629" i="5"/>
  <c r="G629" i="5"/>
  <c r="H629" i="5"/>
  <c r="I629" i="5"/>
  <c r="J629" i="5"/>
  <c r="K629" i="5"/>
  <c r="L629" i="5"/>
  <c r="M629" i="5"/>
  <c r="N629" i="5"/>
  <c r="O629" i="5"/>
  <c r="P629" i="5"/>
  <c r="Q629" i="5"/>
  <c r="R629" i="5"/>
  <c r="S629" i="5"/>
  <c r="T629" i="5"/>
  <c r="U629" i="5"/>
  <c r="V629" i="5"/>
  <c r="B630" i="5"/>
  <c r="C630" i="5"/>
  <c r="D630" i="5"/>
  <c r="E630" i="5"/>
  <c r="F630" i="5"/>
  <c r="G630" i="5"/>
  <c r="H630" i="5"/>
  <c r="I630" i="5"/>
  <c r="J630" i="5"/>
  <c r="K630" i="5"/>
  <c r="L630" i="5"/>
  <c r="M630" i="5"/>
  <c r="N630" i="5"/>
  <c r="O630" i="5"/>
  <c r="P630" i="5"/>
  <c r="Q630" i="5"/>
  <c r="R630" i="5"/>
  <c r="S630" i="5"/>
  <c r="T630" i="5"/>
  <c r="U630" i="5"/>
  <c r="V630" i="5"/>
  <c r="B631" i="5"/>
  <c r="C631" i="5"/>
  <c r="D631" i="5"/>
  <c r="E631" i="5"/>
  <c r="F631" i="5"/>
  <c r="G631" i="5"/>
  <c r="H631" i="5"/>
  <c r="I631" i="5"/>
  <c r="J631" i="5"/>
  <c r="K631" i="5"/>
  <c r="L631" i="5"/>
  <c r="M631" i="5"/>
  <c r="N631" i="5"/>
  <c r="O631" i="5"/>
  <c r="P631" i="5"/>
  <c r="Q631" i="5"/>
  <c r="R631" i="5"/>
  <c r="S631" i="5"/>
  <c r="T631" i="5"/>
  <c r="U631" i="5"/>
  <c r="V631" i="5"/>
  <c r="B632" i="5"/>
  <c r="C632" i="5"/>
  <c r="D632" i="5"/>
  <c r="E632" i="5"/>
  <c r="F632" i="5"/>
  <c r="G632" i="5"/>
  <c r="H632" i="5"/>
  <c r="I632" i="5"/>
  <c r="J632" i="5"/>
  <c r="K632" i="5"/>
  <c r="L632" i="5"/>
  <c r="M632" i="5"/>
  <c r="N632" i="5"/>
  <c r="O632" i="5"/>
  <c r="P632" i="5"/>
  <c r="Q632" i="5"/>
  <c r="R632" i="5"/>
  <c r="S632" i="5"/>
  <c r="T632" i="5"/>
  <c r="U632" i="5"/>
  <c r="V632" i="5"/>
  <c r="B633" i="5"/>
  <c r="C633" i="5"/>
  <c r="D633" i="5"/>
  <c r="E633" i="5"/>
  <c r="F633" i="5"/>
  <c r="G633" i="5"/>
  <c r="H633" i="5"/>
  <c r="I633" i="5"/>
  <c r="J633" i="5"/>
  <c r="K633" i="5"/>
  <c r="L633" i="5"/>
  <c r="M633" i="5"/>
  <c r="N633" i="5"/>
  <c r="O633" i="5"/>
  <c r="P633" i="5"/>
  <c r="Q633" i="5"/>
  <c r="R633" i="5"/>
  <c r="S633" i="5"/>
  <c r="T633" i="5"/>
  <c r="U633" i="5"/>
  <c r="V633" i="5"/>
  <c r="B634" i="5"/>
  <c r="C634" i="5"/>
  <c r="D634" i="5"/>
  <c r="E634" i="5"/>
  <c r="F634" i="5"/>
  <c r="G634" i="5"/>
  <c r="H634" i="5"/>
  <c r="I634" i="5"/>
  <c r="J634" i="5"/>
  <c r="K634" i="5"/>
  <c r="L634" i="5"/>
  <c r="M634" i="5"/>
  <c r="N634" i="5"/>
  <c r="O634" i="5"/>
  <c r="P634" i="5"/>
  <c r="Q634" i="5"/>
  <c r="R634" i="5"/>
  <c r="S634" i="5"/>
  <c r="T634" i="5"/>
  <c r="U634" i="5"/>
  <c r="V634" i="5"/>
  <c r="B635" i="5"/>
  <c r="C635" i="5"/>
  <c r="D635" i="5"/>
  <c r="E635" i="5"/>
  <c r="F635" i="5"/>
  <c r="G635" i="5"/>
  <c r="H635" i="5"/>
  <c r="I635" i="5"/>
  <c r="J635" i="5"/>
  <c r="K635" i="5"/>
  <c r="L635" i="5"/>
  <c r="M635" i="5"/>
  <c r="N635" i="5"/>
  <c r="O635" i="5"/>
  <c r="P635" i="5"/>
  <c r="Q635" i="5"/>
  <c r="R635" i="5"/>
  <c r="S635" i="5"/>
  <c r="T635" i="5"/>
  <c r="U635" i="5"/>
  <c r="V635" i="5"/>
  <c r="B636" i="5"/>
  <c r="C636" i="5"/>
  <c r="D636" i="5"/>
  <c r="E636" i="5"/>
  <c r="F636" i="5"/>
  <c r="G636" i="5"/>
  <c r="H636" i="5"/>
  <c r="I636" i="5"/>
  <c r="J636" i="5"/>
  <c r="K636" i="5"/>
  <c r="L636" i="5"/>
  <c r="M636" i="5"/>
  <c r="N636" i="5"/>
  <c r="O636" i="5"/>
  <c r="P636" i="5"/>
  <c r="Q636" i="5"/>
  <c r="R636" i="5"/>
  <c r="S636" i="5"/>
  <c r="T636" i="5"/>
  <c r="U636" i="5"/>
  <c r="V636" i="5"/>
  <c r="B637" i="5"/>
  <c r="C637" i="5"/>
  <c r="D637" i="5"/>
  <c r="E637" i="5"/>
  <c r="F637" i="5"/>
  <c r="G637" i="5"/>
  <c r="H637" i="5"/>
  <c r="I637" i="5"/>
  <c r="J637" i="5"/>
  <c r="K637" i="5"/>
  <c r="L637" i="5"/>
  <c r="M637" i="5"/>
  <c r="N637" i="5"/>
  <c r="O637" i="5"/>
  <c r="P637" i="5"/>
  <c r="Q637" i="5"/>
  <c r="R637" i="5"/>
  <c r="S637" i="5"/>
  <c r="T637" i="5"/>
  <c r="U637" i="5"/>
  <c r="V637" i="5"/>
  <c r="B638" i="5"/>
  <c r="C638" i="5"/>
  <c r="D638" i="5"/>
  <c r="E638" i="5"/>
  <c r="F638" i="5"/>
  <c r="G638" i="5"/>
  <c r="H638" i="5"/>
  <c r="I638" i="5"/>
  <c r="J638" i="5"/>
  <c r="K638" i="5"/>
  <c r="L638" i="5"/>
  <c r="M638" i="5"/>
  <c r="N638" i="5"/>
  <c r="O638" i="5"/>
  <c r="P638" i="5"/>
  <c r="Q638" i="5"/>
  <c r="R638" i="5"/>
  <c r="S638" i="5"/>
  <c r="T638" i="5"/>
  <c r="U638" i="5"/>
  <c r="V638" i="5"/>
  <c r="B639" i="5"/>
  <c r="C639" i="5"/>
  <c r="D639" i="5"/>
  <c r="E639" i="5"/>
  <c r="F639" i="5"/>
  <c r="G639" i="5"/>
  <c r="H639" i="5"/>
  <c r="I639" i="5"/>
  <c r="J639" i="5"/>
  <c r="K639" i="5"/>
  <c r="L639" i="5"/>
  <c r="M639" i="5"/>
  <c r="N639" i="5"/>
  <c r="O639" i="5"/>
  <c r="P639" i="5"/>
  <c r="Q639" i="5"/>
  <c r="R639" i="5"/>
  <c r="S639" i="5"/>
  <c r="T639" i="5"/>
  <c r="U639" i="5"/>
  <c r="V639" i="5"/>
  <c r="B640" i="5"/>
  <c r="C640" i="5"/>
  <c r="D640" i="5"/>
  <c r="E640" i="5"/>
  <c r="F640" i="5"/>
  <c r="G640" i="5"/>
  <c r="H640" i="5"/>
  <c r="I640" i="5"/>
  <c r="J640" i="5"/>
  <c r="K640" i="5"/>
  <c r="L640" i="5"/>
  <c r="M640" i="5"/>
  <c r="N640" i="5"/>
  <c r="O640" i="5"/>
  <c r="P640" i="5"/>
  <c r="Q640" i="5"/>
  <c r="R640" i="5"/>
  <c r="S640" i="5"/>
  <c r="T640" i="5"/>
  <c r="U640" i="5"/>
  <c r="V640" i="5"/>
  <c r="B641" i="5"/>
  <c r="C641" i="5"/>
  <c r="D641" i="5"/>
  <c r="E641" i="5"/>
  <c r="F641" i="5"/>
  <c r="G641" i="5"/>
  <c r="H641" i="5"/>
  <c r="I641" i="5"/>
  <c r="J641" i="5"/>
  <c r="K641" i="5"/>
  <c r="L641" i="5"/>
  <c r="M641" i="5"/>
  <c r="N641" i="5"/>
  <c r="O641" i="5"/>
  <c r="P641" i="5"/>
  <c r="Q641" i="5"/>
  <c r="R641" i="5"/>
  <c r="S641" i="5"/>
  <c r="T641" i="5"/>
  <c r="U641" i="5"/>
  <c r="V641" i="5"/>
  <c r="B642" i="5"/>
  <c r="C642" i="5"/>
  <c r="D642" i="5"/>
  <c r="E642" i="5"/>
  <c r="F642" i="5"/>
  <c r="G642" i="5"/>
  <c r="H642" i="5"/>
  <c r="I642" i="5"/>
  <c r="J642" i="5"/>
  <c r="K642" i="5"/>
  <c r="L642" i="5"/>
  <c r="M642" i="5"/>
  <c r="N642" i="5"/>
  <c r="O642" i="5"/>
  <c r="P642" i="5"/>
  <c r="Q642" i="5"/>
  <c r="R642" i="5"/>
  <c r="S642" i="5"/>
  <c r="T642" i="5"/>
  <c r="U642" i="5"/>
  <c r="V642" i="5"/>
  <c r="B643" i="5"/>
  <c r="C643" i="5"/>
  <c r="D643" i="5"/>
  <c r="E643" i="5"/>
  <c r="F643" i="5"/>
  <c r="G643" i="5"/>
  <c r="H643" i="5"/>
  <c r="I643" i="5"/>
  <c r="J643" i="5"/>
  <c r="K643" i="5"/>
  <c r="L643" i="5"/>
  <c r="M643" i="5"/>
  <c r="N643" i="5"/>
  <c r="O643" i="5"/>
  <c r="P643" i="5"/>
  <c r="Q643" i="5"/>
  <c r="R643" i="5"/>
  <c r="S643" i="5"/>
  <c r="T643" i="5"/>
  <c r="U643" i="5"/>
  <c r="V643" i="5"/>
  <c r="B644" i="5"/>
  <c r="C644" i="5"/>
  <c r="D644" i="5"/>
  <c r="E644" i="5"/>
  <c r="F644" i="5"/>
  <c r="G644" i="5"/>
  <c r="H644" i="5"/>
  <c r="I644" i="5"/>
  <c r="J644" i="5"/>
  <c r="K644" i="5"/>
  <c r="L644" i="5"/>
  <c r="M644" i="5"/>
  <c r="N644" i="5"/>
  <c r="O644" i="5"/>
  <c r="P644" i="5"/>
  <c r="Q644" i="5"/>
  <c r="R644" i="5"/>
  <c r="S644" i="5"/>
  <c r="T644" i="5"/>
  <c r="U644" i="5"/>
  <c r="V644" i="5"/>
  <c r="B645" i="5"/>
  <c r="C645" i="5"/>
  <c r="D645" i="5"/>
  <c r="E645" i="5"/>
  <c r="F645" i="5"/>
  <c r="G645" i="5"/>
  <c r="H645" i="5"/>
  <c r="I645" i="5"/>
  <c r="J645" i="5"/>
  <c r="K645" i="5"/>
  <c r="L645" i="5"/>
  <c r="M645" i="5"/>
  <c r="N645" i="5"/>
  <c r="O645" i="5"/>
  <c r="P645" i="5"/>
  <c r="Q645" i="5"/>
  <c r="R645" i="5"/>
  <c r="S645" i="5"/>
  <c r="T645" i="5"/>
  <c r="U645" i="5"/>
  <c r="V645" i="5"/>
  <c r="B646" i="5"/>
  <c r="C646" i="5"/>
  <c r="D646" i="5"/>
  <c r="E646" i="5"/>
  <c r="F646" i="5"/>
  <c r="G646" i="5"/>
  <c r="H646" i="5"/>
  <c r="I646" i="5"/>
  <c r="J646" i="5"/>
  <c r="K646" i="5"/>
  <c r="L646" i="5"/>
  <c r="M646" i="5"/>
  <c r="N646" i="5"/>
  <c r="O646" i="5"/>
  <c r="P646" i="5"/>
  <c r="Q646" i="5"/>
  <c r="R646" i="5"/>
  <c r="S646" i="5"/>
  <c r="T646" i="5"/>
  <c r="U646" i="5"/>
  <c r="V646" i="5"/>
  <c r="B647" i="5"/>
  <c r="C647" i="5"/>
  <c r="D647" i="5"/>
  <c r="E647" i="5"/>
  <c r="F647" i="5"/>
  <c r="G647" i="5"/>
  <c r="H647" i="5"/>
  <c r="I647" i="5"/>
  <c r="J647" i="5"/>
  <c r="K647" i="5"/>
  <c r="L647" i="5"/>
  <c r="M647" i="5"/>
  <c r="N647" i="5"/>
  <c r="O647" i="5"/>
  <c r="P647" i="5"/>
  <c r="Q647" i="5"/>
  <c r="R647" i="5"/>
  <c r="S647" i="5"/>
  <c r="T647" i="5"/>
  <c r="U647" i="5"/>
  <c r="V647" i="5"/>
  <c r="B648" i="5"/>
  <c r="C648" i="5"/>
  <c r="D648" i="5"/>
  <c r="E648" i="5"/>
  <c r="F648" i="5"/>
  <c r="G648" i="5"/>
  <c r="H648" i="5"/>
  <c r="I648" i="5"/>
  <c r="J648" i="5"/>
  <c r="K648" i="5"/>
  <c r="L648" i="5"/>
  <c r="M648" i="5"/>
  <c r="N648" i="5"/>
  <c r="O648" i="5"/>
  <c r="P648" i="5"/>
  <c r="Q648" i="5"/>
  <c r="R648" i="5"/>
  <c r="S648" i="5"/>
  <c r="T648" i="5"/>
  <c r="U648" i="5"/>
  <c r="V648" i="5"/>
  <c r="B649" i="5"/>
  <c r="C649" i="5"/>
  <c r="D649" i="5"/>
  <c r="E649" i="5"/>
  <c r="F649" i="5"/>
  <c r="G649" i="5"/>
  <c r="H649" i="5"/>
  <c r="I649" i="5"/>
  <c r="J649" i="5"/>
  <c r="K649" i="5"/>
  <c r="L649" i="5"/>
  <c r="M649" i="5"/>
  <c r="N649" i="5"/>
  <c r="O649" i="5"/>
  <c r="P649" i="5"/>
  <c r="Q649" i="5"/>
  <c r="R649" i="5"/>
  <c r="S649" i="5"/>
  <c r="T649" i="5"/>
  <c r="U649" i="5"/>
  <c r="V649" i="5"/>
  <c r="B650" i="5"/>
  <c r="C650" i="5"/>
  <c r="D650" i="5"/>
  <c r="E650" i="5"/>
  <c r="F650" i="5"/>
  <c r="G650" i="5"/>
  <c r="H650" i="5"/>
  <c r="I650" i="5"/>
  <c r="J650" i="5"/>
  <c r="K650" i="5"/>
  <c r="L650" i="5"/>
  <c r="M650" i="5"/>
  <c r="N650" i="5"/>
  <c r="O650" i="5"/>
  <c r="P650" i="5"/>
  <c r="Q650" i="5"/>
  <c r="R650" i="5"/>
  <c r="S650" i="5"/>
  <c r="T650" i="5"/>
  <c r="U650" i="5"/>
  <c r="V650" i="5"/>
  <c r="B651" i="5"/>
  <c r="C651" i="5"/>
  <c r="D651" i="5"/>
  <c r="E651" i="5"/>
  <c r="F651" i="5"/>
  <c r="G651" i="5"/>
  <c r="H651" i="5"/>
  <c r="I651" i="5"/>
  <c r="J651" i="5"/>
  <c r="K651" i="5"/>
  <c r="L651" i="5"/>
  <c r="M651" i="5"/>
  <c r="N651" i="5"/>
  <c r="O651" i="5"/>
  <c r="P651" i="5"/>
  <c r="Q651" i="5"/>
  <c r="R651" i="5"/>
  <c r="S651" i="5"/>
  <c r="T651" i="5"/>
  <c r="U651" i="5"/>
  <c r="V651" i="5"/>
  <c r="B652" i="5"/>
  <c r="C652" i="5"/>
  <c r="D652" i="5"/>
  <c r="E652" i="5"/>
  <c r="F652" i="5"/>
  <c r="G652" i="5"/>
  <c r="H652" i="5"/>
  <c r="I652" i="5"/>
  <c r="J652" i="5"/>
  <c r="K652" i="5"/>
  <c r="L652" i="5"/>
  <c r="M652" i="5"/>
  <c r="N652" i="5"/>
  <c r="O652" i="5"/>
  <c r="P652" i="5"/>
  <c r="Q652" i="5"/>
  <c r="R652" i="5"/>
  <c r="S652" i="5"/>
  <c r="T652" i="5"/>
  <c r="U652" i="5"/>
  <c r="V652" i="5"/>
  <c r="B653" i="5"/>
  <c r="C653" i="5"/>
  <c r="D653" i="5"/>
  <c r="E653" i="5"/>
  <c r="F653" i="5"/>
  <c r="G653" i="5"/>
  <c r="H653" i="5"/>
  <c r="I653" i="5"/>
  <c r="J653" i="5"/>
  <c r="K653" i="5"/>
  <c r="L653" i="5"/>
  <c r="M653" i="5"/>
  <c r="N653" i="5"/>
  <c r="O653" i="5"/>
  <c r="P653" i="5"/>
  <c r="Q653" i="5"/>
  <c r="R653" i="5"/>
  <c r="S653" i="5"/>
  <c r="T653" i="5"/>
  <c r="U653" i="5"/>
  <c r="V653" i="5"/>
  <c r="B654" i="5"/>
  <c r="C654" i="5"/>
  <c r="D654" i="5"/>
  <c r="E654" i="5"/>
  <c r="F654" i="5"/>
  <c r="G654" i="5"/>
  <c r="H654" i="5"/>
  <c r="I654" i="5"/>
  <c r="J654" i="5"/>
  <c r="K654" i="5"/>
  <c r="L654" i="5"/>
  <c r="M654" i="5"/>
  <c r="N654" i="5"/>
  <c r="O654" i="5"/>
  <c r="P654" i="5"/>
  <c r="Q654" i="5"/>
  <c r="R654" i="5"/>
  <c r="S654" i="5"/>
  <c r="T654" i="5"/>
  <c r="U654" i="5"/>
  <c r="V654" i="5"/>
  <c r="B655" i="5"/>
  <c r="C655" i="5"/>
  <c r="D655" i="5"/>
  <c r="E655" i="5"/>
  <c r="F655" i="5"/>
  <c r="G655" i="5"/>
  <c r="H655" i="5"/>
  <c r="I655" i="5"/>
  <c r="J655" i="5"/>
  <c r="K655" i="5"/>
  <c r="L655" i="5"/>
  <c r="M655" i="5"/>
  <c r="N655" i="5"/>
  <c r="O655" i="5"/>
  <c r="P655" i="5"/>
  <c r="Q655" i="5"/>
  <c r="R655" i="5"/>
  <c r="S655" i="5"/>
  <c r="T655" i="5"/>
  <c r="U655" i="5"/>
  <c r="V655" i="5"/>
  <c r="B656" i="5"/>
  <c r="C656" i="5"/>
  <c r="D656" i="5"/>
  <c r="E656" i="5"/>
  <c r="F656" i="5"/>
  <c r="G656" i="5"/>
  <c r="H656" i="5"/>
  <c r="I656" i="5"/>
  <c r="J656" i="5"/>
  <c r="K656" i="5"/>
  <c r="L656" i="5"/>
  <c r="M656" i="5"/>
  <c r="N656" i="5"/>
  <c r="O656" i="5"/>
  <c r="P656" i="5"/>
  <c r="Q656" i="5"/>
  <c r="R656" i="5"/>
  <c r="S656" i="5"/>
  <c r="T656" i="5"/>
  <c r="U656" i="5"/>
  <c r="V656" i="5"/>
  <c r="B657" i="5"/>
  <c r="C657" i="5"/>
  <c r="D657" i="5"/>
  <c r="E657" i="5"/>
  <c r="F657" i="5"/>
  <c r="G657" i="5"/>
  <c r="H657" i="5"/>
  <c r="I657" i="5"/>
  <c r="J657" i="5"/>
  <c r="K657" i="5"/>
  <c r="L657" i="5"/>
  <c r="M657" i="5"/>
  <c r="N657" i="5"/>
  <c r="O657" i="5"/>
  <c r="P657" i="5"/>
  <c r="Q657" i="5"/>
  <c r="R657" i="5"/>
  <c r="S657" i="5"/>
  <c r="T657" i="5"/>
  <c r="U657" i="5"/>
  <c r="V657" i="5"/>
  <c r="B658" i="5"/>
  <c r="C658" i="5"/>
  <c r="D658" i="5"/>
  <c r="E658" i="5"/>
  <c r="F658" i="5"/>
  <c r="G658" i="5"/>
  <c r="H658" i="5"/>
  <c r="I658" i="5"/>
  <c r="J658" i="5"/>
  <c r="K658" i="5"/>
  <c r="L658" i="5"/>
  <c r="M658" i="5"/>
  <c r="N658" i="5"/>
  <c r="O658" i="5"/>
  <c r="P658" i="5"/>
  <c r="Q658" i="5"/>
  <c r="R658" i="5"/>
  <c r="S658" i="5"/>
  <c r="T658" i="5"/>
  <c r="U658" i="5"/>
  <c r="V658" i="5"/>
  <c r="B659" i="5"/>
  <c r="C659" i="5"/>
  <c r="D659" i="5"/>
  <c r="E659" i="5"/>
  <c r="F659" i="5"/>
  <c r="G659" i="5"/>
  <c r="H659" i="5"/>
  <c r="I659" i="5"/>
  <c r="J659" i="5"/>
  <c r="K659" i="5"/>
  <c r="L659" i="5"/>
  <c r="M659" i="5"/>
  <c r="N659" i="5"/>
  <c r="O659" i="5"/>
  <c r="P659" i="5"/>
  <c r="Q659" i="5"/>
  <c r="R659" i="5"/>
  <c r="S659" i="5"/>
  <c r="T659" i="5"/>
  <c r="U659" i="5"/>
  <c r="V659" i="5"/>
  <c r="B660" i="5"/>
  <c r="C660" i="5"/>
  <c r="D660" i="5"/>
  <c r="E660" i="5"/>
  <c r="F660" i="5"/>
  <c r="G660" i="5"/>
  <c r="H660" i="5"/>
  <c r="I660" i="5"/>
  <c r="J660" i="5"/>
  <c r="K660" i="5"/>
  <c r="L660" i="5"/>
  <c r="M660" i="5"/>
  <c r="N660" i="5"/>
  <c r="O660" i="5"/>
  <c r="P660" i="5"/>
  <c r="Q660" i="5"/>
  <c r="R660" i="5"/>
  <c r="S660" i="5"/>
  <c r="T660" i="5"/>
  <c r="U660" i="5"/>
  <c r="V660" i="5"/>
  <c r="B661" i="5"/>
  <c r="C661" i="5"/>
  <c r="D661" i="5"/>
  <c r="E661" i="5"/>
  <c r="F661" i="5"/>
  <c r="G661" i="5"/>
  <c r="H661" i="5"/>
  <c r="I661" i="5"/>
  <c r="J661" i="5"/>
  <c r="K661" i="5"/>
  <c r="L661" i="5"/>
  <c r="M661" i="5"/>
  <c r="N661" i="5"/>
  <c r="O661" i="5"/>
  <c r="P661" i="5"/>
  <c r="Q661" i="5"/>
  <c r="R661" i="5"/>
  <c r="S661" i="5"/>
  <c r="T661" i="5"/>
  <c r="U661" i="5"/>
  <c r="V661" i="5"/>
  <c r="B662" i="5"/>
  <c r="C662" i="5"/>
  <c r="D662" i="5"/>
  <c r="E662" i="5"/>
  <c r="F662" i="5"/>
  <c r="G662" i="5"/>
  <c r="H662" i="5"/>
  <c r="I662" i="5"/>
  <c r="J662" i="5"/>
  <c r="K662" i="5"/>
  <c r="L662" i="5"/>
  <c r="M662" i="5"/>
  <c r="N662" i="5"/>
  <c r="O662" i="5"/>
  <c r="P662" i="5"/>
  <c r="Q662" i="5"/>
  <c r="R662" i="5"/>
  <c r="S662" i="5"/>
  <c r="T662" i="5"/>
  <c r="U662" i="5"/>
  <c r="V662" i="5"/>
  <c r="B663" i="5"/>
  <c r="C663" i="5"/>
  <c r="D663" i="5"/>
  <c r="E663" i="5"/>
  <c r="F663" i="5"/>
  <c r="G663" i="5"/>
  <c r="H663" i="5"/>
  <c r="I663" i="5"/>
  <c r="J663" i="5"/>
  <c r="K663" i="5"/>
  <c r="L663" i="5"/>
  <c r="M663" i="5"/>
  <c r="N663" i="5"/>
  <c r="O663" i="5"/>
  <c r="P663" i="5"/>
  <c r="Q663" i="5"/>
  <c r="R663" i="5"/>
  <c r="S663" i="5"/>
  <c r="T663" i="5"/>
  <c r="U663" i="5"/>
  <c r="V663" i="5"/>
  <c r="B664" i="5"/>
  <c r="C664" i="5"/>
  <c r="D664" i="5"/>
  <c r="E664" i="5"/>
  <c r="F664" i="5"/>
  <c r="G664" i="5"/>
  <c r="H664" i="5"/>
  <c r="I664" i="5"/>
  <c r="J664" i="5"/>
  <c r="K664" i="5"/>
  <c r="L664" i="5"/>
  <c r="M664" i="5"/>
  <c r="N664" i="5"/>
  <c r="O664" i="5"/>
  <c r="P664" i="5"/>
  <c r="Q664" i="5"/>
  <c r="R664" i="5"/>
  <c r="S664" i="5"/>
  <c r="T664" i="5"/>
  <c r="U664" i="5"/>
  <c r="V664" i="5"/>
  <c r="B665" i="5"/>
  <c r="C665" i="5"/>
  <c r="D665" i="5"/>
  <c r="E665" i="5"/>
  <c r="F665" i="5"/>
  <c r="G665" i="5"/>
  <c r="H665" i="5"/>
  <c r="I665" i="5"/>
  <c r="J665" i="5"/>
  <c r="K665" i="5"/>
  <c r="L665" i="5"/>
  <c r="M665" i="5"/>
  <c r="N665" i="5"/>
  <c r="O665" i="5"/>
  <c r="P665" i="5"/>
  <c r="Q665" i="5"/>
  <c r="R665" i="5"/>
  <c r="S665" i="5"/>
  <c r="T665" i="5"/>
  <c r="U665" i="5"/>
  <c r="V665" i="5"/>
  <c r="B666" i="5"/>
  <c r="C666" i="5"/>
  <c r="D666" i="5"/>
  <c r="E666" i="5"/>
  <c r="F666" i="5"/>
  <c r="G666" i="5"/>
  <c r="H666" i="5"/>
  <c r="I666" i="5"/>
  <c r="J666" i="5"/>
  <c r="K666" i="5"/>
  <c r="L666" i="5"/>
  <c r="M666" i="5"/>
  <c r="N666" i="5"/>
  <c r="O666" i="5"/>
  <c r="P666" i="5"/>
  <c r="Q666" i="5"/>
  <c r="R666" i="5"/>
  <c r="S666" i="5"/>
  <c r="T666" i="5"/>
  <c r="U666" i="5"/>
  <c r="V666" i="5"/>
  <c r="B667" i="5"/>
  <c r="C667" i="5"/>
  <c r="D667" i="5"/>
  <c r="E667" i="5"/>
  <c r="F667" i="5"/>
  <c r="G667" i="5"/>
  <c r="H667" i="5"/>
  <c r="I667" i="5"/>
  <c r="J667" i="5"/>
  <c r="K667" i="5"/>
  <c r="L667" i="5"/>
  <c r="M667" i="5"/>
  <c r="N667" i="5"/>
  <c r="O667" i="5"/>
  <c r="P667" i="5"/>
  <c r="Q667" i="5"/>
  <c r="R667" i="5"/>
  <c r="S667" i="5"/>
  <c r="T667" i="5"/>
  <c r="U667" i="5"/>
  <c r="V667" i="5"/>
  <c r="B668" i="5"/>
  <c r="C668" i="5"/>
  <c r="D668" i="5"/>
  <c r="E668" i="5"/>
  <c r="F668" i="5"/>
  <c r="G668" i="5"/>
  <c r="H668" i="5"/>
  <c r="I668" i="5"/>
  <c r="J668" i="5"/>
  <c r="K668" i="5"/>
  <c r="L668" i="5"/>
  <c r="M668" i="5"/>
  <c r="N668" i="5"/>
  <c r="O668" i="5"/>
  <c r="P668" i="5"/>
  <c r="Q668" i="5"/>
  <c r="R668" i="5"/>
  <c r="S668" i="5"/>
  <c r="T668" i="5"/>
  <c r="U668" i="5"/>
  <c r="V668" i="5"/>
  <c r="B669" i="5"/>
  <c r="C669" i="5"/>
  <c r="D669" i="5"/>
  <c r="E669" i="5"/>
  <c r="F669" i="5"/>
  <c r="G669" i="5"/>
  <c r="H669" i="5"/>
  <c r="I669" i="5"/>
  <c r="J669" i="5"/>
  <c r="K669" i="5"/>
  <c r="L669" i="5"/>
  <c r="M669" i="5"/>
  <c r="N669" i="5"/>
  <c r="O669" i="5"/>
  <c r="P669" i="5"/>
  <c r="Q669" i="5"/>
  <c r="R669" i="5"/>
  <c r="S669" i="5"/>
  <c r="T669" i="5"/>
  <c r="U669" i="5"/>
  <c r="V669" i="5"/>
  <c r="B670" i="5"/>
  <c r="C670" i="5"/>
  <c r="D670" i="5"/>
  <c r="E670" i="5"/>
  <c r="F670" i="5"/>
  <c r="G670" i="5"/>
  <c r="H670" i="5"/>
  <c r="I670" i="5"/>
  <c r="J670" i="5"/>
  <c r="K670" i="5"/>
  <c r="L670" i="5"/>
  <c r="M670" i="5"/>
  <c r="N670" i="5"/>
  <c r="O670" i="5"/>
  <c r="P670" i="5"/>
  <c r="Q670" i="5"/>
  <c r="R670" i="5"/>
  <c r="S670" i="5"/>
  <c r="T670" i="5"/>
  <c r="U670" i="5"/>
  <c r="V670" i="5"/>
  <c r="B671" i="5"/>
  <c r="C671" i="5"/>
  <c r="D671" i="5"/>
  <c r="E671" i="5"/>
  <c r="F671" i="5"/>
  <c r="G671" i="5"/>
  <c r="H671" i="5"/>
  <c r="I671" i="5"/>
  <c r="J671" i="5"/>
  <c r="K671" i="5"/>
  <c r="L671" i="5"/>
  <c r="M671" i="5"/>
  <c r="N671" i="5"/>
  <c r="O671" i="5"/>
  <c r="P671" i="5"/>
  <c r="Q671" i="5"/>
  <c r="R671" i="5"/>
  <c r="S671" i="5"/>
  <c r="T671" i="5"/>
  <c r="U671" i="5"/>
  <c r="V671" i="5"/>
  <c r="B672" i="5"/>
  <c r="C672" i="5"/>
  <c r="D672" i="5"/>
  <c r="E672" i="5"/>
  <c r="F672" i="5"/>
  <c r="G672" i="5"/>
  <c r="H672" i="5"/>
  <c r="I672" i="5"/>
  <c r="J672" i="5"/>
  <c r="K672" i="5"/>
  <c r="L672" i="5"/>
  <c r="M672" i="5"/>
  <c r="N672" i="5"/>
  <c r="O672" i="5"/>
  <c r="P672" i="5"/>
  <c r="Q672" i="5"/>
  <c r="R672" i="5"/>
  <c r="S672" i="5"/>
  <c r="T672" i="5"/>
  <c r="U672" i="5"/>
  <c r="V672" i="5"/>
  <c r="B673" i="5"/>
  <c r="C673" i="5"/>
  <c r="D673" i="5"/>
  <c r="E673" i="5"/>
  <c r="F673" i="5"/>
  <c r="G673" i="5"/>
  <c r="H673" i="5"/>
  <c r="I673" i="5"/>
  <c r="J673" i="5"/>
  <c r="K673" i="5"/>
  <c r="L673" i="5"/>
  <c r="M673" i="5"/>
  <c r="N673" i="5"/>
  <c r="O673" i="5"/>
  <c r="P673" i="5"/>
  <c r="Q673" i="5"/>
  <c r="R673" i="5"/>
  <c r="S673" i="5"/>
  <c r="T673" i="5"/>
  <c r="U673" i="5"/>
  <c r="V673" i="5"/>
  <c r="B674" i="5"/>
  <c r="C674" i="5"/>
  <c r="D674" i="5"/>
  <c r="E674" i="5"/>
  <c r="F674" i="5"/>
  <c r="G674" i="5"/>
  <c r="H674" i="5"/>
  <c r="I674" i="5"/>
  <c r="J674" i="5"/>
  <c r="K674" i="5"/>
  <c r="L674" i="5"/>
  <c r="M674" i="5"/>
  <c r="N674" i="5"/>
  <c r="O674" i="5"/>
  <c r="P674" i="5"/>
  <c r="Q674" i="5"/>
  <c r="R674" i="5"/>
  <c r="S674" i="5"/>
  <c r="T674" i="5"/>
  <c r="U674" i="5"/>
  <c r="V674" i="5"/>
  <c r="B675" i="5"/>
  <c r="C675" i="5"/>
  <c r="D675" i="5"/>
  <c r="E675" i="5"/>
  <c r="F675" i="5"/>
  <c r="G675" i="5"/>
  <c r="H675" i="5"/>
  <c r="I675" i="5"/>
  <c r="J675" i="5"/>
  <c r="K675" i="5"/>
  <c r="L675" i="5"/>
  <c r="M675" i="5"/>
  <c r="N675" i="5"/>
  <c r="O675" i="5"/>
  <c r="P675" i="5"/>
  <c r="Q675" i="5"/>
  <c r="R675" i="5"/>
  <c r="S675" i="5"/>
  <c r="T675" i="5"/>
  <c r="U675" i="5"/>
  <c r="V675" i="5"/>
  <c r="B676" i="5"/>
  <c r="C676" i="5"/>
  <c r="D676" i="5"/>
  <c r="E676" i="5"/>
  <c r="F676" i="5"/>
  <c r="G676" i="5"/>
  <c r="H676" i="5"/>
  <c r="I676" i="5"/>
  <c r="J676" i="5"/>
  <c r="K676" i="5"/>
  <c r="L676" i="5"/>
  <c r="M676" i="5"/>
  <c r="N676" i="5"/>
  <c r="O676" i="5"/>
  <c r="P676" i="5"/>
  <c r="Q676" i="5"/>
  <c r="R676" i="5"/>
  <c r="S676" i="5"/>
  <c r="T676" i="5"/>
  <c r="U676" i="5"/>
  <c r="V676" i="5"/>
  <c r="B677" i="5"/>
  <c r="C677" i="5"/>
  <c r="D677" i="5"/>
  <c r="E677" i="5"/>
  <c r="F677" i="5"/>
  <c r="G677" i="5"/>
  <c r="H677" i="5"/>
  <c r="I677" i="5"/>
  <c r="J677" i="5"/>
  <c r="K677" i="5"/>
  <c r="L677" i="5"/>
  <c r="M677" i="5"/>
  <c r="N677" i="5"/>
  <c r="O677" i="5"/>
  <c r="P677" i="5"/>
  <c r="Q677" i="5"/>
  <c r="R677" i="5"/>
  <c r="S677" i="5"/>
  <c r="T677" i="5"/>
  <c r="U677" i="5"/>
  <c r="V677" i="5"/>
  <c r="B678" i="5"/>
  <c r="C678" i="5"/>
  <c r="D678" i="5"/>
  <c r="E678" i="5"/>
  <c r="F678" i="5"/>
  <c r="G678" i="5"/>
  <c r="H678" i="5"/>
  <c r="I678" i="5"/>
  <c r="J678" i="5"/>
  <c r="K678" i="5"/>
  <c r="L678" i="5"/>
  <c r="M678" i="5"/>
  <c r="N678" i="5"/>
  <c r="O678" i="5"/>
  <c r="P678" i="5"/>
  <c r="Q678" i="5"/>
  <c r="R678" i="5"/>
  <c r="S678" i="5"/>
  <c r="T678" i="5"/>
  <c r="U678" i="5"/>
  <c r="V678" i="5"/>
  <c r="B679" i="5"/>
  <c r="C679" i="5"/>
  <c r="D679" i="5"/>
  <c r="E679" i="5"/>
  <c r="F679" i="5"/>
  <c r="G679" i="5"/>
  <c r="H679" i="5"/>
  <c r="I679" i="5"/>
  <c r="J679" i="5"/>
  <c r="K679" i="5"/>
  <c r="L679" i="5"/>
  <c r="M679" i="5"/>
  <c r="N679" i="5"/>
  <c r="O679" i="5"/>
  <c r="P679" i="5"/>
  <c r="Q679" i="5"/>
  <c r="R679" i="5"/>
  <c r="S679" i="5"/>
  <c r="T679" i="5"/>
  <c r="U679" i="5"/>
  <c r="V679" i="5"/>
  <c r="B680" i="5"/>
  <c r="C680" i="5"/>
  <c r="D680" i="5"/>
  <c r="E680" i="5"/>
  <c r="F680" i="5"/>
  <c r="G680" i="5"/>
  <c r="H680" i="5"/>
  <c r="I680" i="5"/>
  <c r="J680" i="5"/>
  <c r="K680" i="5"/>
  <c r="L680" i="5"/>
  <c r="M680" i="5"/>
  <c r="N680" i="5"/>
  <c r="O680" i="5"/>
  <c r="P680" i="5"/>
  <c r="Q680" i="5"/>
  <c r="R680" i="5"/>
  <c r="S680" i="5"/>
  <c r="T680" i="5"/>
  <c r="U680" i="5"/>
  <c r="V680" i="5"/>
  <c r="B681" i="5"/>
  <c r="C681" i="5"/>
  <c r="D681" i="5"/>
  <c r="E681" i="5"/>
  <c r="F681" i="5"/>
  <c r="G681" i="5"/>
  <c r="H681" i="5"/>
  <c r="I681" i="5"/>
  <c r="J681" i="5"/>
  <c r="K681" i="5"/>
  <c r="L681" i="5"/>
  <c r="M681" i="5"/>
  <c r="N681" i="5"/>
  <c r="O681" i="5"/>
  <c r="P681" i="5"/>
  <c r="Q681" i="5"/>
  <c r="R681" i="5"/>
  <c r="S681" i="5"/>
  <c r="T681" i="5"/>
  <c r="U681" i="5"/>
  <c r="V681" i="5"/>
  <c r="B682" i="5"/>
  <c r="C682" i="5"/>
  <c r="D682" i="5"/>
  <c r="E682" i="5"/>
  <c r="F682" i="5"/>
  <c r="G682" i="5"/>
  <c r="H682" i="5"/>
  <c r="I682" i="5"/>
  <c r="J682" i="5"/>
  <c r="K682" i="5"/>
  <c r="L682" i="5"/>
  <c r="M682" i="5"/>
  <c r="N682" i="5"/>
  <c r="O682" i="5"/>
  <c r="P682" i="5"/>
  <c r="Q682" i="5"/>
  <c r="R682" i="5"/>
  <c r="S682" i="5"/>
  <c r="T682" i="5"/>
  <c r="U682" i="5"/>
  <c r="V682" i="5"/>
  <c r="B683" i="5"/>
  <c r="C683" i="5"/>
  <c r="D683" i="5"/>
  <c r="E683" i="5"/>
  <c r="F683" i="5"/>
  <c r="G683" i="5"/>
  <c r="H683" i="5"/>
  <c r="I683" i="5"/>
  <c r="J683" i="5"/>
  <c r="K683" i="5"/>
  <c r="L683" i="5"/>
  <c r="M683" i="5"/>
  <c r="N683" i="5"/>
  <c r="O683" i="5"/>
  <c r="P683" i="5"/>
  <c r="Q683" i="5"/>
  <c r="R683" i="5"/>
  <c r="S683" i="5"/>
  <c r="T683" i="5"/>
  <c r="U683" i="5"/>
  <c r="V683" i="5"/>
  <c r="B684" i="5"/>
  <c r="C684" i="5"/>
  <c r="D684" i="5"/>
  <c r="E684" i="5"/>
  <c r="F684" i="5"/>
  <c r="G684" i="5"/>
  <c r="H684" i="5"/>
  <c r="I684" i="5"/>
  <c r="J684" i="5"/>
  <c r="K684" i="5"/>
  <c r="L684" i="5"/>
  <c r="M684" i="5"/>
  <c r="N684" i="5"/>
  <c r="O684" i="5"/>
  <c r="P684" i="5"/>
  <c r="Q684" i="5"/>
  <c r="R684" i="5"/>
  <c r="S684" i="5"/>
  <c r="T684" i="5"/>
  <c r="U684" i="5"/>
  <c r="V684" i="5"/>
  <c r="B685" i="5"/>
  <c r="C685" i="5"/>
  <c r="D685" i="5"/>
  <c r="E685" i="5"/>
  <c r="F685" i="5"/>
  <c r="G685" i="5"/>
  <c r="H685" i="5"/>
  <c r="I685" i="5"/>
  <c r="J685" i="5"/>
  <c r="K685" i="5"/>
  <c r="L685" i="5"/>
  <c r="M685" i="5"/>
  <c r="N685" i="5"/>
  <c r="O685" i="5"/>
  <c r="P685" i="5"/>
  <c r="Q685" i="5"/>
  <c r="R685" i="5"/>
  <c r="S685" i="5"/>
  <c r="T685" i="5"/>
  <c r="U685" i="5"/>
  <c r="V685" i="5"/>
  <c r="B686" i="5"/>
  <c r="C686" i="5"/>
  <c r="D686" i="5"/>
  <c r="E686" i="5"/>
  <c r="F686" i="5"/>
  <c r="G686" i="5"/>
  <c r="H686" i="5"/>
  <c r="I686" i="5"/>
  <c r="J686" i="5"/>
  <c r="K686" i="5"/>
  <c r="L686" i="5"/>
  <c r="M686" i="5"/>
  <c r="N686" i="5"/>
  <c r="O686" i="5"/>
  <c r="P686" i="5"/>
  <c r="Q686" i="5"/>
  <c r="R686" i="5"/>
  <c r="S686" i="5"/>
  <c r="T686" i="5"/>
  <c r="U686" i="5"/>
  <c r="V686" i="5"/>
  <c r="B687" i="5"/>
  <c r="C687" i="5"/>
  <c r="D687" i="5"/>
  <c r="E687" i="5"/>
  <c r="F687" i="5"/>
  <c r="G687" i="5"/>
  <c r="H687" i="5"/>
  <c r="I687" i="5"/>
  <c r="J687" i="5"/>
  <c r="K687" i="5"/>
  <c r="L687" i="5"/>
  <c r="M687" i="5"/>
  <c r="N687" i="5"/>
  <c r="O687" i="5"/>
  <c r="P687" i="5"/>
  <c r="Q687" i="5"/>
  <c r="R687" i="5"/>
  <c r="S687" i="5"/>
  <c r="T687" i="5"/>
  <c r="U687" i="5"/>
  <c r="V687" i="5"/>
  <c r="B688" i="5"/>
  <c r="C688" i="5"/>
  <c r="D688" i="5"/>
  <c r="E688" i="5"/>
  <c r="F688" i="5"/>
  <c r="G688" i="5"/>
  <c r="H688" i="5"/>
  <c r="I688" i="5"/>
  <c r="J688" i="5"/>
  <c r="K688" i="5"/>
  <c r="L688" i="5"/>
  <c r="M688" i="5"/>
  <c r="N688" i="5"/>
  <c r="O688" i="5"/>
  <c r="P688" i="5"/>
  <c r="Q688" i="5"/>
  <c r="R688" i="5"/>
  <c r="S688" i="5"/>
  <c r="T688" i="5"/>
  <c r="U688" i="5"/>
  <c r="V688" i="5"/>
  <c r="B689" i="5"/>
  <c r="C689" i="5"/>
  <c r="D689" i="5"/>
  <c r="E689" i="5"/>
  <c r="F689" i="5"/>
  <c r="G689" i="5"/>
  <c r="H689" i="5"/>
  <c r="I689" i="5"/>
  <c r="J689" i="5"/>
  <c r="K689" i="5"/>
  <c r="L689" i="5"/>
  <c r="M689" i="5"/>
  <c r="N689" i="5"/>
  <c r="O689" i="5"/>
  <c r="P689" i="5"/>
  <c r="Q689" i="5"/>
  <c r="R689" i="5"/>
  <c r="S689" i="5"/>
  <c r="T689" i="5"/>
  <c r="U689" i="5"/>
  <c r="V689" i="5"/>
  <c r="B690" i="5"/>
  <c r="C690" i="5"/>
  <c r="D690" i="5"/>
  <c r="E690" i="5"/>
  <c r="F690" i="5"/>
  <c r="G690" i="5"/>
  <c r="H690" i="5"/>
  <c r="I690" i="5"/>
  <c r="J690" i="5"/>
  <c r="K690" i="5"/>
  <c r="L690" i="5"/>
  <c r="M690" i="5"/>
  <c r="N690" i="5"/>
  <c r="O690" i="5"/>
  <c r="P690" i="5"/>
  <c r="Q690" i="5"/>
  <c r="R690" i="5"/>
  <c r="S690" i="5"/>
  <c r="T690" i="5"/>
  <c r="U690" i="5"/>
  <c r="V690" i="5"/>
  <c r="B691" i="5"/>
  <c r="C691" i="5"/>
  <c r="D691" i="5"/>
  <c r="E691" i="5"/>
  <c r="F691" i="5"/>
  <c r="G691" i="5"/>
  <c r="H691" i="5"/>
  <c r="I691" i="5"/>
  <c r="J691" i="5"/>
  <c r="K691" i="5"/>
  <c r="L691" i="5"/>
  <c r="M691" i="5"/>
  <c r="N691" i="5"/>
  <c r="O691" i="5"/>
  <c r="P691" i="5"/>
  <c r="Q691" i="5"/>
  <c r="R691" i="5"/>
  <c r="S691" i="5"/>
  <c r="T691" i="5"/>
  <c r="U691" i="5"/>
  <c r="V691" i="5"/>
  <c r="B692" i="5"/>
  <c r="C692" i="5"/>
  <c r="D692" i="5"/>
  <c r="E692" i="5"/>
  <c r="F692" i="5"/>
  <c r="G692" i="5"/>
  <c r="H692" i="5"/>
  <c r="I692" i="5"/>
  <c r="J692" i="5"/>
  <c r="K692" i="5"/>
  <c r="L692" i="5"/>
  <c r="M692" i="5"/>
  <c r="N692" i="5"/>
  <c r="O692" i="5"/>
  <c r="P692" i="5"/>
  <c r="Q692" i="5"/>
  <c r="R692" i="5"/>
  <c r="S692" i="5"/>
  <c r="T692" i="5"/>
  <c r="U692" i="5"/>
  <c r="V692" i="5"/>
  <c r="B693" i="5"/>
  <c r="C693" i="5"/>
  <c r="D693" i="5"/>
  <c r="E693" i="5"/>
  <c r="F693" i="5"/>
  <c r="G693" i="5"/>
  <c r="H693" i="5"/>
  <c r="I693" i="5"/>
  <c r="J693" i="5"/>
  <c r="K693" i="5"/>
  <c r="L693" i="5"/>
  <c r="M693" i="5"/>
  <c r="N693" i="5"/>
  <c r="O693" i="5"/>
  <c r="P693" i="5"/>
  <c r="Q693" i="5"/>
  <c r="R693" i="5"/>
  <c r="S693" i="5"/>
  <c r="T693" i="5"/>
  <c r="U693" i="5"/>
  <c r="V693" i="5"/>
  <c r="B694" i="5"/>
  <c r="C694" i="5"/>
  <c r="D694" i="5"/>
  <c r="E694" i="5"/>
  <c r="F694" i="5"/>
  <c r="G694" i="5"/>
  <c r="H694" i="5"/>
  <c r="I694" i="5"/>
  <c r="J694" i="5"/>
  <c r="K694" i="5"/>
  <c r="L694" i="5"/>
  <c r="M694" i="5"/>
  <c r="N694" i="5"/>
  <c r="O694" i="5"/>
  <c r="P694" i="5"/>
  <c r="Q694" i="5"/>
  <c r="R694" i="5"/>
  <c r="S694" i="5"/>
  <c r="T694" i="5"/>
  <c r="U694" i="5"/>
  <c r="V694" i="5"/>
  <c r="B695" i="5"/>
  <c r="C695" i="5"/>
  <c r="D695" i="5"/>
  <c r="E695" i="5"/>
  <c r="F695" i="5"/>
  <c r="G695" i="5"/>
  <c r="H695" i="5"/>
  <c r="I695" i="5"/>
  <c r="J695" i="5"/>
  <c r="K695" i="5"/>
  <c r="L695" i="5"/>
  <c r="M695" i="5"/>
  <c r="N695" i="5"/>
  <c r="O695" i="5"/>
  <c r="P695" i="5"/>
  <c r="Q695" i="5"/>
  <c r="R695" i="5"/>
  <c r="S695" i="5"/>
  <c r="T695" i="5"/>
  <c r="U695" i="5"/>
  <c r="V695" i="5"/>
  <c r="B696" i="5"/>
  <c r="C696" i="5"/>
  <c r="D696" i="5"/>
  <c r="E696" i="5"/>
  <c r="F696" i="5"/>
  <c r="G696" i="5"/>
  <c r="H696" i="5"/>
  <c r="I696" i="5"/>
  <c r="J696" i="5"/>
  <c r="K696" i="5"/>
  <c r="L696" i="5"/>
  <c r="M696" i="5"/>
  <c r="N696" i="5"/>
  <c r="O696" i="5"/>
  <c r="P696" i="5"/>
  <c r="Q696" i="5"/>
  <c r="R696" i="5"/>
  <c r="S696" i="5"/>
  <c r="T696" i="5"/>
  <c r="U696" i="5"/>
  <c r="V696" i="5"/>
  <c r="B697" i="5"/>
  <c r="C697" i="5"/>
  <c r="D697" i="5"/>
  <c r="E697" i="5"/>
  <c r="F697" i="5"/>
  <c r="G697" i="5"/>
  <c r="H697" i="5"/>
  <c r="I697" i="5"/>
  <c r="J697" i="5"/>
  <c r="K697" i="5"/>
  <c r="L697" i="5"/>
  <c r="M697" i="5"/>
  <c r="N697" i="5"/>
  <c r="O697" i="5"/>
  <c r="P697" i="5"/>
  <c r="Q697" i="5"/>
  <c r="R697" i="5"/>
  <c r="S697" i="5"/>
  <c r="T697" i="5"/>
  <c r="U697" i="5"/>
  <c r="V697" i="5"/>
  <c r="B698" i="5"/>
  <c r="C698" i="5"/>
  <c r="D698" i="5"/>
  <c r="E698" i="5"/>
  <c r="F698" i="5"/>
  <c r="G698" i="5"/>
  <c r="H698" i="5"/>
  <c r="I698" i="5"/>
  <c r="J698" i="5"/>
  <c r="K698" i="5"/>
  <c r="L698" i="5"/>
  <c r="M698" i="5"/>
  <c r="N698" i="5"/>
  <c r="O698" i="5"/>
  <c r="P698" i="5"/>
  <c r="Q698" i="5"/>
  <c r="R698" i="5"/>
  <c r="S698" i="5"/>
  <c r="T698" i="5"/>
  <c r="U698" i="5"/>
  <c r="V698" i="5"/>
  <c r="B699" i="5"/>
  <c r="C699" i="5"/>
  <c r="D699" i="5"/>
  <c r="E699" i="5"/>
  <c r="F699" i="5"/>
  <c r="G699" i="5"/>
  <c r="H699" i="5"/>
  <c r="I699" i="5"/>
  <c r="J699" i="5"/>
  <c r="K699" i="5"/>
  <c r="L699" i="5"/>
  <c r="M699" i="5"/>
  <c r="N699" i="5"/>
  <c r="O699" i="5"/>
  <c r="P699" i="5"/>
  <c r="Q699" i="5"/>
  <c r="R699" i="5"/>
  <c r="S699" i="5"/>
  <c r="T699" i="5"/>
  <c r="U699" i="5"/>
  <c r="V699" i="5"/>
  <c r="B700" i="5"/>
  <c r="C700" i="5"/>
  <c r="D700" i="5"/>
  <c r="E700" i="5"/>
  <c r="F700" i="5"/>
  <c r="G700" i="5"/>
  <c r="H700" i="5"/>
  <c r="I700" i="5"/>
  <c r="J700" i="5"/>
  <c r="K700" i="5"/>
  <c r="L700" i="5"/>
  <c r="M700" i="5"/>
  <c r="N700" i="5"/>
  <c r="O700" i="5"/>
  <c r="P700" i="5"/>
  <c r="Q700" i="5"/>
  <c r="R700" i="5"/>
  <c r="S700" i="5"/>
  <c r="T700" i="5"/>
  <c r="U700" i="5"/>
  <c r="V700" i="5"/>
  <c r="B701" i="5"/>
  <c r="C701" i="5"/>
  <c r="D701" i="5"/>
  <c r="E701" i="5"/>
  <c r="F701" i="5"/>
  <c r="G701" i="5"/>
  <c r="H701" i="5"/>
  <c r="I701" i="5"/>
  <c r="J701" i="5"/>
  <c r="K701" i="5"/>
  <c r="L701" i="5"/>
  <c r="M701" i="5"/>
  <c r="N701" i="5"/>
  <c r="O701" i="5"/>
  <c r="P701" i="5"/>
  <c r="Q701" i="5"/>
  <c r="R701" i="5"/>
  <c r="S701" i="5"/>
  <c r="T701" i="5"/>
  <c r="U701" i="5"/>
  <c r="V701" i="5"/>
  <c r="B702" i="5"/>
  <c r="C702" i="5"/>
  <c r="D702" i="5"/>
  <c r="E702" i="5"/>
  <c r="F702" i="5"/>
  <c r="G702" i="5"/>
  <c r="H702" i="5"/>
  <c r="I702" i="5"/>
  <c r="J702" i="5"/>
  <c r="K702" i="5"/>
  <c r="L702" i="5"/>
  <c r="M702" i="5"/>
  <c r="N702" i="5"/>
  <c r="O702" i="5"/>
  <c r="P702" i="5"/>
  <c r="Q702" i="5"/>
  <c r="R702" i="5"/>
  <c r="S702" i="5"/>
  <c r="T702" i="5"/>
  <c r="U702" i="5"/>
  <c r="V702" i="5"/>
  <c r="B703" i="5"/>
  <c r="C703" i="5"/>
  <c r="D703" i="5"/>
  <c r="E703" i="5"/>
  <c r="F703" i="5"/>
  <c r="G703" i="5"/>
  <c r="H703" i="5"/>
  <c r="I703" i="5"/>
  <c r="J703" i="5"/>
  <c r="K703" i="5"/>
  <c r="L703" i="5"/>
  <c r="M703" i="5"/>
  <c r="N703" i="5"/>
  <c r="O703" i="5"/>
  <c r="P703" i="5"/>
  <c r="Q703" i="5"/>
  <c r="R703" i="5"/>
  <c r="S703" i="5"/>
  <c r="T703" i="5"/>
  <c r="U703" i="5"/>
  <c r="V703" i="5"/>
  <c r="B704" i="5"/>
  <c r="C704" i="5"/>
  <c r="D704" i="5"/>
  <c r="E704" i="5"/>
  <c r="F704" i="5"/>
  <c r="G704" i="5"/>
  <c r="H704" i="5"/>
  <c r="I704" i="5"/>
  <c r="J704" i="5"/>
  <c r="K704" i="5"/>
  <c r="L704" i="5"/>
  <c r="M704" i="5"/>
  <c r="N704" i="5"/>
  <c r="O704" i="5"/>
  <c r="P704" i="5"/>
  <c r="Q704" i="5"/>
  <c r="R704" i="5"/>
  <c r="S704" i="5"/>
  <c r="T704" i="5"/>
  <c r="U704" i="5"/>
  <c r="V704" i="5"/>
  <c r="B705" i="5"/>
  <c r="C705" i="5"/>
  <c r="D705" i="5"/>
  <c r="E705" i="5"/>
  <c r="F705" i="5"/>
  <c r="G705" i="5"/>
  <c r="H705" i="5"/>
  <c r="I705" i="5"/>
  <c r="J705" i="5"/>
  <c r="K705" i="5"/>
  <c r="L705" i="5"/>
  <c r="M705" i="5"/>
  <c r="N705" i="5"/>
  <c r="O705" i="5"/>
  <c r="P705" i="5"/>
  <c r="Q705" i="5"/>
  <c r="R705" i="5"/>
  <c r="S705" i="5"/>
  <c r="T705" i="5"/>
  <c r="U705" i="5"/>
  <c r="V705" i="5"/>
  <c r="B706" i="5"/>
  <c r="C706" i="5"/>
  <c r="D706" i="5"/>
  <c r="E706" i="5"/>
  <c r="F706" i="5"/>
  <c r="G706" i="5"/>
  <c r="H706" i="5"/>
  <c r="I706" i="5"/>
  <c r="J706" i="5"/>
  <c r="K706" i="5"/>
  <c r="L706" i="5"/>
  <c r="M706" i="5"/>
  <c r="N706" i="5"/>
  <c r="O706" i="5"/>
  <c r="P706" i="5"/>
  <c r="Q706" i="5"/>
  <c r="R706" i="5"/>
  <c r="S706" i="5"/>
  <c r="T706" i="5"/>
  <c r="U706" i="5"/>
  <c r="V706" i="5"/>
  <c r="B707" i="5"/>
  <c r="C707" i="5"/>
  <c r="D707" i="5"/>
  <c r="E707" i="5"/>
  <c r="F707" i="5"/>
  <c r="G707" i="5"/>
  <c r="H707" i="5"/>
  <c r="I707" i="5"/>
  <c r="J707" i="5"/>
  <c r="K707" i="5"/>
  <c r="L707" i="5"/>
  <c r="M707" i="5"/>
  <c r="N707" i="5"/>
  <c r="O707" i="5"/>
  <c r="P707" i="5"/>
  <c r="Q707" i="5"/>
  <c r="R707" i="5"/>
  <c r="S707" i="5"/>
  <c r="T707" i="5"/>
  <c r="U707" i="5"/>
  <c r="V707" i="5"/>
  <c r="B708" i="5"/>
  <c r="C708" i="5"/>
  <c r="D708" i="5"/>
  <c r="E708" i="5"/>
  <c r="F708" i="5"/>
  <c r="G708" i="5"/>
  <c r="H708" i="5"/>
  <c r="I708" i="5"/>
  <c r="J708" i="5"/>
  <c r="K708" i="5"/>
  <c r="L708" i="5"/>
  <c r="M708" i="5"/>
  <c r="N708" i="5"/>
  <c r="O708" i="5"/>
  <c r="P708" i="5"/>
  <c r="Q708" i="5"/>
  <c r="R708" i="5"/>
  <c r="S708" i="5"/>
  <c r="T708" i="5"/>
  <c r="U708" i="5"/>
  <c r="V708" i="5"/>
  <c r="B709" i="5"/>
  <c r="C709" i="5"/>
  <c r="D709" i="5"/>
  <c r="E709" i="5"/>
  <c r="F709" i="5"/>
  <c r="G709" i="5"/>
  <c r="H709" i="5"/>
  <c r="I709" i="5"/>
  <c r="J709" i="5"/>
  <c r="K709" i="5"/>
  <c r="L709" i="5"/>
  <c r="M709" i="5"/>
  <c r="N709" i="5"/>
  <c r="O709" i="5"/>
  <c r="P709" i="5"/>
  <c r="Q709" i="5"/>
  <c r="R709" i="5"/>
  <c r="S709" i="5"/>
  <c r="T709" i="5"/>
  <c r="U709" i="5"/>
  <c r="V709" i="5"/>
  <c r="B710" i="5"/>
  <c r="C710" i="5"/>
  <c r="D710" i="5"/>
  <c r="E710" i="5"/>
  <c r="F710" i="5"/>
  <c r="G710" i="5"/>
  <c r="H710" i="5"/>
  <c r="I710" i="5"/>
  <c r="J710" i="5"/>
  <c r="K710" i="5"/>
  <c r="L710" i="5"/>
  <c r="M710" i="5"/>
  <c r="N710" i="5"/>
  <c r="O710" i="5"/>
  <c r="P710" i="5"/>
  <c r="Q710" i="5"/>
  <c r="R710" i="5"/>
  <c r="S710" i="5"/>
  <c r="T710" i="5"/>
  <c r="U710" i="5"/>
  <c r="V710" i="5"/>
  <c r="B711" i="5"/>
  <c r="C711" i="5"/>
  <c r="D711" i="5"/>
  <c r="E711" i="5"/>
  <c r="F711" i="5"/>
  <c r="G711" i="5"/>
  <c r="H711" i="5"/>
  <c r="I711" i="5"/>
  <c r="J711" i="5"/>
  <c r="K711" i="5"/>
  <c r="L711" i="5"/>
  <c r="M711" i="5"/>
  <c r="N711" i="5"/>
  <c r="O711" i="5"/>
  <c r="P711" i="5"/>
  <c r="Q711" i="5"/>
  <c r="R711" i="5"/>
  <c r="S711" i="5"/>
  <c r="T711" i="5"/>
  <c r="U711" i="5"/>
  <c r="V711" i="5"/>
  <c r="B712" i="5"/>
  <c r="C712" i="5"/>
  <c r="D712" i="5"/>
  <c r="E712" i="5"/>
  <c r="F712" i="5"/>
  <c r="G712" i="5"/>
  <c r="H712" i="5"/>
  <c r="I712" i="5"/>
  <c r="J712" i="5"/>
  <c r="K712" i="5"/>
  <c r="L712" i="5"/>
  <c r="M712" i="5"/>
  <c r="N712" i="5"/>
  <c r="O712" i="5"/>
  <c r="P712" i="5"/>
  <c r="Q712" i="5"/>
  <c r="R712" i="5"/>
  <c r="S712" i="5"/>
  <c r="T712" i="5"/>
  <c r="U712" i="5"/>
  <c r="V712" i="5"/>
  <c r="B713" i="5"/>
  <c r="C713" i="5"/>
  <c r="D713" i="5"/>
  <c r="E713" i="5"/>
  <c r="F713" i="5"/>
  <c r="G713" i="5"/>
  <c r="H713" i="5"/>
  <c r="I713" i="5"/>
  <c r="J713" i="5"/>
  <c r="K713" i="5"/>
  <c r="L713" i="5"/>
  <c r="M713" i="5"/>
  <c r="N713" i="5"/>
  <c r="O713" i="5"/>
  <c r="P713" i="5"/>
  <c r="Q713" i="5"/>
  <c r="R713" i="5"/>
  <c r="S713" i="5"/>
  <c r="T713" i="5"/>
  <c r="U713" i="5"/>
  <c r="V713" i="5"/>
  <c r="B714" i="5"/>
  <c r="C714" i="5"/>
  <c r="D714" i="5"/>
  <c r="E714" i="5"/>
  <c r="F714" i="5"/>
  <c r="G714" i="5"/>
  <c r="H714" i="5"/>
  <c r="I714" i="5"/>
  <c r="J714" i="5"/>
  <c r="K714" i="5"/>
  <c r="L714" i="5"/>
  <c r="M714" i="5"/>
  <c r="N714" i="5"/>
  <c r="O714" i="5"/>
  <c r="P714" i="5"/>
  <c r="Q714" i="5"/>
  <c r="R714" i="5"/>
  <c r="S714" i="5"/>
  <c r="T714" i="5"/>
  <c r="U714" i="5"/>
  <c r="V714" i="5"/>
  <c r="B715" i="5"/>
  <c r="C715" i="5"/>
  <c r="D715" i="5"/>
  <c r="E715" i="5"/>
  <c r="F715" i="5"/>
  <c r="G715" i="5"/>
  <c r="H715" i="5"/>
  <c r="I715" i="5"/>
  <c r="J715" i="5"/>
  <c r="K715" i="5"/>
  <c r="L715" i="5"/>
  <c r="M715" i="5"/>
  <c r="N715" i="5"/>
  <c r="O715" i="5"/>
  <c r="P715" i="5"/>
  <c r="Q715" i="5"/>
  <c r="R715" i="5"/>
  <c r="S715" i="5"/>
  <c r="T715" i="5"/>
  <c r="U715" i="5"/>
  <c r="V715" i="5"/>
  <c r="B716" i="5"/>
  <c r="C716" i="5"/>
  <c r="D716" i="5"/>
  <c r="E716" i="5"/>
  <c r="F716" i="5"/>
  <c r="G716" i="5"/>
  <c r="H716" i="5"/>
  <c r="I716" i="5"/>
  <c r="J716" i="5"/>
  <c r="K716" i="5"/>
  <c r="L716" i="5"/>
  <c r="M716" i="5"/>
  <c r="N716" i="5"/>
  <c r="O716" i="5"/>
  <c r="P716" i="5"/>
  <c r="Q716" i="5"/>
  <c r="R716" i="5"/>
  <c r="S716" i="5"/>
  <c r="T716" i="5"/>
  <c r="U716" i="5"/>
  <c r="V716" i="5"/>
  <c r="B717" i="5"/>
  <c r="C717" i="5"/>
  <c r="D717" i="5"/>
  <c r="E717" i="5"/>
  <c r="F717" i="5"/>
  <c r="G717" i="5"/>
  <c r="H717" i="5"/>
  <c r="I717" i="5"/>
  <c r="J717" i="5"/>
  <c r="K717" i="5"/>
  <c r="L717" i="5"/>
  <c r="M717" i="5"/>
  <c r="N717" i="5"/>
  <c r="O717" i="5"/>
  <c r="P717" i="5"/>
  <c r="Q717" i="5"/>
  <c r="R717" i="5"/>
  <c r="S717" i="5"/>
  <c r="T717" i="5"/>
  <c r="U717" i="5"/>
  <c r="V717" i="5"/>
  <c r="B718" i="5"/>
  <c r="C718" i="5"/>
  <c r="D718" i="5"/>
  <c r="E718" i="5"/>
  <c r="F718" i="5"/>
  <c r="G718" i="5"/>
  <c r="H718" i="5"/>
  <c r="I718" i="5"/>
  <c r="J718" i="5"/>
  <c r="K718" i="5"/>
  <c r="L718" i="5"/>
  <c r="M718" i="5"/>
  <c r="N718" i="5"/>
  <c r="O718" i="5"/>
  <c r="P718" i="5"/>
  <c r="Q718" i="5"/>
  <c r="R718" i="5"/>
  <c r="S718" i="5"/>
  <c r="T718" i="5"/>
  <c r="U718" i="5"/>
  <c r="V718" i="5"/>
  <c r="B719" i="5"/>
  <c r="C719" i="5"/>
  <c r="D719" i="5"/>
  <c r="E719" i="5"/>
  <c r="F719" i="5"/>
  <c r="G719" i="5"/>
  <c r="H719" i="5"/>
  <c r="I719" i="5"/>
  <c r="J719" i="5"/>
  <c r="K719" i="5"/>
  <c r="L719" i="5"/>
  <c r="M719" i="5"/>
  <c r="N719" i="5"/>
  <c r="O719" i="5"/>
  <c r="P719" i="5"/>
  <c r="Q719" i="5"/>
  <c r="R719" i="5"/>
  <c r="S719" i="5"/>
  <c r="T719" i="5"/>
  <c r="U719" i="5"/>
  <c r="V719" i="5"/>
  <c r="B720" i="5"/>
  <c r="C720" i="5"/>
  <c r="D720" i="5"/>
  <c r="E720" i="5"/>
  <c r="F720" i="5"/>
  <c r="G720" i="5"/>
  <c r="H720" i="5"/>
  <c r="I720" i="5"/>
  <c r="J720" i="5"/>
  <c r="K720" i="5"/>
  <c r="L720" i="5"/>
  <c r="M720" i="5"/>
  <c r="N720" i="5"/>
  <c r="O720" i="5"/>
  <c r="P720" i="5"/>
  <c r="Q720" i="5"/>
  <c r="R720" i="5"/>
  <c r="S720" i="5"/>
  <c r="T720" i="5"/>
  <c r="U720" i="5"/>
  <c r="V720" i="5"/>
  <c r="B721" i="5"/>
  <c r="C721" i="5"/>
  <c r="D721" i="5"/>
  <c r="E721" i="5"/>
  <c r="F721" i="5"/>
  <c r="G721" i="5"/>
  <c r="H721" i="5"/>
  <c r="I721" i="5"/>
  <c r="J721" i="5"/>
  <c r="K721" i="5"/>
  <c r="L721" i="5"/>
  <c r="M721" i="5"/>
  <c r="N721" i="5"/>
  <c r="O721" i="5"/>
  <c r="P721" i="5"/>
  <c r="Q721" i="5"/>
  <c r="R721" i="5"/>
  <c r="S721" i="5"/>
  <c r="T721" i="5"/>
  <c r="U721" i="5"/>
  <c r="V721" i="5"/>
  <c r="B722" i="5"/>
  <c r="C722" i="5"/>
  <c r="D722" i="5"/>
  <c r="E722" i="5"/>
  <c r="F722" i="5"/>
  <c r="G722" i="5"/>
  <c r="H722" i="5"/>
  <c r="I722" i="5"/>
  <c r="J722" i="5"/>
  <c r="K722" i="5"/>
  <c r="L722" i="5"/>
  <c r="M722" i="5"/>
  <c r="N722" i="5"/>
  <c r="O722" i="5"/>
  <c r="P722" i="5"/>
  <c r="Q722" i="5"/>
  <c r="R722" i="5"/>
  <c r="S722" i="5"/>
  <c r="T722" i="5"/>
  <c r="U722" i="5"/>
  <c r="V722" i="5"/>
  <c r="B723" i="5"/>
  <c r="C723" i="5"/>
  <c r="D723" i="5"/>
  <c r="E723" i="5"/>
  <c r="F723" i="5"/>
  <c r="G723" i="5"/>
  <c r="H723" i="5"/>
  <c r="I723" i="5"/>
  <c r="J723" i="5"/>
  <c r="K723" i="5"/>
  <c r="L723" i="5"/>
  <c r="M723" i="5"/>
  <c r="N723" i="5"/>
  <c r="O723" i="5"/>
  <c r="P723" i="5"/>
  <c r="Q723" i="5"/>
  <c r="R723" i="5"/>
  <c r="S723" i="5"/>
  <c r="T723" i="5"/>
  <c r="U723" i="5"/>
  <c r="V723" i="5"/>
  <c r="B724" i="5"/>
  <c r="C724" i="5"/>
  <c r="D724" i="5"/>
  <c r="E724" i="5"/>
  <c r="F724" i="5"/>
  <c r="G724" i="5"/>
  <c r="H724" i="5"/>
  <c r="I724" i="5"/>
  <c r="J724" i="5"/>
  <c r="K724" i="5"/>
  <c r="L724" i="5"/>
  <c r="M724" i="5"/>
  <c r="N724" i="5"/>
  <c r="O724" i="5"/>
  <c r="P724" i="5"/>
  <c r="Q724" i="5"/>
  <c r="R724" i="5"/>
  <c r="S724" i="5"/>
  <c r="T724" i="5"/>
  <c r="U724" i="5"/>
  <c r="V724" i="5"/>
  <c r="B725" i="5"/>
  <c r="C725" i="5"/>
  <c r="D725" i="5"/>
  <c r="E725" i="5"/>
  <c r="F725" i="5"/>
  <c r="G725" i="5"/>
  <c r="H725" i="5"/>
  <c r="I725" i="5"/>
  <c r="J725" i="5"/>
  <c r="K725" i="5"/>
  <c r="L725" i="5"/>
  <c r="M725" i="5"/>
  <c r="N725" i="5"/>
  <c r="O725" i="5"/>
  <c r="P725" i="5"/>
  <c r="Q725" i="5"/>
  <c r="R725" i="5"/>
  <c r="S725" i="5"/>
  <c r="T725" i="5"/>
  <c r="U725" i="5"/>
  <c r="V725" i="5"/>
  <c r="B726" i="5"/>
  <c r="C726" i="5"/>
  <c r="D726" i="5"/>
  <c r="E726" i="5"/>
  <c r="F726" i="5"/>
  <c r="G726" i="5"/>
  <c r="H726" i="5"/>
  <c r="I726" i="5"/>
  <c r="J726" i="5"/>
  <c r="K726" i="5"/>
  <c r="L726" i="5"/>
  <c r="M726" i="5"/>
  <c r="N726" i="5"/>
  <c r="O726" i="5"/>
  <c r="P726" i="5"/>
  <c r="Q726" i="5"/>
  <c r="R726" i="5"/>
  <c r="S726" i="5"/>
  <c r="T726" i="5"/>
  <c r="U726" i="5"/>
  <c r="V726" i="5"/>
  <c r="B727" i="5"/>
  <c r="C727" i="5"/>
  <c r="D727" i="5"/>
  <c r="E727" i="5"/>
  <c r="F727" i="5"/>
  <c r="G727" i="5"/>
  <c r="H727" i="5"/>
  <c r="I727" i="5"/>
  <c r="J727" i="5"/>
  <c r="K727" i="5"/>
  <c r="L727" i="5"/>
  <c r="M727" i="5"/>
  <c r="N727" i="5"/>
  <c r="O727" i="5"/>
  <c r="P727" i="5"/>
  <c r="Q727" i="5"/>
  <c r="R727" i="5"/>
  <c r="S727" i="5"/>
  <c r="T727" i="5"/>
  <c r="U727" i="5"/>
  <c r="V727" i="5"/>
  <c r="B728" i="5"/>
  <c r="C728" i="5"/>
  <c r="D728" i="5"/>
  <c r="E728" i="5"/>
  <c r="F728" i="5"/>
  <c r="G728" i="5"/>
  <c r="H728" i="5"/>
  <c r="I728" i="5"/>
  <c r="J728" i="5"/>
  <c r="K728" i="5"/>
  <c r="L728" i="5"/>
  <c r="M728" i="5"/>
  <c r="N728" i="5"/>
  <c r="O728" i="5"/>
  <c r="P728" i="5"/>
  <c r="Q728" i="5"/>
  <c r="R728" i="5"/>
  <c r="S728" i="5"/>
  <c r="T728" i="5"/>
  <c r="U728" i="5"/>
  <c r="V728" i="5"/>
  <c r="B729" i="5"/>
  <c r="C729" i="5"/>
  <c r="D729" i="5"/>
  <c r="E729" i="5"/>
  <c r="F729" i="5"/>
  <c r="G729" i="5"/>
  <c r="H729" i="5"/>
  <c r="I729" i="5"/>
  <c r="J729" i="5"/>
  <c r="K729" i="5"/>
  <c r="L729" i="5"/>
  <c r="M729" i="5"/>
  <c r="N729" i="5"/>
  <c r="O729" i="5"/>
  <c r="P729" i="5"/>
  <c r="Q729" i="5"/>
  <c r="R729" i="5"/>
  <c r="S729" i="5"/>
  <c r="T729" i="5"/>
  <c r="U729" i="5"/>
  <c r="V729" i="5"/>
  <c r="B730" i="5"/>
  <c r="C730" i="5"/>
  <c r="D730" i="5"/>
  <c r="E730" i="5"/>
  <c r="F730" i="5"/>
  <c r="G730" i="5"/>
  <c r="H730" i="5"/>
  <c r="I730" i="5"/>
  <c r="J730" i="5"/>
  <c r="K730" i="5"/>
  <c r="L730" i="5"/>
  <c r="M730" i="5"/>
  <c r="N730" i="5"/>
  <c r="O730" i="5"/>
  <c r="P730" i="5"/>
  <c r="Q730" i="5"/>
  <c r="R730" i="5"/>
  <c r="S730" i="5"/>
  <c r="T730" i="5"/>
  <c r="U730" i="5"/>
  <c r="V730" i="5"/>
  <c r="B731" i="5"/>
  <c r="C731" i="5"/>
  <c r="D731" i="5"/>
  <c r="E731" i="5"/>
  <c r="F731" i="5"/>
  <c r="G731" i="5"/>
  <c r="H731" i="5"/>
  <c r="I731" i="5"/>
  <c r="J731" i="5"/>
  <c r="K731" i="5"/>
  <c r="L731" i="5"/>
  <c r="M731" i="5"/>
  <c r="N731" i="5"/>
  <c r="O731" i="5"/>
  <c r="P731" i="5"/>
  <c r="Q731" i="5"/>
  <c r="R731" i="5"/>
  <c r="S731" i="5"/>
  <c r="T731" i="5"/>
  <c r="U731" i="5"/>
  <c r="V731" i="5"/>
  <c r="B732" i="5"/>
  <c r="C732" i="5"/>
  <c r="D732" i="5"/>
  <c r="E732" i="5"/>
  <c r="F732" i="5"/>
  <c r="G732" i="5"/>
  <c r="H732" i="5"/>
  <c r="I732" i="5"/>
  <c r="J732" i="5"/>
  <c r="K732" i="5"/>
  <c r="L732" i="5"/>
  <c r="M732" i="5"/>
  <c r="N732" i="5"/>
  <c r="O732" i="5"/>
  <c r="P732" i="5"/>
  <c r="Q732" i="5"/>
  <c r="R732" i="5"/>
  <c r="S732" i="5"/>
  <c r="T732" i="5"/>
  <c r="U732" i="5"/>
  <c r="V732" i="5"/>
  <c r="B733" i="5"/>
  <c r="C733" i="5"/>
  <c r="D733" i="5"/>
  <c r="E733" i="5"/>
  <c r="F733" i="5"/>
  <c r="G733" i="5"/>
  <c r="H733" i="5"/>
  <c r="I733" i="5"/>
  <c r="J733" i="5"/>
  <c r="K733" i="5"/>
  <c r="L733" i="5"/>
  <c r="M733" i="5"/>
  <c r="N733" i="5"/>
  <c r="O733" i="5"/>
  <c r="P733" i="5"/>
  <c r="Q733" i="5"/>
  <c r="R733" i="5"/>
  <c r="S733" i="5"/>
  <c r="T733" i="5"/>
  <c r="U733" i="5"/>
  <c r="V733" i="5"/>
  <c r="B734" i="5"/>
  <c r="C734" i="5"/>
  <c r="D734" i="5"/>
  <c r="E734" i="5"/>
  <c r="F734" i="5"/>
  <c r="G734" i="5"/>
  <c r="H734" i="5"/>
  <c r="I734" i="5"/>
  <c r="J734" i="5"/>
  <c r="K734" i="5"/>
  <c r="L734" i="5"/>
  <c r="M734" i="5"/>
  <c r="N734" i="5"/>
  <c r="O734" i="5"/>
  <c r="P734" i="5"/>
  <c r="Q734" i="5"/>
  <c r="R734" i="5"/>
  <c r="S734" i="5"/>
  <c r="T734" i="5"/>
  <c r="U734" i="5"/>
  <c r="V734" i="5"/>
  <c r="B735" i="5"/>
  <c r="C735" i="5"/>
  <c r="D735" i="5"/>
  <c r="E735" i="5"/>
  <c r="F735" i="5"/>
  <c r="G735" i="5"/>
  <c r="H735" i="5"/>
  <c r="I735" i="5"/>
  <c r="J735" i="5"/>
  <c r="K735" i="5"/>
  <c r="L735" i="5"/>
  <c r="M735" i="5"/>
  <c r="N735" i="5"/>
  <c r="O735" i="5"/>
  <c r="P735" i="5"/>
  <c r="Q735" i="5"/>
  <c r="R735" i="5"/>
  <c r="S735" i="5"/>
  <c r="T735" i="5"/>
  <c r="U735" i="5"/>
  <c r="V735" i="5"/>
  <c r="B736" i="5"/>
  <c r="C736" i="5"/>
  <c r="D736" i="5"/>
  <c r="E736" i="5"/>
  <c r="F736" i="5"/>
  <c r="G736" i="5"/>
  <c r="H736" i="5"/>
  <c r="I736" i="5"/>
  <c r="J736" i="5"/>
  <c r="K736" i="5"/>
  <c r="L736" i="5"/>
  <c r="M736" i="5"/>
  <c r="N736" i="5"/>
  <c r="O736" i="5"/>
  <c r="P736" i="5"/>
  <c r="Q736" i="5"/>
  <c r="R736" i="5"/>
  <c r="S736" i="5"/>
  <c r="T736" i="5"/>
  <c r="U736" i="5"/>
  <c r="V736" i="5"/>
  <c r="B737" i="5"/>
  <c r="C737" i="5"/>
  <c r="D737" i="5"/>
  <c r="E737" i="5"/>
  <c r="F737" i="5"/>
  <c r="G737" i="5"/>
  <c r="H737" i="5"/>
  <c r="I737" i="5"/>
  <c r="J737" i="5"/>
  <c r="K737" i="5"/>
  <c r="L737" i="5"/>
  <c r="M737" i="5"/>
  <c r="N737" i="5"/>
  <c r="O737" i="5"/>
  <c r="P737" i="5"/>
  <c r="Q737" i="5"/>
  <c r="R737" i="5"/>
  <c r="S737" i="5"/>
  <c r="T737" i="5"/>
  <c r="U737" i="5"/>
  <c r="V737" i="5"/>
  <c r="B738" i="5"/>
  <c r="C738" i="5"/>
  <c r="D738" i="5"/>
  <c r="E738" i="5"/>
  <c r="F738" i="5"/>
  <c r="G738" i="5"/>
  <c r="H738" i="5"/>
  <c r="I738" i="5"/>
  <c r="J738" i="5"/>
  <c r="K738" i="5"/>
  <c r="L738" i="5"/>
  <c r="M738" i="5"/>
  <c r="N738" i="5"/>
  <c r="O738" i="5"/>
  <c r="P738" i="5"/>
  <c r="Q738" i="5"/>
  <c r="R738" i="5"/>
  <c r="S738" i="5"/>
  <c r="T738" i="5"/>
  <c r="U738" i="5"/>
  <c r="V738" i="5"/>
  <c r="B739" i="5"/>
  <c r="C739" i="5"/>
  <c r="D739" i="5"/>
  <c r="E739" i="5"/>
  <c r="F739" i="5"/>
  <c r="G739" i="5"/>
  <c r="H739" i="5"/>
  <c r="I739" i="5"/>
  <c r="J739" i="5"/>
  <c r="K739" i="5"/>
  <c r="L739" i="5"/>
  <c r="M739" i="5"/>
  <c r="N739" i="5"/>
  <c r="O739" i="5"/>
  <c r="P739" i="5"/>
  <c r="Q739" i="5"/>
  <c r="R739" i="5"/>
  <c r="S739" i="5"/>
  <c r="T739" i="5"/>
  <c r="U739" i="5"/>
  <c r="V739" i="5"/>
  <c r="B740" i="5"/>
  <c r="C740" i="5"/>
  <c r="D740" i="5"/>
  <c r="E740" i="5"/>
  <c r="F740" i="5"/>
  <c r="G740" i="5"/>
  <c r="H740" i="5"/>
  <c r="I740" i="5"/>
  <c r="J740" i="5"/>
  <c r="K740" i="5"/>
  <c r="L740" i="5"/>
  <c r="M740" i="5"/>
  <c r="N740" i="5"/>
  <c r="O740" i="5"/>
  <c r="P740" i="5"/>
  <c r="Q740" i="5"/>
  <c r="R740" i="5"/>
  <c r="S740" i="5"/>
  <c r="T740" i="5"/>
  <c r="U740" i="5"/>
  <c r="V740" i="5"/>
  <c r="B741" i="5"/>
  <c r="C741" i="5"/>
  <c r="D741" i="5"/>
  <c r="E741" i="5"/>
  <c r="F741" i="5"/>
  <c r="G741" i="5"/>
  <c r="H741" i="5"/>
  <c r="I741" i="5"/>
  <c r="J741" i="5"/>
  <c r="K741" i="5"/>
  <c r="L741" i="5"/>
  <c r="M741" i="5"/>
  <c r="N741" i="5"/>
  <c r="O741" i="5"/>
  <c r="P741" i="5"/>
  <c r="Q741" i="5"/>
  <c r="R741" i="5"/>
  <c r="S741" i="5"/>
  <c r="T741" i="5"/>
  <c r="U741" i="5"/>
  <c r="V741" i="5"/>
  <c r="B742" i="5"/>
  <c r="C742" i="5"/>
  <c r="D742" i="5"/>
  <c r="E742" i="5"/>
  <c r="F742" i="5"/>
  <c r="G742" i="5"/>
  <c r="H742" i="5"/>
  <c r="I742" i="5"/>
  <c r="J742" i="5"/>
  <c r="K742" i="5"/>
  <c r="L742" i="5"/>
  <c r="M742" i="5"/>
  <c r="N742" i="5"/>
  <c r="O742" i="5"/>
  <c r="P742" i="5"/>
  <c r="Q742" i="5"/>
  <c r="R742" i="5"/>
  <c r="S742" i="5"/>
  <c r="T742" i="5"/>
  <c r="U742" i="5"/>
  <c r="V742" i="5"/>
  <c r="B743" i="5"/>
  <c r="C743" i="5"/>
  <c r="D743" i="5"/>
  <c r="E743" i="5"/>
  <c r="F743" i="5"/>
  <c r="G743" i="5"/>
  <c r="H743" i="5"/>
  <c r="I743" i="5"/>
  <c r="J743" i="5"/>
  <c r="K743" i="5"/>
  <c r="L743" i="5"/>
  <c r="M743" i="5"/>
  <c r="N743" i="5"/>
  <c r="O743" i="5"/>
  <c r="P743" i="5"/>
  <c r="Q743" i="5"/>
  <c r="R743" i="5"/>
  <c r="S743" i="5"/>
  <c r="T743" i="5"/>
  <c r="U743" i="5"/>
  <c r="V743" i="5"/>
  <c r="B744" i="5"/>
  <c r="C744" i="5"/>
  <c r="D744" i="5"/>
  <c r="E744" i="5"/>
  <c r="F744" i="5"/>
  <c r="G744" i="5"/>
  <c r="H744" i="5"/>
  <c r="I744" i="5"/>
  <c r="J744" i="5"/>
  <c r="K744" i="5"/>
  <c r="L744" i="5"/>
  <c r="M744" i="5"/>
  <c r="N744" i="5"/>
  <c r="O744" i="5"/>
  <c r="P744" i="5"/>
  <c r="Q744" i="5"/>
  <c r="R744" i="5"/>
  <c r="S744" i="5"/>
  <c r="T744" i="5"/>
  <c r="U744" i="5"/>
  <c r="V744" i="5"/>
  <c r="B745" i="5"/>
  <c r="C745" i="5"/>
  <c r="D745" i="5"/>
  <c r="E745" i="5"/>
  <c r="F745" i="5"/>
  <c r="G745" i="5"/>
  <c r="H745" i="5"/>
  <c r="I745" i="5"/>
  <c r="J745" i="5"/>
  <c r="K745" i="5"/>
  <c r="L745" i="5"/>
  <c r="M745" i="5"/>
  <c r="N745" i="5"/>
  <c r="O745" i="5"/>
  <c r="P745" i="5"/>
  <c r="Q745" i="5"/>
  <c r="R745" i="5"/>
  <c r="S745" i="5"/>
  <c r="T745" i="5"/>
  <c r="U745" i="5"/>
  <c r="V745" i="5"/>
  <c r="B746" i="5"/>
  <c r="C746" i="5"/>
  <c r="D746" i="5"/>
  <c r="E746" i="5"/>
  <c r="F746" i="5"/>
  <c r="G746" i="5"/>
  <c r="H746" i="5"/>
  <c r="I746" i="5"/>
  <c r="J746" i="5"/>
  <c r="K746" i="5"/>
  <c r="L746" i="5"/>
  <c r="M746" i="5"/>
  <c r="N746" i="5"/>
  <c r="O746" i="5"/>
  <c r="P746" i="5"/>
  <c r="Q746" i="5"/>
  <c r="R746" i="5"/>
  <c r="S746" i="5"/>
  <c r="T746" i="5"/>
  <c r="U746" i="5"/>
  <c r="V746" i="5"/>
  <c r="B747" i="5"/>
  <c r="C747" i="5"/>
  <c r="D747" i="5"/>
  <c r="E747" i="5"/>
  <c r="F747" i="5"/>
  <c r="G747" i="5"/>
  <c r="H747" i="5"/>
  <c r="I747" i="5"/>
  <c r="J747" i="5"/>
  <c r="K747" i="5"/>
  <c r="L747" i="5"/>
  <c r="M747" i="5"/>
  <c r="N747" i="5"/>
  <c r="O747" i="5"/>
  <c r="P747" i="5"/>
  <c r="Q747" i="5"/>
  <c r="R747" i="5"/>
  <c r="S747" i="5"/>
  <c r="T747" i="5"/>
  <c r="U747" i="5"/>
  <c r="V747" i="5"/>
  <c r="B748" i="5"/>
  <c r="C748" i="5"/>
  <c r="D748" i="5"/>
  <c r="E748" i="5"/>
  <c r="F748" i="5"/>
  <c r="G748" i="5"/>
  <c r="H748" i="5"/>
  <c r="I748" i="5"/>
  <c r="J748" i="5"/>
  <c r="K748" i="5"/>
  <c r="L748" i="5"/>
  <c r="M748" i="5"/>
  <c r="N748" i="5"/>
  <c r="O748" i="5"/>
  <c r="P748" i="5"/>
  <c r="Q748" i="5"/>
  <c r="R748" i="5"/>
  <c r="S748" i="5"/>
  <c r="T748" i="5"/>
  <c r="U748" i="5"/>
  <c r="V748" i="5"/>
  <c r="B749" i="5"/>
  <c r="C749" i="5"/>
  <c r="D749" i="5"/>
  <c r="E749" i="5"/>
  <c r="F749" i="5"/>
  <c r="G749" i="5"/>
  <c r="H749" i="5"/>
  <c r="I749" i="5"/>
  <c r="J749" i="5"/>
  <c r="K749" i="5"/>
  <c r="L749" i="5"/>
  <c r="M749" i="5"/>
  <c r="N749" i="5"/>
  <c r="O749" i="5"/>
  <c r="P749" i="5"/>
  <c r="Q749" i="5"/>
  <c r="R749" i="5"/>
  <c r="S749" i="5"/>
  <c r="T749" i="5"/>
  <c r="U749" i="5"/>
  <c r="V749" i="5"/>
  <c r="B750" i="5"/>
  <c r="C750" i="5"/>
  <c r="D750" i="5"/>
  <c r="E750" i="5"/>
  <c r="F750" i="5"/>
  <c r="G750" i="5"/>
  <c r="H750" i="5"/>
  <c r="I750" i="5"/>
  <c r="J750" i="5"/>
  <c r="K750" i="5"/>
  <c r="L750" i="5"/>
  <c r="M750" i="5"/>
  <c r="N750" i="5"/>
  <c r="O750" i="5"/>
  <c r="P750" i="5"/>
  <c r="Q750" i="5"/>
  <c r="R750" i="5"/>
  <c r="S750" i="5"/>
  <c r="T750" i="5"/>
  <c r="U750" i="5"/>
  <c r="V750" i="5"/>
  <c r="B751" i="5"/>
  <c r="C751" i="5"/>
  <c r="D751" i="5"/>
  <c r="E751" i="5"/>
  <c r="F751" i="5"/>
  <c r="G751" i="5"/>
  <c r="H751" i="5"/>
  <c r="I751" i="5"/>
  <c r="J751" i="5"/>
  <c r="K751" i="5"/>
  <c r="L751" i="5"/>
  <c r="M751" i="5"/>
  <c r="N751" i="5"/>
  <c r="O751" i="5"/>
  <c r="P751" i="5"/>
  <c r="Q751" i="5"/>
  <c r="R751" i="5"/>
  <c r="S751" i="5"/>
  <c r="T751" i="5"/>
  <c r="U751" i="5"/>
  <c r="V751" i="5"/>
  <c r="B752" i="5"/>
  <c r="C752" i="5"/>
  <c r="D752" i="5"/>
  <c r="E752" i="5"/>
  <c r="F752" i="5"/>
  <c r="G752" i="5"/>
  <c r="H752" i="5"/>
  <c r="I752" i="5"/>
  <c r="J752" i="5"/>
  <c r="K752" i="5"/>
  <c r="L752" i="5"/>
  <c r="M752" i="5"/>
  <c r="N752" i="5"/>
  <c r="O752" i="5"/>
  <c r="P752" i="5"/>
  <c r="Q752" i="5"/>
  <c r="R752" i="5"/>
  <c r="S752" i="5"/>
  <c r="T752" i="5"/>
  <c r="U752" i="5"/>
  <c r="V752" i="5"/>
  <c r="B753" i="5"/>
  <c r="C753" i="5"/>
  <c r="D753" i="5"/>
  <c r="E753" i="5"/>
  <c r="F753" i="5"/>
  <c r="G753" i="5"/>
  <c r="H753" i="5"/>
  <c r="I753" i="5"/>
  <c r="J753" i="5"/>
  <c r="K753" i="5"/>
  <c r="L753" i="5"/>
  <c r="M753" i="5"/>
  <c r="N753" i="5"/>
  <c r="O753" i="5"/>
  <c r="P753" i="5"/>
  <c r="Q753" i="5"/>
  <c r="R753" i="5"/>
  <c r="S753" i="5"/>
  <c r="T753" i="5"/>
  <c r="U753" i="5"/>
  <c r="V753" i="5"/>
  <c r="B754" i="5"/>
  <c r="C754" i="5"/>
  <c r="D754" i="5"/>
  <c r="E754" i="5"/>
  <c r="F754" i="5"/>
  <c r="G754" i="5"/>
  <c r="H754" i="5"/>
  <c r="I754" i="5"/>
  <c r="J754" i="5"/>
  <c r="K754" i="5"/>
  <c r="L754" i="5"/>
  <c r="M754" i="5"/>
  <c r="N754" i="5"/>
  <c r="O754" i="5"/>
  <c r="P754" i="5"/>
  <c r="Q754" i="5"/>
  <c r="R754" i="5"/>
  <c r="S754" i="5"/>
  <c r="T754" i="5"/>
  <c r="U754" i="5"/>
  <c r="V754" i="5"/>
  <c r="B755" i="5"/>
  <c r="C755" i="5"/>
  <c r="D755" i="5"/>
  <c r="E755" i="5"/>
  <c r="F755" i="5"/>
  <c r="G755" i="5"/>
  <c r="H755" i="5"/>
  <c r="I755" i="5"/>
  <c r="J755" i="5"/>
  <c r="K755" i="5"/>
  <c r="L755" i="5"/>
  <c r="M755" i="5"/>
  <c r="N755" i="5"/>
  <c r="O755" i="5"/>
  <c r="P755" i="5"/>
  <c r="Q755" i="5"/>
  <c r="R755" i="5"/>
  <c r="S755" i="5"/>
  <c r="T755" i="5"/>
  <c r="U755" i="5"/>
  <c r="V755" i="5"/>
  <c r="B756" i="5"/>
  <c r="C756" i="5"/>
  <c r="D756" i="5"/>
  <c r="E756" i="5"/>
  <c r="F756" i="5"/>
  <c r="G756" i="5"/>
  <c r="H756" i="5"/>
  <c r="I756" i="5"/>
  <c r="J756" i="5"/>
  <c r="K756" i="5"/>
  <c r="L756" i="5"/>
  <c r="M756" i="5"/>
  <c r="N756" i="5"/>
  <c r="O756" i="5"/>
  <c r="P756" i="5"/>
  <c r="Q756" i="5"/>
  <c r="R756" i="5"/>
  <c r="S756" i="5"/>
  <c r="T756" i="5"/>
  <c r="U756" i="5"/>
  <c r="V756" i="5"/>
  <c r="B757" i="5"/>
  <c r="C757" i="5"/>
  <c r="D757" i="5"/>
  <c r="E757" i="5"/>
  <c r="F757" i="5"/>
  <c r="G757" i="5"/>
  <c r="H757" i="5"/>
  <c r="I757" i="5"/>
  <c r="J757" i="5"/>
  <c r="K757" i="5"/>
  <c r="L757" i="5"/>
  <c r="M757" i="5"/>
  <c r="N757" i="5"/>
  <c r="O757" i="5"/>
  <c r="P757" i="5"/>
  <c r="Q757" i="5"/>
  <c r="R757" i="5"/>
  <c r="S757" i="5"/>
  <c r="T757" i="5"/>
  <c r="U757" i="5"/>
  <c r="V757" i="5"/>
  <c r="B758" i="5"/>
  <c r="C758" i="5"/>
  <c r="D758" i="5"/>
  <c r="E758" i="5"/>
  <c r="F758" i="5"/>
  <c r="G758" i="5"/>
  <c r="H758" i="5"/>
  <c r="I758" i="5"/>
  <c r="J758" i="5"/>
  <c r="K758" i="5"/>
  <c r="L758" i="5"/>
  <c r="M758" i="5"/>
  <c r="N758" i="5"/>
  <c r="O758" i="5"/>
  <c r="P758" i="5"/>
  <c r="Q758" i="5"/>
  <c r="R758" i="5"/>
  <c r="S758" i="5"/>
  <c r="T758" i="5"/>
  <c r="U758" i="5"/>
  <c r="V758" i="5"/>
  <c r="B759" i="5"/>
  <c r="C759" i="5"/>
  <c r="D759" i="5"/>
  <c r="E759" i="5"/>
  <c r="F759" i="5"/>
  <c r="G759" i="5"/>
  <c r="H759" i="5"/>
  <c r="I759" i="5"/>
  <c r="J759" i="5"/>
  <c r="K759" i="5"/>
  <c r="L759" i="5"/>
  <c r="M759" i="5"/>
  <c r="N759" i="5"/>
  <c r="O759" i="5"/>
  <c r="P759" i="5"/>
  <c r="Q759" i="5"/>
  <c r="R759" i="5"/>
  <c r="S759" i="5"/>
  <c r="T759" i="5"/>
  <c r="U759" i="5"/>
  <c r="V759" i="5"/>
  <c r="B760" i="5"/>
  <c r="C760" i="5"/>
  <c r="D760" i="5"/>
  <c r="E760" i="5"/>
  <c r="F760" i="5"/>
  <c r="G760" i="5"/>
  <c r="H760" i="5"/>
  <c r="I760" i="5"/>
  <c r="J760" i="5"/>
  <c r="K760" i="5"/>
  <c r="L760" i="5"/>
  <c r="M760" i="5"/>
  <c r="N760" i="5"/>
  <c r="O760" i="5"/>
  <c r="P760" i="5"/>
  <c r="Q760" i="5"/>
  <c r="R760" i="5"/>
  <c r="S760" i="5"/>
  <c r="T760" i="5"/>
  <c r="U760" i="5"/>
  <c r="V760" i="5"/>
  <c r="B761" i="5"/>
  <c r="C761" i="5"/>
  <c r="D761" i="5"/>
  <c r="E761" i="5"/>
  <c r="F761" i="5"/>
  <c r="G761" i="5"/>
  <c r="H761" i="5"/>
  <c r="I761" i="5"/>
  <c r="J761" i="5"/>
  <c r="K761" i="5"/>
  <c r="L761" i="5"/>
  <c r="M761" i="5"/>
  <c r="N761" i="5"/>
  <c r="O761" i="5"/>
  <c r="P761" i="5"/>
  <c r="Q761" i="5"/>
  <c r="R761" i="5"/>
  <c r="S761" i="5"/>
  <c r="T761" i="5"/>
  <c r="U761" i="5"/>
  <c r="V761" i="5"/>
  <c r="B762" i="5"/>
  <c r="C762" i="5"/>
  <c r="D762" i="5"/>
  <c r="E762" i="5"/>
  <c r="F762" i="5"/>
  <c r="G762" i="5"/>
  <c r="H762" i="5"/>
  <c r="I762" i="5"/>
  <c r="J762" i="5"/>
  <c r="K762" i="5"/>
  <c r="L762" i="5"/>
  <c r="M762" i="5"/>
  <c r="N762" i="5"/>
  <c r="O762" i="5"/>
  <c r="P762" i="5"/>
  <c r="Q762" i="5"/>
  <c r="R762" i="5"/>
  <c r="S762" i="5"/>
  <c r="T762" i="5"/>
  <c r="U762" i="5"/>
  <c r="V762" i="5"/>
  <c r="B763" i="5"/>
  <c r="C763" i="5"/>
  <c r="D763" i="5"/>
  <c r="E763" i="5"/>
  <c r="F763" i="5"/>
  <c r="G763" i="5"/>
  <c r="H763" i="5"/>
  <c r="I763" i="5"/>
  <c r="J763" i="5"/>
  <c r="K763" i="5"/>
  <c r="L763" i="5"/>
  <c r="M763" i="5"/>
  <c r="N763" i="5"/>
  <c r="O763" i="5"/>
  <c r="P763" i="5"/>
  <c r="Q763" i="5"/>
  <c r="R763" i="5"/>
  <c r="S763" i="5"/>
  <c r="T763" i="5"/>
  <c r="U763" i="5"/>
  <c r="V763" i="5"/>
  <c r="B764" i="5"/>
  <c r="C764" i="5"/>
  <c r="D764" i="5"/>
  <c r="E764" i="5"/>
  <c r="F764" i="5"/>
  <c r="G764" i="5"/>
  <c r="H764" i="5"/>
  <c r="I764" i="5"/>
  <c r="J764" i="5"/>
  <c r="K764" i="5"/>
  <c r="L764" i="5"/>
  <c r="M764" i="5"/>
  <c r="N764" i="5"/>
  <c r="O764" i="5"/>
  <c r="P764" i="5"/>
  <c r="Q764" i="5"/>
  <c r="R764" i="5"/>
  <c r="S764" i="5"/>
  <c r="T764" i="5"/>
  <c r="U764" i="5"/>
  <c r="V764" i="5"/>
  <c r="B765" i="5"/>
  <c r="C765" i="5"/>
  <c r="D765" i="5"/>
  <c r="E765" i="5"/>
  <c r="F765" i="5"/>
  <c r="G765" i="5"/>
  <c r="H765" i="5"/>
  <c r="I765" i="5"/>
  <c r="J765" i="5"/>
  <c r="K765" i="5"/>
  <c r="L765" i="5"/>
  <c r="M765" i="5"/>
  <c r="N765" i="5"/>
  <c r="O765" i="5"/>
  <c r="P765" i="5"/>
  <c r="Q765" i="5"/>
  <c r="R765" i="5"/>
  <c r="S765" i="5"/>
  <c r="T765" i="5"/>
  <c r="U765" i="5"/>
  <c r="V765" i="5"/>
  <c r="B766" i="5"/>
  <c r="C766" i="5"/>
  <c r="D766" i="5"/>
  <c r="E766" i="5"/>
  <c r="F766" i="5"/>
  <c r="G766" i="5"/>
  <c r="H766" i="5"/>
  <c r="I766" i="5"/>
  <c r="J766" i="5"/>
  <c r="K766" i="5"/>
  <c r="L766" i="5"/>
  <c r="M766" i="5"/>
  <c r="N766" i="5"/>
  <c r="O766" i="5"/>
  <c r="P766" i="5"/>
  <c r="Q766" i="5"/>
  <c r="R766" i="5"/>
  <c r="S766" i="5"/>
  <c r="T766" i="5"/>
  <c r="U766" i="5"/>
  <c r="V766" i="5"/>
  <c r="B767" i="5"/>
  <c r="C767" i="5"/>
  <c r="D767" i="5"/>
  <c r="E767" i="5"/>
  <c r="F767" i="5"/>
  <c r="G767" i="5"/>
  <c r="H767" i="5"/>
  <c r="I767" i="5"/>
  <c r="J767" i="5"/>
  <c r="K767" i="5"/>
  <c r="L767" i="5"/>
  <c r="M767" i="5"/>
  <c r="N767" i="5"/>
  <c r="O767" i="5"/>
  <c r="P767" i="5"/>
  <c r="Q767" i="5"/>
  <c r="R767" i="5"/>
  <c r="S767" i="5"/>
  <c r="T767" i="5"/>
  <c r="U767" i="5"/>
  <c r="V767" i="5"/>
  <c r="B768" i="5"/>
  <c r="C768" i="5"/>
  <c r="D768" i="5"/>
  <c r="E768" i="5"/>
  <c r="F768" i="5"/>
  <c r="G768" i="5"/>
  <c r="H768" i="5"/>
  <c r="I768" i="5"/>
  <c r="J768" i="5"/>
  <c r="K768" i="5"/>
  <c r="L768" i="5"/>
  <c r="M768" i="5"/>
  <c r="N768" i="5"/>
  <c r="O768" i="5"/>
  <c r="P768" i="5"/>
  <c r="Q768" i="5"/>
  <c r="R768" i="5"/>
  <c r="S768" i="5"/>
  <c r="T768" i="5"/>
  <c r="U768" i="5"/>
  <c r="V768" i="5"/>
  <c r="B769" i="5"/>
  <c r="C769" i="5"/>
  <c r="D769" i="5"/>
  <c r="E769" i="5"/>
  <c r="F769" i="5"/>
  <c r="G769" i="5"/>
  <c r="H769" i="5"/>
  <c r="I769" i="5"/>
  <c r="J769" i="5"/>
  <c r="K769" i="5"/>
  <c r="L769" i="5"/>
  <c r="M769" i="5"/>
  <c r="N769" i="5"/>
  <c r="O769" i="5"/>
  <c r="P769" i="5"/>
  <c r="Q769" i="5"/>
  <c r="R769" i="5"/>
  <c r="S769" i="5"/>
  <c r="T769" i="5"/>
  <c r="U769" i="5"/>
  <c r="V769" i="5"/>
  <c r="B770" i="5"/>
  <c r="C770" i="5"/>
  <c r="D770" i="5"/>
  <c r="E770" i="5"/>
  <c r="F770" i="5"/>
  <c r="G770" i="5"/>
  <c r="H770" i="5"/>
  <c r="I770" i="5"/>
  <c r="J770" i="5"/>
  <c r="K770" i="5"/>
  <c r="L770" i="5"/>
  <c r="M770" i="5"/>
  <c r="N770" i="5"/>
  <c r="O770" i="5"/>
  <c r="P770" i="5"/>
  <c r="Q770" i="5"/>
  <c r="R770" i="5"/>
  <c r="S770" i="5"/>
  <c r="T770" i="5"/>
  <c r="U770" i="5"/>
  <c r="V770" i="5"/>
  <c r="B771" i="5"/>
  <c r="C771" i="5"/>
  <c r="D771" i="5"/>
  <c r="E771" i="5"/>
  <c r="F771" i="5"/>
  <c r="G771" i="5"/>
  <c r="H771" i="5"/>
  <c r="I771" i="5"/>
  <c r="J771" i="5"/>
  <c r="K771" i="5"/>
  <c r="L771" i="5"/>
  <c r="M771" i="5"/>
  <c r="N771" i="5"/>
  <c r="O771" i="5"/>
  <c r="P771" i="5"/>
  <c r="Q771" i="5"/>
  <c r="R771" i="5"/>
  <c r="S771" i="5"/>
  <c r="T771" i="5"/>
  <c r="U771" i="5"/>
  <c r="V771" i="5"/>
  <c r="B772" i="5"/>
  <c r="C772" i="5"/>
  <c r="D772" i="5"/>
  <c r="E772" i="5"/>
  <c r="F772" i="5"/>
  <c r="G772" i="5"/>
  <c r="H772" i="5"/>
  <c r="I772" i="5"/>
  <c r="J772" i="5"/>
  <c r="K772" i="5"/>
  <c r="L772" i="5"/>
  <c r="M772" i="5"/>
  <c r="N772" i="5"/>
  <c r="O772" i="5"/>
  <c r="P772" i="5"/>
  <c r="Q772" i="5"/>
  <c r="R772" i="5"/>
  <c r="S772" i="5"/>
  <c r="T772" i="5"/>
  <c r="U772" i="5"/>
  <c r="V772" i="5"/>
  <c r="B773" i="5"/>
  <c r="C773" i="5"/>
  <c r="D773" i="5"/>
  <c r="E773" i="5"/>
  <c r="F773" i="5"/>
  <c r="G773" i="5"/>
  <c r="H773" i="5"/>
  <c r="I773" i="5"/>
  <c r="J773" i="5"/>
  <c r="K773" i="5"/>
  <c r="L773" i="5"/>
  <c r="M773" i="5"/>
  <c r="N773" i="5"/>
  <c r="O773" i="5"/>
  <c r="P773" i="5"/>
  <c r="Q773" i="5"/>
  <c r="R773" i="5"/>
  <c r="S773" i="5"/>
  <c r="T773" i="5"/>
  <c r="U773" i="5"/>
  <c r="V773" i="5"/>
  <c r="B774" i="5"/>
  <c r="C774" i="5"/>
  <c r="D774" i="5"/>
  <c r="E774" i="5"/>
  <c r="F774" i="5"/>
  <c r="G774" i="5"/>
  <c r="H774" i="5"/>
  <c r="I774" i="5"/>
  <c r="J774" i="5"/>
  <c r="K774" i="5"/>
  <c r="L774" i="5"/>
  <c r="M774" i="5"/>
  <c r="N774" i="5"/>
  <c r="O774" i="5"/>
  <c r="P774" i="5"/>
  <c r="Q774" i="5"/>
  <c r="R774" i="5"/>
  <c r="S774" i="5"/>
  <c r="T774" i="5"/>
  <c r="U774" i="5"/>
  <c r="V774" i="5"/>
  <c r="B775" i="5"/>
  <c r="C775" i="5"/>
  <c r="D775" i="5"/>
  <c r="E775" i="5"/>
  <c r="F775" i="5"/>
  <c r="G775" i="5"/>
  <c r="H775" i="5"/>
  <c r="I775" i="5"/>
  <c r="J775" i="5"/>
  <c r="K775" i="5"/>
  <c r="L775" i="5"/>
  <c r="M775" i="5"/>
  <c r="N775" i="5"/>
  <c r="O775" i="5"/>
  <c r="P775" i="5"/>
  <c r="Q775" i="5"/>
  <c r="R775" i="5"/>
  <c r="S775" i="5"/>
  <c r="T775" i="5"/>
  <c r="U775" i="5"/>
  <c r="V775" i="5"/>
  <c r="B776" i="5"/>
  <c r="C776" i="5"/>
  <c r="D776" i="5"/>
  <c r="E776" i="5"/>
  <c r="F776" i="5"/>
  <c r="G776" i="5"/>
  <c r="H776" i="5"/>
  <c r="I776" i="5"/>
  <c r="J776" i="5"/>
  <c r="K776" i="5"/>
  <c r="L776" i="5"/>
  <c r="M776" i="5"/>
  <c r="N776" i="5"/>
  <c r="O776" i="5"/>
  <c r="P776" i="5"/>
  <c r="Q776" i="5"/>
  <c r="R776" i="5"/>
  <c r="S776" i="5"/>
  <c r="T776" i="5"/>
  <c r="U776" i="5"/>
  <c r="V776" i="5"/>
  <c r="B777" i="5"/>
  <c r="C777" i="5"/>
  <c r="D777" i="5"/>
  <c r="E777" i="5"/>
  <c r="F777" i="5"/>
  <c r="G777" i="5"/>
  <c r="H777" i="5"/>
  <c r="I777" i="5"/>
  <c r="J777" i="5"/>
  <c r="K777" i="5"/>
  <c r="L777" i="5"/>
  <c r="M777" i="5"/>
  <c r="N777" i="5"/>
  <c r="O777" i="5"/>
  <c r="P777" i="5"/>
  <c r="Q777" i="5"/>
  <c r="R777" i="5"/>
  <c r="S777" i="5"/>
  <c r="T777" i="5"/>
  <c r="U777" i="5"/>
  <c r="V777" i="5"/>
  <c r="B778" i="5"/>
  <c r="C778" i="5"/>
  <c r="D778" i="5"/>
  <c r="E778" i="5"/>
  <c r="F778" i="5"/>
  <c r="G778" i="5"/>
  <c r="H778" i="5"/>
  <c r="I778" i="5"/>
  <c r="J778" i="5"/>
  <c r="K778" i="5"/>
  <c r="L778" i="5"/>
  <c r="M778" i="5"/>
  <c r="N778" i="5"/>
  <c r="O778" i="5"/>
  <c r="P778" i="5"/>
  <c r="Q778" i="5"/>
  <c r="R778" i="5"/>
  <c r="S778" i="5"/>
  <c r="T778" i="5"/>
  <c r="U778" i="5"/>
  <c r="V778" i="5"/>
  <c r="B779" i="5"/>
  <c r="C779" i="5"/>
  <c r="D779" i="5"/>
  <c r="E779" i="5"/>
  <c r="F779" i="5"/>
  <c r="G779" i="5"/>
  <c r="H779" i="5"/>
  <c r="I779" i="5"/>
  <c r="J779" i="5"/>
  <c r="K779" i="5"/>
  <c r="L779" i="5"/>
  <c r="M779" i="5"/>
  <c r="N779" i="5"/>
  <c r="O779" i="5"/>
  <c r="P779" i="5"/>
  <c r="Q779" i="5"/>
  <c r="R779" i="5"/>
  <c r="S779" i="5"/>
  <c r="T779" i="5"/>
  <c r="U779" i="5"/>
  <c r="V779" i="5"/>
  <c r="B780" i="5"/>
  <c r="C780" i="5"/>
  <c r="D780" i="5"/>
  <c r="E780" i="5"/>
  <c r="F780" i="5"/>
  <c r="G780" i="5"/>
  <c r="H780" i="5"/>
  <c r="I780" i="5"/>
  <c r="J780" i="5"/>
  <c r="K780" i="5"/>
  <c r="L780" i="5"/>
  <c r="M780" i="5"/>
  <c r="N780" i="5"/>
  <c r="O780" i="5"/>
  <c r="P780" i="5"/>
  <c r="Q780" i="5"/>
  <c r="R780" i="5"/>
  <c r="S780" i="5"/>
  <c r="T780" i="5"/>
  <c r="U780" i="5"/>
  <c r="V780" i="5"/>
  <c r="B781" i="5"/>
  <c r="C781" i="5"/>
  <c r="D781" i="5"/>
  <c r="E781" i="5"/>
  <c r="F781" i="5"/>
  <c r="G781" i="5"/>
  <c r="H781" i="5"/>
  <c r="I781" i="5"/>
  <c r="J781" i="5"/>
  <c r="K781" i="5"/>
  <c r="L781" i="5"/>
  <c r="M781" i="5"/>
  <c r="N781" i="5"/>
  <c r="O781" i="5"/>
  <c r="P781" i="5"/>
  <c r="Q781" i="5"/>
  <c r="R781" i="5"/>
  <c r="S781" i="5"/>
  <c r="T781" i="5"/>
  <c r="U781" i="5"/>
  <c r="V781" i="5"/>
  <c r="B782" i="5"/>
  <c r="C782" i="5"/>
  <c r="D782" i="5"/>
  <c r="E782" i="5"/>
  <c r="F782" i="5"/>
  <c r="G782" i="5"/>
  <c r="H782" i="5"/>
  <c r="I782" i="5"/>
  <c r="J782" i="5"/>
  <c r="K782" i="5"/>
  <c r="L782" i="5"/>
  <c r="M782" i="5"/>
  <c r="N782" i="5"/>
  <c r="O782" i="5"/>
  <c r="P782" i="5"/>
  <c r="Q782" i="5"/>
  <c r="R782" i="5"/>
  <c r="S782" i="5"/>
  <c r="T782" i="5"/>
  <c r="U782" i="5"/>
  <c r="V782" i="5"/>
  <c r="B783" i="5"/>
  <c r="C783" i="5"/>
  <c r="D783" i="5"/>
  <c r="E783" i="5"/>
  <c r="F783" i="5"/>
  <c r="G783" i="5"/>
  <c r="H783" i="5"/>
  <c r="I783" i="5"/>
  <c r="J783" i="5"/>
  <c r="K783" i="5"/>
  <c r="L783" i="5"/>
  <c r="M783" i="5"/>
  <c r="N783" i="5"/>
  <c r="O783" i="5"/>
  <c r="P783" i="5"/>
  <c r="Q783" i="5"/>
  <c r="R783" i="5"/>
  <c r="S783" i="5"/>
  <c r="T783" i="5"/>
  <c r="U783" i="5"/>
  <c r="V783" i="5"/>
  <c r="B784" i="5"/>
  <c r="C784" i="5"/>
  <c r="D784" i="5"/>
  <c r="E784" i="5"/>
  <c r="F784" i="5"/>
  <c r="G784" i="5"/>
  <c r="H784" i="5"/>
  <c r="I784" i="5"/>
  <c r="J784" i="5"/>
  <c r="K784" i="5"/>
  <c r="L784" i="5"/>
  <c r="M784" i="5"/>
  <c r="N784" i="5"/>
  <c r="O784" i="5"/>
  <c r="P784" i="5"/>
  <c r="Q784" i="5"/>
  <c r="R784" i="5"/>
  <c r="S784" i="5"/>
  <c r="T784" i="5"/>
  <c r="U784" i="5"/>
  <c r="V784" i="5"/>
  <c r="B785" i="5"/>
  <c r="C785" i="5"/>
  <c r="D785" i="5"/>
  <c r="E785" i="5"/>
  <c r="F785" i="5"/>
  <c r="G785" i="5"/>
  <c r="H785" i="5"/>
  <c r="I785" i="5"/>
  <c r="J785" i="5"/>
  <c r="K785" i="5"/>
  <c r="L785" i="5"/>
  <c r="M785" i="5"/>
  <c r="N785" i="5"/>
  <c r="O785" i="5"/>
  <c r="P785" i="5"/>
  <c r="Q785" i="5"/>
  <c r="R785" i="5"/>
  <c r="S785" i="5"/>
  <c r="T785" i="5"/>
  <c r="U785" i="5"/>
  <c r="V785" i="5"/>
  <c r="B786" i="5"/>
  <c r="C786" i="5"/>
  <c r="D786" i="5"/>
  <c r="E786" i="5"/>
  <c r="F786" i="5"/>
  <c r="G786" i="5"/>
  <c r="H786" i="5"/>
  <c r="I786" i="5"/>
  <c r="J786" i="5"/>
  <c r="K786" i="5"/>
  <c r="L786" i="5"/>
  <c r="M786" i="5"/>
  <c r="N786" i="5"/>
  <c r="O786" i="5"/>
  <c r="P786" i="5"/>
  <c r="Q786" i="5"/>
  <c r="R786" i="5"/>
  <c r="S786" i="5"/>
  <c r="T786" i="5"/>
  <c r="U786" i="5"/>
  <c r="V786" i="5"/>
  <c r="B787" i="5"/>
  <c r="C787" i="5"/>
  <c r="D787" i="5"/>
  <c r="E787" i="5"/>
  <c r="F787" i="5"/>
  <c r="G787" i="5"/>
  <c r="H787" i="5"/>
  <c r="I787" i="5"/>
  <c r="J787" i="5"/>
  <c r="K787" i="5"/>
  <c r="L787" i="5"/>
  <c r="M787" i="5"/>
  <c r="N787" i="5"/>
  <c r="O787" i="5"/>
  <c r="P787" i="5"/>
  <c r="Q787" i="5"/>
  <c r="R787" i="5"/>
  <c r="S787" i="5"/>
  <c r="T787" i="5"/>
  <c r="U787" i="5"/>
  <c r="V787" i="5"/>
  <c r="B788" i="5"/>
  <c r="C788" i="5"/>
  <c r="D788" i="5"/>
  <c r="E788" i="5"/>
  <c r="F788" i="5"/>
  <c r="G788" i="5"/>
  <c r="H788" i="5"/>
  <c r="I788" i="5"/>
  <c r="J788" i="5"/>
  <c r="K788" i="5"/>
  <c r="L788" i="5"/>
  <c r="M788" i="5"/>
  <c r="N788" i="5"/>
  <c r="O788" i="5"/>
  <c r="P788" i="5"/>
  <c r="Q788" i="5"/>
  <c r="R788" i="5"/>
  <c r="S788" i="5"/>
  <c r="T788" i="5"/>
  <c r="U788" i="5"/>
  <c r="V788" i="5"/>
  <c r="B789" i="5"/>
  <c r="C789" i="5"/>
  <c r="D789" i="5"/>
  <c r="E789" i="5"/>
  <c r="F789" i="5"/>
  <c r="G789" i="5"/>
  <c r="H789" i="5"/>
  <c r="I789" i="5"/>
  <c r="J789" i="5"/>
  <c r="K789" i="5"/>
  <c r="L789" i="5"/>
  <c r="M789" i="5"/>
  <c r="N789" i="5"/>
  <c r="O789" i="5"/>
  <c r="P789" i="5"/>
  <c r="Q789" i="5"/>
  <c r="R789" i="5"/>
  <c r="S789" i="5"/>
  <c r="T789" i="5"/>
  <c r="U789" i="5"/>
  <c r="V789" i="5"/>
  <c r="B790" i="5"/>
  <c r="C790" i="5"/>
  <c r="D790" i="5"/>
  <c r="E790" i="5"/>
  <c r="F790" i="5"/>
  <c r="G790" i="5"/>
  <c r="H790" i="5"/>
  <c r="I790" i="5"/>
  <c r="J790" i="5"/>
  <c r="K790" i="5"/>
  <c r="L790" i="5"/>
  <c r="M790" i="5"/>
  <c r="N790" i="5"/>
  <c r="O790" i="5"/>
  <c r="P790" i="5"/>
  <c r="Q790" i="5"/>
  <c r="R790" i="5"/>
  <c r="S790" i="5"/>
  <c r="T790" i="5"/>
  <c r="U790" i="5"/>
  <c r="V790" i="5"/>
  <c r="B791" i="5"/>
  <c r="C791" i="5"/>
  <c r="D791" i="5"/>
  <c r="E791" i="5"/>
  <c r="F791" i="5"/>
  <c r="G791" i="5"/>
  <c r="H791" i="5"/>
  <c r="I791" i="5"/>
  <c r="J791" i="5"/>
  <c r="K791" i="5"/>
  <c r="L791" i="5"/>
  <c r="M791" i="5"/>
  <c r="N791" i="5"/>
  <c r="O791" i="5"/>
  <c r="P791" i="5"/>
  <c r="Q791" i="5"/>
  <c r="R791" i="5"/>
  <c r="S791" i="5"/>
  <c r="T791" i="5"/>
  <c r="U791" i="5"/>
  <c r="V791" i="5"/>
  <c r="B792" i="5"/>
  <c r="C792" i="5"/>
  <c r="D792" i="5"/>
  <c r="E792" i="5"/>
  <c r="F792" i="5"/>
  <c r="G792" i="5"/>
  <c r="H792" i="5"/>
  <c r="I792" i="5"/>
  <c r="J792" i="5"/>
  <c r="K792" i="5"/>
  <c r="L792" i="5"/>
  <c r="M792" i="5"/>
  <c r="N792" i="5"/>
  <c r="O792" i="5"/>
  <c r="P792" i="5"/>
  <c r="Q792" i="5"/>
  <c r="R792" i="5"/>
  <c r="S792" i="5"/>
  <c r="T792" i="5"/>
  <c r="U792" i="5"/>
  <c r="V792" i="5"/>
  <c r="B793" i="5"/>
  <c r="C793" i="5"/>
  <c r="D793" i="5"/>
  <c r="E793" i="5"/>
  <c r="F793" i="5"/>
  <c r="G793" i="5"/>
  <c r="H793" i="5"/>
  <c r="I793" i="5"/>
  <c r="J793" i="5"/>
  <c r="K793" i="5"/>
  <c r="L793" i="5"/>
  <c r="M793" i="5"/>
  <c r="N793" i="5"/>
  <c r="O793" i="5"/>
  <c r="P793" i="5"/>
  <c r="Q793" i="5"/>
  <c r="R793" i="5"/>
  <c r="S793" i="5"/>
  <c r="T793" i="5"/>
  <c r="U793" i="5"/>
  <c r="V793" i="5"/>
  <c r="B794" i="5"/>
  <c r="C794" i="5"/>
  <c r="D794" i="5"/>
  <c r="E794" i="5"/>
  <c r="F794" i="5"/>
  <c r="G794" i="5"/>
  <c r="H794" i="5"/>
  <c r="I794" i="5"/>
  <c r="J794" i="5"/>
  <c r="K794" i="5"/>
  <c r="L794" i="5"/>
  <c r="M794" i="5"/>
  <c r="N794" i="5"/>
  <c r="O794" i="5"/>
  <c r="P794" i="5"/>
  <c r="Q794" i="5"/>
  <c r="R794" i="5"/>
  <c r="S794" i="5"/>
  <c r="T794" i="5"/>
  <c r="U794" i="5"/>
  <c r="V794" i="5"/>
  <c r="B795" i="5"/>
  <c r="C795" i="5"/>
  <c r="D795" i="5"/>
  <c r="E795" i="5"/>
  <c r="F795" i="5"/>
  <c r="G795" i="5"/>
  <c r="H795" i="5"/>
  <c r="I795" i="5"/>
  <c r="J795" i="5"/>
  <c r="K795" i="5"/>
  <c r="L795" i="5"/>
  <c r="M795" i="5"/>
  <c r="N795" i="5"/>
  <c r="O795" i="5"/>
  <c r="P795" i="5"/>
  <c r="Q795" i="5"/>
  <c r="R795" i="5"/>
  <c r="S795" i="5"/>
  <c r="T795" i="5"/>
  <c r="U795" i="5"/>
  <c r="V795" i="5"/>
  <c r="B796" i="5"/>
  <c r="C796" i="5"/>
  <c r="D796" i="5"/>
  <c r="E796" i="5"/>
  <c r="F796" i="5"/>
  <c r="G796" i="5"/>
  <c r="H796" i="5"/>
  <c r="I796" i="5"/>
  <c r="J796" i="5"/>
  <c r="K796" i="5"/>
  <c r="L796" i="5"/>
  <c r="M796" i="5"/>
  <c r="N796" i="5"/>
  <c r="O796" i="5"/>
  <c r="P796" i="5"/>
  <c r="Q796" i="5"/>
  <c r="R796" i="5"/>
  <c r="S796" i="5"/>
  <c r="T796" i="5"/>
  <c r="U796" i="5"/>
  <c r="V796" i="5"/>
  <c r="B797" i="5"/>
  <c r="C797" i="5"/>
  <c r="D797" i="5"/>
  <c r="E797" i="5"/>
  <c r="F797" i="5"/>
  <c r="G797" i="5"/>
  <c r="H797" i="5"/>
  <c r="I797" i="5"/>
  <c r="J797" i="5"/>
  <c r="K797" i="5"/>
  <c r="L797" i="5"/>
  <c r="M797" i="5"/>
  <c r="N797" i="5"/>
  <c r="O797" i="5"/>
  <c r="P797" i="5"/>
  <c r="Q797" i="5"/>
  <c r="R797" i="5"/>
  <c r="S797" i="5"/>
  <c r="T797" i="5"/>
  <c r="U797" i="5"/>
  <c r="V797" i="5"/>
  <c r="B798" i="5"/>
  <c r="C798" i="5"/>
  <c r="D798" i="5"/>
  <c r="E798" i="5"/>
  <c r="F798" i="5"/>
  <c r="G798" i="5"/>
  <c r="H798" i="5"/>
  <c r="I798" i="5"/>
  <c r="J798" i="5"/>
  <c r="K798" i="5"/>
  <c r="L798" i="5"/>
  <c r="M798" i="5"/>
  <c r="N798" i="5"/>
  <c r="O798" i="5"/>
  <c r="P798" i="5"/>
  <c r="Q798" i="5"/>
  <c r="R798" i="5"/>
  <c r="S798" i="5"/>
  <c r="T798" i="5"/>
  <c r="U798" i="5"/>
  <c r="V798" i="5"/>
  <c r="B799" i="5"/>
  <c r="C799" i="5"/>
  <c r="D799" i="5"/>
  <c r="E799" i="5"/>
  <c r="F799" i="5"/>
  <c r="G799" i="5"/>
  <c r="H799" i="5"/>
  <c r="I799" i="5"/>
  <c r="J799" i="5"/>
  <c r="K799" i="5"/>
  <c r="L799" i="5"/>
  <c r="M799" i="5"/>
  <c r="N799" i="5"/>
  <c r="O799" i="5"/>
  <c r="P799" i="5"/>
  <c r="Q799" i="5"/>
  <c r="R799" i="5"/>
  <c r="S799" i="5"/>
  <c r="T799" i="5"/>
  <c r="U799" i="5"/>
  <c r="V799" i="5"/>
  <c r="B800" i="5"/>
  <c r="C800" i="5"/>
  <c r="D800" i="5"/>
  <c r="E800" i="5"/>
  <c r="F800" i="5"/>
  <c r="G800" i="5"/>
  <c r="H800" i="5"/>
  <c r="I800" i="5"/>
  <c r="J800" i="5"/>
  <c r="K800" i="5"/>
  <c r="L800" i="5"/>
  <c r="M800" i="5"/>
  <c r="N800" i="5"/>
  <c r="O800" i="5"/>
  <c r="P800" i="5"/>
  <c r="Q800" i="5"/>
  <c r="R800" i="5"/>
  <c r="S800" i="5"/>
  <c r="T800" i="5"/>
  <c r="U800" i="5"/>
  <c r="V800" i="5"/>
  <c r="B801" i="5"/>
  <c r="C801" i="5"/>
  <c r="D801" i="5"/>
  <c r="E801" i="5"/>
  <c r="F801" i="5"/>
  <c r="G801" i="5"/>
  <c r="H801" i="5"/>
  <c r="I801" i="5"/>
  <c r="J801" i="5"/>
  <c r="K801" i="5"/>
  <c r="L801" i="5"/>
  <c r="M801" i="5"/>
  <c r="N801" i="5"/>
  <c r="O801" i="5"/>
  <c r="P801" i="5"/>
  <c r="Q801" i="5"/>
  <c r="R801" i="5"/>
  <c r="S801" i="5"/>
  <c r="T801" i="5"/>
  <c r="U801" i="5"/>
  <c r="V801" i="5"/>
  <c r="B802" i="5"/>
  <c r="C802" i="5"/>
  <c r="D802" i="5"/>
  <c r="E802" i="5"/>
  <c r="F802" i="5"/>
  <c r="G802" i="5"/>
  <c r="H802" i="5"/>
  <c r="I802" i="5"/>
  <c r="J802" i="5"/>
  <c r="K802" i="5"/>
  <c r="L802" i="5"/>
  <c r="M802" i="5"/>
  <c r="N802" i="5"/>
  <c r="O802" i="5"/>
  <c r="P802" i="5"/>
  <c r="Q802" i="5"/>
  <c r="R802" i="5"/>
  <c r="S802" i="5"/>
  <c r="T802" i="5"/>
  <c r="U802" i="5"/>
  <c r="V802" i="5"/>
  <c r="B803" i="5"/>
  <c r="C803" i="5"/>
  <c r="D803" i="5"/>
  <c r="E803" i="5"/>
  <c r="F803" i="5"/>
  <c r="G803" i="5"/>
  <c r="H803" i="5"/>
  <c r="I803" i="5"/>
  <c r="J803" i="5"/>
  <c r="K803" i="5"/>
  <c r="L803" i="5"/>
  <c r="M803" i="5"/>
  <c r="N803" i="5"/>
  <c r="O803" i="5"/>
  <c r="P803" i="5"/>
  <c r="Q803" i="5"/>
  <c r="R803" i="5"/>
  <c r="S803" i="5"/>
  <c r="T803" i="5"/>
  <c r="U803" i="5"/>
  <c r="V803" i="5"/>
  <c r="B804" i="5"/>
  <c r="C804" i="5"/>
  <c r="D804" i="5"/>
  <c r="E804" i="5"/>
  <c r="F804" i="5"/>
  <c r="G804" i="5"/>
  <c r="H804" i="5"/>
  <c r="I804" i="5"/>
  <c r="J804" i="5"/>
  <c r="K804" i="5"/>
  <c r="L804" i="5"/>
  <c r="M804" i="5"/>
  <c r="N804" i="5"/>
  <c r="O804" i="5"/>
  <c r="P804" i="5"/>
  <c r="Q804" i="5"/>
  <c r="R804" i="5"/>
  <c r="S804" i="5"/>
  <c r="T804" i="5"/>
  <c r="U804" i="5"/>
  <c r="V804" i="5"/>
  <c r="B805" i="5"/>
  <c r="C805" i="5"/>
  <c r="D805" i="5"/>
  <c r="E805" i="5"/>
  <c r="F805" i="5"/>
  <c r="G805" i="5"/>
  <c r="H805" i="5"/>
  <c r="I805" i="5"/>
  <c r="J805" i="5"/>
  <c r="K805" i="5"/>
  <c r="L805" i="5"/>
  <c r="M805" i="5"/>
  <c r="N805" i="5"/>
  <c r="O805" i="5"/>
  <c r="P805" i="5"/>
  <c r="Q805" i="5"/>
  <c r="R805" i="5"/>
  <c r="S805" i="5"/>
  <c r="T805" i="5"/>
  <c r="U805" i="5"/>
  <c r="V805" i="5"/>
  <c r="B806" i="5"/>
  <c r="C806" i="5"/>
  <c r="D806" i="5"/>
  <c r="E806" i="5"/>
  <c r="F806" i="5"/>
  <c r="G806" i="5"/>
  <c r="H806" i="5"/>
  <c r="I806" i="5"/>
  <c r="J806" i="5"/>
  <c r="K806" i="5"/>
  <c r="L806" i="5"/>
  <c r="M806" i="5"/>
  <c r="N806" i="5"/>
  <c r="O806" i="5"/>
  <c r="P806" i="5"/>
  <c r="Q806" i="5"/>
  <c r="R806" i="5"/>
  <c r="S806" i="5"/>
  <c r="T806" i="5"/>
  <c r="U806" i="5"/>
  <c r="V806" i="5"/>
  <c r="B807" i="5"/>
  <c r="C807" i="5"/>
  <c r="D807" i="5"/>
  <c r="E807" i="5"/>
  <c r="F807" i="5"/>
  <c r="G807" i="5"/>
  <c r="H807" i="5"/>
  <c r="I807" i="5"/>
  <c r="J807" i="5"/>
  <c r="K807" i="5"/>
  <c r="L807" i="5"/>
  <c r="M807" i="5"/>
  <c r="N807" i="5"/>
  <c r="O807" i="5"/>
  <c r="P807" i="5"/>
  <c r="Q807" i="5"/>
  <c r="R807" i="5"/>
  <c r="S807" i="5"/>
  <c r="T807" i="5"/>
  <c r="U807" i="5"/>
  <c r="V807" i="5"/>
  <c r="B808" i="5"/>
  <c r="C808" i="5"/>
  <c r="D808" i="5"/>
  <c r="E808" i="5"/>
  <c r="F808" i="5"/>
  <c r="G808" i="5"/>
  <c r="H808" i="5"/>
  <c r="I808" i="5"/>
  <c r="J808" i="5"/>
  <c r="K808" i="5"/>
  <c r="L808" i="5"/>
  <c r="M808" i="5"/>
  <c r="N808" i="5"/>
  <c r="O808" i="5"/>
  <c r="P808" i="5"/>
  <c r="Q808" i="5"/>
  <c r="R808" i="5"/>
  <c r="S808" i="5"/>
  <c r="T808" i="5"/>
  <c r="U808" i="5"/>
  <c r="V808" i="5"/>
  <c r="B809" i="5"/>
  <c r="C809" i="5"/>
  <c r="D809" i="5"/>
  <c r="E809" i="5"/>
  <c r="F809" i="5"/>
  <c r="G809" i="5"/>
  <c r="H809" i="5"/>
  <c r="I809" i="5"/>
  <c r="J809" i="5"/>
  <c r="K809" i="5"/>
  <c r="L809" i="5"/>
  <c r="M809" i="5"/>
  <c r="N809" i="5"/>
  <c r="O809" i="5"/>
  <c r="P809" i="5"/>
  <c r="Q809" i="5"/>
  <c r="R809" i="5"/>
  <c r="S809" i="5"/>
  <c r="T809" i="5"/>
  <c r="U809" i="5"/>
  <c r="V809" i="5"/>
  <c r="B810" i="5"/>
  <c r="C810" i="5"/>
  <c r="D810" i="5"/>
  <c r="E810" i="5"/>
  <c r="F810" i="5"/>
  <c r="G810" i="5"/>
  <c r="H810" i="5"/>
  <c r="I810" i="5"/>
  <c r="J810" i="5"/>
  <c r="K810" i="5"/>
  <c r="L810" i="5"/>
  <c r="M810" i="5"/>
  <c r="N810" i="5"/>
  <c r="O810" i="5"/>
  <c r="P810" i="5"/>
  <c r="Q810" i="5"/>
  <c r="R810" i="5"/>
  <c r="S810" i="5"/>
  <c r="T810" i="5"/>
  <c r="U810" i="5"/>
  <c r="V810" i="5"/>
  <c r="B811" i="5"/>
  <c r="C811" i="5"/>
  <c r="D811" i="5"/>
  <c r="E811" i="5"/>
  <c r="F811" i="5"/>
  <c r="G811" i="5"/>
  <c r="H811" i="5"/>
  <c r="I811" i="5"/>
  <c r="J811" i="5"/>
  <c r="K811" i="5"/>
  <c r="L811" i="5"/>
  <c r="M811" i="5"/>
  <c r="N811" i="5"/>
  <c r="O811" i="5"/>
  <c r="P811" i="5"/>
  <c r="Q811" i="5"/>
  <c r="R811" i="5"/>
  <c r="S811" i="5"/>
  <c r="T811" i="5"/>
  <c r="U811" i="5"/>
  <c r="V811" i="5"/>
  <c r="B812" i="5"/>
  <c r="C812" i="5"/>
  <c r="D812" i="5"/>
  <c r="E812" i="5"/>
  <c r="F812" i="5"/>
  <c r="G812" i="5"/>
  <c r="H812" i="5"/>
  <c r="I812" i="5"/>
  <c r="J812" i="5"/>
  <c r="K812" i="5"/>
  <c r="L812" i="5"/>
  <c r="M812" i="5"/>
  <c r="N812" i="5"/>
  <c r="O812" i="5"/>
  <c r="P812" i="5"/>
  <c r="Q812" i="5"/>
  <c r="R812" i="5"/>
  <c r="S812" i="5"/>
  <c r="T812" i="5"/>
  <c r="U812" i="5"/>
  <c r="V812" i="5"/>
  <c r="B813" i="5"/>
  <c r="C813" i="5"/>
  <c r="D813" i="5"/>
  <c r="E813" i="5"/>
  <c r="F813" i="5"/>
  <c r="G813" i="5"/>
  <c r="H813" i="5"/>
  <c r="I813" i="5"/>
  <c r="J813" i="5"/>
  <c r="K813" i="5"/>
  <c r="L813" i="5"/>
  <c r="M813" i="5"/>
  <c r="N813" i="5"/>
  <c r="O813" i="5"/>
  <c r="P813" i="5"/>
  <c r="Q813" i="5"/>
  <c r="R813" i="5"/>
  <c r="S813" i="5"/>
  <c r="T813" i="5"/>
  <c r="U813" i="5"/>
  <c r="V813" i="5"/>
  <c r="B814" i="5"/>
  <c r="C814" i="5"/>
  <c r="D814" i="5"/>
  <c r="E814" i="5"/>
  <c r="F814" i="5"/>
  <c r="G814" i="5"/>
  <c r="H814" i="5"/>
  <c r="I814" i="5"/>
  <c r="J814" i="5"/>
  <c r="K814" i="5"/>
  <c r="L814" i="5"/>
  <c r="M814" i="5"/>
  <c r="N814" i="5"/>
  <c r="O814" i="5"/>
  <c r="P814" i="5"/>
  <c r="Q814" i="5"/>
  <c r="R814" i="5"/>
  <c r="S814" i="5"/>
  <c r="T814" i="5"/>
  <c r="U814" i="5"/>
  <c r="V814" i="5"/>
  <c r="B815" i="5"/>
  <c r="C815" i="5"/>
  <c r="D815" i="5"/>
  <c r="E815" i="5"/>
  <c r="F815" i="5"/>
  <c r="G815" i="5"/>
  <c r="H815" i="5"/>
  <c r="I815" i="5"/>
  <c r="J815" i="5"/>
  <c r="K815" i="5"/>
  <c r="L815" i="5"/>
  <c r="M815" i="5"/>
  <c r="N815" i="5"/>
  <c r="O815" i="5"/>
  <c r="P815" i="5"/>
  <c r="Q815" i="5"/>
  <c r="R815" i="5"/>
  <c r="S815" i="5"/>
  <c r="T815" i="5"/>
  <c r="U815" i="5"/>
  <c r="V815" i="5"/>
  <c r="B816" i="5"/>
  <c r="C816" i="5"/>
  <c r="D816" i="5"/>
  <c r="E816" i="5"/>
  <c r="F816" i="5"/>
  <c r="G816" i="5"/>
  <c r="H816" i="5"/>
  <c r="I816" i="5"/>
  <c r="J816" i="5"/>
  <c r="K816" i="5"/>
  <c r="L816" i="5"/>
  <c r="M816" i="5"/>
  <c r="N816" i="5"/>
  <c r="O816" i="5"/>
  <c r="P816" i="5"/>
  <c r="Q816" i="5"/>
  <c r="R816" i="5"/>
  <c r="S816" i="5"/>
  <c r="T816" i="5"/>
  <c r="U816" i="5"/>
  <c r="V816" i="5"/>
  <c r="B817" i="5"/>
  <c r="C817" i="5"/>
  <c r="D817" i="5"/>
  <c r="E817" i="5"/>
  <c r="F817" i="5"/>
  <c r="G817" i="5"/>
  <c r="H817" i="5"/>
  <c r="I817" i="5"/>
  <c r="J817" i="5"/>
  <c r="K817" i="5"/>
  <c r="L817" i="5"/>
  <c r="M817" i="5"/>
  <c r="N817" i="5"/>
  <c r="O817" i="5"/>
  <c r="P817" i="5"/>
  <c r="Q817" i="5"/>
  <c r="R817" i="5"/>
  <c r="S817" i="5"/>
  <c r="T817" i="5"/>
  <c r="U817" i="5"/>
  <c r="V817" i="5"/>
  <c r="B818" i="5"/>
  <c r="C818" i="5"/>
  <c r="D818" i="5"/>
  <c r="E818" i="5"/>
  <c r="F818" i="5"/>
  <c r="G818" i="5"/>
  <c r="H818" i="5"/>
  <c r="I818" i="5"/>
  <c r="J818" i="5"/>
  <c r="K818" i="5"/>
  <c r="L818" i="5"/>
  <c r="M818" i="5"/>
  <c r="N818" i="5"/>
  <c r="O818" i="5"/>
  <c r="P818" i="5"/>
  <c r="Q818" i="5"/>
  <c r="R818" i="5"/>
  <c r="S818" i="5"/>
  <c r="T818" i="5"/>
  <c r="U818" i="5"/>
  <c r="V818" i="5"/>
  <c r="B819" i="5"/>
  <c r="C819" i="5"/>
  <c r="D819" i="5"/>
  <c r="E819" i="5"/>
  <c r="F819" i="5"/>
  <c r="G819" i="5"/>
  <c r="H819" i="5"/>
  <c r="I819" i="5"/>
  <c r="J819" i="5"/>
  <c r="K819" i="5"/>
  <c r="L819" i="5"/>
  <c r="M819" i="5"/>
  <c r="N819" i="5"/>
  <c r="O819" i="5"/>
  <c r="P819" i="5"/>
  <c r="Q819" i="5"/>
  <c r="R819" i="5"/>
  <c r="S819" i="5"/>
  <c r="T819" i="5"/>
  <c r="U819" i="5"/>
  <c r="V819" i="5"/>
  <c r="B820" i="5"/>
  <c r="C820" i="5"/>
  <c r="D820" i="5"/>
  <c r="E820" i="5"/>
  <c r="F820" i="5"/>
  <c r="G820" i="5"/>
  <c r="H820" i="5"/>
  <c r="I820" i="5"/>
  <c r="J820" i="5"/>
  <c r="K820" i="5"/>
  <c r="L820" i="5"/>
  <c r="M820" i="5"/>
  <c r="N820" i="5"/>
  <c r="O820" i="5"/>
  <c r="P820" i="5"/>
  <c r="Q820" i="5"/>
  <c r="R820" i="5"/>
  <c r="S820" i="5"/>
  <c r="T820" i="5"/>
  <c r="U820" i="5"/>
  <c r="V820" i="5"/>
  <c r="B821" i="5"/>
  <c r="C821" i="5"/>
  <c r="D821" i="5"/>
  <c r="E821" i="5"/>
  <c r="F821" i="5"/>
  <c r="G821" i="5"/>
  <c r="H821" i="5"/>
  <c r="I821" i="5"/>
  <c r="J821" i="5"/>
  <c r="K821" i="5"/>
  <c r="L821" i="5"/>
  <c r="M821" i="5"/>
  <c r="N821" i="5"/>
  <c r="O821" i="5"/>
  <c r="P821" i="5"/>
  <c r="Q821" i="5"/>
  <c r="R821" i="5"/>
  <c r="S821" i="5"/>
  <c r="T821" i="5"/>
  <c r="U821" i="5"/>
  <c r="V821" i="5"/>
  <c r="B822" i="5"/>
  <c r="C822" i="5"/>
  <c r="D822" i="5"/>
  <c r="E822" i="5"/>
  <c r="F822" i="5"/>
  <c r="G822" i="5"/>
  <c r="H822" i="5"/>
  <c r="I822" i="5"/>
  <c r="J822" i="5"/>
  <c r="K822" i="5"/>
  <c r="L822" i="5"/>
  <c r="M822" i="5"/>
  <c r="N822" i="5"/>
  <c r="O822" i="5"/>
  <c r="P822" i="5"/>
  <c r="Q822" i="5"/>
  <c r="R822" i="5"/>
  <c r="S822" i="5"/>
  <c r="T822" i="5"/>
  <c r="U822" i="5"/>
  <c r="V822" i="5"/>
  <c r="B823" i="5"/>
  <c r="C823" i="5"/>
  <c r="D823" i="5"/>
  <c r="E823" i="5"/>
  <c r="F823" i="5"/>
  <c r="G823" i="5"/>
  <c r="H823" i="5"/>
  <c r="I823" i="5"/>
  <c r="J823" i="5"/>
  <c r="K823" i="5"/>
  <c r="L823" i="5"/>
  <c r="M823" i="5"/>
  <c r="N823" i="5"/>
  <c r="O823" i="5"/>
  <c r="P823" i="5"/>
  <c r="Q823" i="5"/>
  <c r="R823" i="5"/>
  <c r="S823" i="5"/>
  <c r="T823" i="5"/>
  <c r="U823" i="5"/>
  <c r="V823" i="5"/>
  <c r="B824" i="5"/>
  <c r="C824" i="5"/>
  <c r="D824" i="5"/>
  <c r="E824" i="5"/>
  <c r="F824" i="5"/>
  <c r="G824" i="5"/>
  <c r="H824" i="5"/>
  <c r="I824" i="5"/>
  <c r="J824" i="5"/>
  <c r="K824" i="5"/>
  <c r="L824" i="5"/>
  <c r="M824" i="5"/>
  <c r="N824" i="5"/>
  <c r="O824" i="5"/>
  <c r="P824" i="5"/>
  <c r="Q824" i="5"/>
  <c r="R824" i="5"/>
  <c r="S824" i="5"/>
  <c r="T824" i="5"/>
  <c r="U824" i="5"/>
  <c r="V824" i="5"/>
  <c r="B825" i="5"/>
  <c r="C825" i="5"/>
  <c r="D825" i="5"/>
  <c r="E825" i="5"/>
  <c r="F825" i="5"/>
  <c r="G825" i="5"/>
  <c r="H825" i="5"/>
  <c r="I825" i="5"/>
  <c r="J825" i="5"/>
  <c r="K825" i="5"/>
  <c r="L825" i="5"/>
  <c r="M825" i="5"/>
  <c r="N825" i="5"/>
  <c r="O825" i="5"/>
  <c r="P825" i="5"/>
  <c r="Q825" i="5"/>
  <c r="R825" i="5"/>
  <c r="S825" i="5"/>
  <c r="T825" i="5"/>
  <c r="U825" i="5"/>
  <c r="V825" i="5"/>
  <c r="B826" i="5"/>
  <c r="C826" i="5"/>
  <c r="D826" i="5"/>
  <c r="E826" i="5"/>
  <c r="F826" i="5"/>
  <c r="G826" i="5"/>
  <c r="H826" i="5"/>
  <c r="I826" i="5"/>
  <c r="J826" i="5"/>
  <c r="K826" i="5"/>
  <c r="L826" i="5"/>
  <c r="M826" i="5"/>
  <c r="N826" i="5"/>
  <c r="O826" i="5"/>
  <c r="P826" i="5"/>
  <c r="Q826" i="5"/>
  <c r="R826" i="5"/>
  <c r="S826" i="5"/>
  <c r="T826" i="5"/>
  <c r="U826" i="5"/>
  <c r="V826" i="5"/>
  <c r="B827" i="5"/>
  <c r="C827" i="5"/>
  <c r="D827" i="5"/>
  <c r="E827" i="5"/>
  <c r="F827" i="5"/>
  <c r="G827" i="5"/>
  <c r="H827" i="5"/>
  <c r="I827" i="5"/>
  <c r="J827" i="5"/>
  <c r="K827" i="5"/>
  <c r="L827" i="5"/>
  <c r="M827" i="5"/>
  <c r="N827" i="5"/>
  <c r="O827" i="5"/>
  <c r="P827" i="5"/>
  <c r="Q827" i="5"/>
  <c r="R827" i="5"/>
  <c r="S827" i="5"/>
  <c r="T827" i="5"/>
  <c r="U827" i="5"/>
  <c r="V827" i="5"/>
  <c r="B828" i="5"/>
  <c r="C828" i="5"/>
  <c r="D828" i="5"/>
  <c r="E828" i="5"/>
  <c r="F828" i="5"/>
  <c r="G828" i="5"/>
  <c r="H828" i="5"/>
  <c r="I828" i="5"/>
  <c r="J828" i="5"/>
  <c r="K828" i="5"/>
  <c r="L828" i="5"/>
  <c r="M828" i="5"/>
  <c r="N828" i="5"/>
  <c r="O828" i="5"/>
  <c r="P828" i="5"/>
  <c r="Q828" i="5"/>
  <c r="R828" i="5"/>
  <c r="S828" i="5"/>
  <c r="T828" i="5"/>
  <c r="U828" i="5"/>
  <c r="V828" i="5"/>
  <c r="B829" i="5"/>
  <c r="C829" i="5"/>
  <c r="D829" i="5"/>
  <c r="E829" i="5"/>
  <c r="F829" i="5"/>
  <c r="G829" i="5"/>
  <c r="H829" i="5"/>
  <c r="I829" i="5"/>
  <c r="J829" i="5"/>
  <c r="K829" i="5"/>
  <c r="L829" i="5"/>
  <c r="M829" i="5"/>
  <c r="N829" i="5"/>
  <c r="O829" i="5"/>
  <c r="P829" i="5"/>
  <c r="Q829" i="5"/>
  <c r="R829" i="5"/>
  <c r="S829" i="5"/>
  <c r="T829" i="5"/>
  <c r="U829" i="5"/>
  <c r="V829" i="5"/>
  <c r="B830" i="5"/>
  <c r="C830" i="5"/>
  <c r="D830" i="5"/>
  <c r="E830" i="5"/>
  <c r="F830" i="5"/>
  <c r="G830" i="5"/>
  <c r="H830" i="5"/>
  <c r="I830" i="5"/>
  <c r="J830" i="5"/>
  <c r="K830" i="5"/>
  <c r="L830" i="5"/>
  <c r="M830" i="5"/>
  <c r="N830" i="5"/>
  <c r="O830" i="5"/>
  <c r="P830" i="5"/>
  <c r="Q830" i="5"/>
  <c r="R830" i="5"/>
  <c r="S830" i="5"/>
  <c r="T830" i="5"/>
  <c r="U830" i="5"/>
  <c r="V830" i="5"/>
  <c r="B831" i="5"/>
  <c r="C831" i="5"/>
  <c r="D831" i="5"/>
  <c r="E831" i="5"/>
  <c r="F831" i="5"/>
  <c r="G831" i="5"/>
  <c r="H831" i="5"/>
  <c r="I831" i="5"/>
  <c r="J831" i="5"/>
  <c r="K831" i="5"/>
  <c r="L831" i="5"/>
  <c r="M831" i="5"/>
  <c r="N831" i="5"/>
  <c r="O831" i="5"/>
  <c r="P831" i="5"/>
  <c r="Q831" i="5"/>
  <c r="R831" i="5"/>
  <c r="S831" i="5"/>
  <c r="T831" i="5"/>
  <c r="U831" i="5"/>
  <c r="V831" i="5"/>
  <c r="B832" i="5"/>
  <c r="C832" i="5"/>
  <c r="D832" i="5"/>
  <c r="E832" i="5"/>
  <c r="F832" i="5"/>
  <c r="G832" i="5"/>
  <c r="H832" i="5"/>
  <c r="I832" i="5"/>
  <c r="J832" i="5"/>
  <c r="K832" i="5"/>
  <c r="L832" i="5"/>
  <c r="M832" i="5"/>
  <c r="N832" i="5"/>
  <c r="O832" i="5"/>
  <c r="P832" i="5"/>
  <c r="Q832" i="5"/>
  <c r="R832" i="5"/>
  <c r="S832" i="5"/>
  <c r="T832" i="5"/>
  <c r="U832" i="5"/>
  <c r="V832" i="5"/>
  <c r="B833" i="5"/>
  <c r="C833" i="5"/>
  <c r="D833" i="5"/>
  <c r="E833" i="5"/>
  <c r="F833" i="5"/>
  <c r="G833" i="5"/>
  <c r="H833" i="5"/>
  <c r="I833" i="5"/>
  <c r="J833" i="5"/>
  <c r="K833" i="5"/>
  <c r="L833" i="5"/>
  <c r="M833" i="5"/>
  <c r="N833" i="5"/>
  <c r="O833" i="5"/>
  <c r="P833" i="5"/>
  <c r="Q833" i="5"/>
  <c r="R833" i="5"/>
  <c r="S833" i="5"/>
  <c r="T833" i="5"/>
  <c r="U833" i="5"/>
  <c r="V833" i="5"/>
  <c r="B834" i="5"/>
  <c r="C834" i="5"/>
  <c r="D834" i="5"/>
  <c r="E834" i="5"/>
  <c r="F834" i="5"/>
  <c r="G834" i="5"/>
  <c r="H834" i="5"/>
  <c r="I834" i="5"/>
  <c r="J834" i="5"/>
  <c r="K834" i="5"/>
  <c r="L834" i="5"/>
  <c r="M834" i="5"/>
  <c r="N834" i="5"/>
  <c r="O834" i="5"/>
  <c r="P834" i="5"/>
  <c r="Q834" i="5"/>
  <c r="R834" i="5"/>
  <c r="S834" i="5"/>
  <c r="T834" i="5"/>
  <c r="U834" i="5"/>
  <c r="V834" i="5"/>
  <c r="B835" i="5"/>
  <c r="C835" i="5"/>
  <c r="D835" i="5"/>
  <c r="E835" i="5"/>
  <c r="F835" i="5"/>
  <c r="G835" i="5"/>
  <c r="H835" i="5"/>
  <c r="I835" i="5"/>
  <c r="J835" i="5"/>
  <c r="K835" i="5"/>
  <c r="L835" i="5"/>
  <c r="M835" i="5"/>
  <c r="N835" i="5"/>
  <c r="O835" i="5"/>
  <c r="P835" i="5"/>
  <c r="Q835" i="5"/>
  <c r="R835" i="5"/>
  <c r="S835" i="5"/>
  <c r="T835" i="5"/>
  <c r="U835" i="5"/>
  <c r="V835" i="5"/>
  <c r="B836" i="5"/>
  <c r="C836" i="5"/>
  <c r="D836" i="5"/>
  <c r="E836" i="5"/>
  <c r="F836" i="5"/>
  <c r="G836" i="5"/>
  <c r="H836" i="5"/>
  <c r="I836" i="5"/>
  <c r="J836" i="5"/>
  <c r="K836" i="5"/>
  <c r="L836" i="5"/>
  <c r="M836" i="5"/>
  <c r="N836" i="5"/>
  <c r="O836" i="5"/>
  <c r="P836" i="5"/>
  <c r="Q836" i="5"/>
  <c r="R836" i="5"/>
  <c r="S836" i="5"/>
  <c r="T836" i="5"/>
  <c r="U836" i="5"/>
  <c r="V836" i="5"/>
  <c r="B837" i="5"/>
  <c r="C837" i="5"/>
  <c r="D837" i="5"/>
  <c r="E837" i="5"/>
  <c r="F837" i="5"/>
  <c r="G837" i="5"/>
  <c r="H837" i="5"/>
  <c r="I837" i="5"/>
  <c r="J837" i="5"/>
  <c r="K837" i="5"/>
  <c r="L837" i="5"/>
  <c r="M837" i="5"/>
  <c r="N837" i="5"/>
  <c r="O837" i="5"/>
  <c r="P837" i="5"/>
  <c r="Q837" i="5"/>
  <c r="R837" i="5"/>
  <c r="S837" i="5"/>
  <c r="T837" i="5"/>
  <c r="U837" i="5"/>
  <c r="V837" i="5"/>
  <c r="B838" i="5"/>
  <c r="C838" i="5"/>
  <c r="D838" i="5"/>
  <c r="E838" i="5"/>
  <c r="F838" i="5"/>
  <c r="G838" i="5"/>
  <c r="H838" i="5"/>
  <c r="I838" i="5"/>
  <c r="J838" i="5"/>
  <c r="K838" i="5"/>
  <c r="L838" i="5"/>
  <c r="M838" i="5"/>
  <c r="N838" i="5"/>
  <c r="O838" i="5"/>
  <c r="P838" i="5"/>
  <c r="Q838" i="5"/>
  <c r="R838" i="5"/>
  <c r="S838" i="5"/>
  <c r="T838" i="5"/>
  <c r="U838" i="5"/>
  <c r="V838" i="5"/>
  <c r="B839" i="5"/>
  <c r="C839" i="5"/>
  <c r="D839" i="5"/>
  <c r="E839" i="5"/>
  <c r="F839" i="5"/>
  <c r="G839" i="5"/>
  <c r="H839" i="5"/>
  <c r="I839" i="5"/>
  <c r="J839" i="5"/>
  <c r="K839" i="5"/>
  <c r="L839" i="5"/>
  <c r="M839" i="5"/>
  <c r="N839" i="5"/>
  <c r="O839" i="5"/>
  <c r="P839" i="5"/>
  <c r="Q839" i="5"/>
  <c r="R839" i="5"/>
  <c r="S839" i="5"/>
  <c r="T839" i="5"/>
  <c r="U839" i="5"/>
  <c r="V839" i="5"/>
  <c r="B840" i="5"/>
  <c r="C840" i="5"/>
  <c r="D840" i="5"/>
  <c r="E840" i="5"/>
  <c r="F840" i="5"/>
  <c r="G840" i="5"/>
  <c r="H840" i="5"/>
  <c r="I840" i="5"/>
  <c r="J840" i="5"/>
  <c r="K840" i="5"/>
  <c r="L840" i="5"/>
  <c r="M840" i="5"/>
  <c r="N840" i="5"/>
  <c r="O840" i="5"/>
  <c r="P840" i="5"/>
  <c r="Q840" i="5"/>
  <c r="R840" i="5"/>
  <c r="S840" i="5"/>
  <c r="T840" i="5"/>
  <c r="U840" i="5"/>
  <c r="V840" i="5"/>
  <c r="B841" i="5"/>
  <c r="C841" i="5"/>
  <c r="D841" i="5"/>
  <c r="E841" i="5"/>
  <c r="F841" i="5"/>
  <c r="G841" i="5"/>
  <c r="H841" i="5"/>
  <c r="I841" i="5"/>
  <c r="J841" i="5"/>
  <c r="K841" i="5"/>
  <c r="L841" i="5"/>
  <c r="M841" i="5"/>
  <c r="N841" i="5"/>
  <c r="O841" i="5"/>
  <c r="P841" i="5"/>
  <c r="Q841" i="5"/>
  <c r="R841" i="5"/>
  <c r="S841" i="5"/>
  <c r="T841" i="5"/>
  <c r="U841" i="5"/>
  <c r="V841" i="5"/>
  <c r="B842" i="5"/>
  <c r="C842" i="5"/>
  <c r="D842" i="5"/>
  <c r="E842" i="5"/>
  <c r="F842" i="5"/>
  <c r="G842" i="5"/>
  <c r="H842" i="5"/>
  <c r="I842" i="5"/>
  <c r="J842" i="5"/>
  <c r="K842" i="5"/>
  <c r="L842" i="5"/>
  <c r="M842" i="5"/>
  <c r="N842" i="5"/>
  <c r="O842" i="5"/>
  <c r="P842" i="5"/>
  <c r="Q842" i="5"/>
  <c r="R842" i="5"/>
  <c r="S842" i="5"/>
  <c r="T842" i="5"/>
  <c r="U842" i="5"/>
  <c r="V842" i="5"/>
  <c r="B843" i="5"/>
  <c r="C843" i="5"/>
  <c r="D843" i="5"/>
  <c r="E843" i="5"/>
  <c r="F843" i="5"/>
  <c r="G843" i="5"/>
  <c r="H843" i="5"/>
  <c r="I843" i="5"/>
  <c r="J843" i="5"/>
  <c r="K843" i="5"/>
  <c r="L843" i="5"/>
  <c r="M843" i="5"/>
  <c r="N843" i="5"/>
  <c r="O843" i="5"/>
  <c r="P843" i="5"/>
  <c r="Q843" i="5"/>
  <c r="R843" i="5"/>
  <c r="S843" i="5"/>
  <c r="T843" i="5"/>
  <c r="U843" i="5"/>
  <c r="V843" i="5"/>
  <c r="B844" i="5"/>
  <c r="C844" i="5"/>
  <c r="D844" i="5"/>
  <c r="E844" i="5"/>
  <c r="F844" i="5"/>
  <c r="G844" i="5"/>
  <c r="H844" i="5"/>
  <c r="I844" i="5"/>
  <c r="J844" i="5"/>
  <c r="K844" i="5"/>
  <c r="L844" i="5"/>
  <c r="M844" i="5"/>
  <c r="N844" i="5"/>
  <c r="O844" i="5"/>
  <c r="P844" i="5"/>
  <c r="Q844" i="5"/>
  <c r="R844" i="5"/>
  <c r="S844" i="5"/>
  <c r="T844" i="5"/>
  <c r="U844" i="5"/>
  <c r="V844" i="5"/>
  <c r="B845" i="5"/>
  <c r="C845" i="5"/>
  <c r="D845" i="5"/>
  <c r="E845" i="5"/>
  <c r="F845" i="5"/>
  <c r="G845" i="5"/>
  <c r="H845" i="5"/>
  <c r="I845" i="5"/>
  <c r="J845" i="5"/>
  <c r="K845" i="5"/>
  <c r="L845" i="5"/>
  <c r="M845" i="5"/>
  <c r="N845" i="5"/>
  <c r="O845" i="5"/>
  <c r="P845" i="5"/>
  <c r="Q845" i="5"/>
  <c r="R845" i="5"/>
  <c r="S845" i="5"/>
  <c r="T845" i="5"/>
  <c r="U845" i="5"/>
  <c r="V845" i="5"/>
  <c r="B846" i="5"/>
  <c r="C846" i="5"/>
  <c r="D846" i="5"/>
  <c r="E846" i="5"/>
  <c r="F846" i="5"/>
  <c r="G846" i="5"/>
  <c r="H846" i="5"/>
  <c r="I846" i="5"/>
  <c r="J846" i="5"/>
  <c r="K846" i="5"/>
  <c r="L846" i="5"/>
  <c r="M846" i="5"/>
  <c r="N846" i="5"/>
  <c r="O846" i="5"/>
  <c r="P846" i="5"/>
  <c r="Q846" i="5"/>
  <c r="R846" i="5"/>
  <c r="S846" i="5"/>
  <c r="T846" i="5"/>
  <c r="U846" i="5"/>
  <c r="V846" i="5"/>
  <c r="B847" i="5"/>
  <c r="C847" i="5"/>
  <c r="D847" i="5"/>
  <c r="E847" i="5"/>
  <c r="F847" i="5"/>
  <c r="G847" i="5"/>
  <c r="H847" i="5"/>
  <c r="I847" i="5"/>
  <c r="J847" i="5"/>
  <c r="K847" i="5"/>
  <c r="L847" i="5"/>
  <c r="M847" i="5"/>
  <c r="N847" i="5"/>
  <c r="O847" i="5"/>
  <c r="P847" i="5"/>
  <c r="Q847" i="5"/>
  <c r="R847" i="5"/>
  <c r="S847" i="5"/>
  <c r="T847" i="5"/>
  <c r="U847" i="5"/>
  <c r="V847" i="5"/>
  <c r="B848" i="5"/>
  <c r="C848" i="5"/>
  <c r="D848" i="5"/>
  <c r="E848" i="5"/>
  <c r="F848" i="5"/>
  <c r="G848" i="5"/>
  <c r="H848" i="5"/>
  <c r="I848" i="5"/>
  <c r="J848" i="5"/>
  <c r="K848" i="5"/>
  <c r="L848" i="5"/>
  <c r="M848" i="5"/>
  <c r="N848" i="5"/>
  <c r="O848" i="5"/>
  <c r="P848" i="5"/>
  <c r="Q848" i="5"/>
  <c r="R848" i="5"/>
  <c r="S848" i="5"/>
  <c r="T848" i="5"/>
  <c r="U848" i="5"/>
  <c r="V848" i="5"/>
  <c r="B849" i="5"/>
  <c r="C849" i="5"/>
  <c r="D849" i="5"/>
  <c r="E849" i="5"/>
  <c r="F849" i="5"/>
  <c r="G849" i="5"/>
  <c r="H849" i="5"/>
  <c r="I849" i="5"/>
  <c r="J849" i="5"/>
  <c r="K849" i="5"/>
  <c r="L849" i="5"/>
  <c r="M849" i="5"/>
  <c r="N849" i="5"/>
  <c r="O849" i="5"/>
  <c r="P849" i="5"/>
  <c r="Q849" i="5"/>
  <c r="R849" i="5"/>
  <c r="S849" i="5"/>
  <c r="T849" i="5"/>
  <c r="U849" i="5"/>
  <c r="V849" i="5"/>
  <c r="B850" i="5"/>
  <c r="C850" i="5"/>
  <c r="D850" i="5"/>
  <c r="E850" i="5"/>
  <c r="F850" i="5"/>
  <c r="G850" i="5"/>
  <c r="H850" i="5"/>
  <c r="I850" i="5"/>
  <c r="J850" i="5"/>
  <c r="K850" i="5"/>
  <c r="L850" i="5"/>
  <c r="M850" i="5"/>
  <c r="N850" i="5"/>
  <c r="O850" i="5"/>
  <c r="P850" i="5"/>
  <c r="Q850" i="5"/>
  <c r="R850" i="5"/>
  <c r="S850" i="5"/>
  <c r="T850" i="5"/>
  <c r="U850" i="5"/>
  <c r="V850" i="5"/>
  <c r="B851" i="5"/>
  <c r="C851" i="5"/>
  <c r="D851" i="5"/>
  <c r="E851" i="5"/>
  <c r="F851" i="5"/>
  <c r="G851" i="5"/>
  <c r="H851" i="5"/>
  <c r="I851" i="5"/>
  <c r="J851" i="5"/>
  <c r="K851" i="5"/>
  <c r="L851" i="5"/>
  <c r="M851" i="5"/>
  <c r="N851" i="5"/>
  <c r="O851" i="5"/>
  <c r="P851" i="5"/>
  <c r="Q851" i="5"/>
  <c r="R851" i="5"/>
  <c r="S851" i="5"/>
  <c r="T851" i="5"/>
  <c r="U851" i="5"/>
  <c r="V851" i="5"/>
  <c r="B852" i="5"/>
  <c r="C852" i="5"/>
  <c r="D852" i="5"/>
  <c r="E852" i="5"/>
  <c r="F852" i="5"/>
  <c r="G852" i="5"/>
  <c r="H852" i="5"/>
  <c r="I852" i="5"/>
  <c r="J852" i="5"/>
  <c r="K852" i="5"/>
  <c r="L852" i="5"/>
  <c r="M852" i="5"/>
  <c r="N852" i="5"/>
  <c r="O852" i="5"/>
  <c r="P852" i="5"/>
  <c r="Q852" i="5"/>
  <c r="R852" i="5"/>
  <c r="S852" i="5"/>
  <c r="T852" i="5"/>
  <c r="U852" i="5"/>
  <c r="V852" i="5"/>
  <c r="B853" i="5"/>
  <c r="C853" i="5"/>
  <c r="D853" i="5"/>
  <c r="E853" i="5"/>
  <c r="F853" i="5"/>
  <c r="G853" i="5"/>
  <c r="H853" i="5"/>
  <c r="I853" i="5"/>
  <c r="J853" i="5"/>
  <c r="K853" i="5"/>
  <c r="L853" i="5"/>
  <c r="M853" i="5"/>
  <c r="N853" i="5"/>
  <c r="O853" i="5"/>
  <c r="P853" i="5"/>
  <c r="Q853" i="5"/>
  <c r="R853" i="5"/>
  <c r="S853" i="5"/>
  <c r="T853" i="5"/>
  <c r="U853" i="5"/>
  <c r="V853" i="5"/>
  <c r="B854" i="5"/>
  <c r="C854" i="5"/>
  <c r="D854" i="5"/>
  <c r="E854" i="5"/>
  <c r="F854" i="5"/>
  <c r="G854" i="5"/>
  <c r="H854" i="5"/>
  <c r="I854" i="5"/>
  <c r="J854" i="5"/>
  <c r="K854" i="5"/>
  <c r="L854" i="5"/>
  <c r="M854" i="5"/>
  <c r="N854" i="5"/>
  <c r="O854" i="5"/>
  <c r="P854" i="5"/>
  <c r="Q854" i="5"/>
  <c r="R854" i="5"/>
  <c r="S854" i="5"/>
  <c r="T854" i="5"/>
  <c r="U854" i="5"/>
  <c r="V854" i="5"/>
  <c r="B855" i="5"/>
  <c r="C855" i="5"/>
  <c r="D855" i="5"/>
  <c r="E855" i="5"/>
  <c r="F855" i="5"/>
  <c r="G855" i="5"/>
  <c r="H855" i="5"/>
  <c r="I855" i="5"/>
  <c r="J855" i="5"/>
  <c r="K855" i="5"/>
  <c r="L855" i="5"/>
  <c r="M855" i="5"/>
  <c r="N855" i="5"/>
  <c r="O855" i="5"/>
  <c r="P855" i="5"/>
  <c r="Q855" i="5"/>
  <c r="R855" i="5"/>
  <c r="S855" i="5"/>
  <c r="T855" i="5"/>
  <c r="U855" i="5"/>
  <c r="V855" i="5"/>
  <c r="B856" i="5"/>
  <c r="C856" i="5"/>
  <c r="D856" i="5"/>
  <c r="E856" i="5"/>
  <c r="F856" i="5"/>
  <c r="G856" i="5"/>
  <c r="H856" i="5"/>
  <c r="I856" i="5"/>
  <c r="J856" i="5"/>
  <c r="K856" i="5"/>
  <c r="L856" i="5"/>
  <c r="M856" i="5"/>
  <c r="N856" i="5"/>
  <c r="O856" i="5"/>
  <c r="P856" i="5"/>
  <c r="Q856" i="5"/>
  <c r="R856" i="5"/>
  <c r="S856" i="5"/>
  <c r="T856" i="5"/>
  <c r="U856" i="5"/>
  <c r="V856" i="5"/>
  <c r="B857" i="5"/>
  <c r="C857" i="5"/>
  <c r="D857" i="5"/>
  <c r="E857" i="5"/>
  <c r="F857" i="5"/>
  <c r="G857" i="5"/>
  <c r="H857" i="5"/>
  <c r="I857" i="5"/>
  <c r="J857" i="5"/>
  <c r="K857" i="5"/>
  <c r="L857" i="5"/>
  <c r="M857" i="5"/>
  <c r="N857" i="5"/>
  <c r="O857" i="5"/>
  <c r="P857" i="5"/>
  <c r="Q857" i="5"/>
  <c r="R857" i="5"/>
  <c r="S857" i="5"/>
  <c r="T857" i="5"/>
  <c r="U857" i="5"/>
  <c r="V857" i="5"/>
  <c r="B858" i="5"/>
  <c r="C858" i="5"/>
  <c r="D858" i="5"/>
  <c r="E858" i="5"/>
  <c r="F858" i="5"/>
  <c r="G858" i="5"/>
  <c r="H858" i="5"/>
  <c r="I858" i="5"/>
  <c r="J858" i="5"/>
  <c r="K858" i="5"/>
  <c r="L858" i="5"/>
  <c r="M858" i="5"/>
  <c r="N858" i="5"/>
  <c r="O858" i="5"/>
  <c r="P858" i="5"/>
  <c r="Q858" i="5"/>
  <c r="R858" i="5"/>
  <c r="S858" i="5"/>
  <c r="T858" i="5"/>
  <c r="U858" i="5"/>
  <c r="V858" i="5"/>
  <c r="B859" i="5"/>
  <c r="C859" i="5"/>
  <c r="D859" i="5"/>
  <c r="E859" i="5"/>
  <c r="F859" i="5"/>
  <c r="G859" i="5"/>
  <c r="H859" i="5"/>
  <c r="I859" i="5"/>
  <c r="J859" i="5"/>
  <c r="K859" i="5"/>
  <c r="L859" i="5"/>
  <c r="M859" i="5"/>
  <c r="N859" i="5"/>
  <c r="O859" i="5"/>
  <c r="P859" i="5"/>
  <c r="Q859" i="5"/>
  <c r="R859" i="5"/>
  <c r="S859" i="5"/>
  <c r="T859" i="5"/>
  <c r="U859" i="5"/>
  <c r="V859" i="5"/>
  <c r="B860" i="5"/>
  <c r="C860" i="5"/>
  <c r="D860" i="5"/>
  <c r="E860" i="5"/>
  <c r="F860" i="5"/>
  <c r="G860" i="5"/>
  <c r="H860" i="5"/>
  <c r="I860" i="5"/>
  <c r="J860" i="5"/>
  <c r="K860" i="5"/>
  <c r="L860" i="5"/>
  <c r="M860" i="5"/>
  <c r="N860" i="5"/>
  <c r="O860" i="5"/>
  <c r="P860" i="5"/>
  <c r="Q860" i="5"/>
  <c r="R860" i="5"/>
  <c r="S860" i="5"/>
  <c r="T860" i="5"/>
  <c r="U860" i="5"/>
  <c r="V860" i="5"/>
  <c r="B861" i="5"/>
  <c r="C861" i="5"/>
  <c r="D861" i="5"/>
  <c r="E861" i="5"/>
  <c r="F861" i="5"/>
  <c r="G861" i="5"/>
  <c r="H861" i="5"/>
  <c r="I861" i="5"/>
  <c r="J861" i="5"/>
  <c r="K861" i="5"/>
  <c r="L861" i="5"/>
  <c r="M861" i="5"/>
  <c r="N861" i="5"/>
  <c r="O861" i="5"/>
  <c r="P861" i="5"/>
  <c r="Q861" i="5"/>
  <c r="R861" i="5"/>
  <c r="S861" i="5"/>
  <c r="T861" i="5"/>
  <c r="U861" i="5"/>
  <c r="V861" i="5"/>
  <c r="B862" i="5"/>
  <c r="C862" i="5"/>
  <c r="D862" i="5"/>
  <c r="E862" i="5"/>
  <c r="F862" i="5"/>
  <c r="G862" i="5"/>
  <c r="H862" i="5"/>
  <c r="I862" i="5"/>
  <c r="J862" i="5"/>
  <c r="K862" i="5"/>
  <c r="L862" i="5"/>
  <c r="M862" i="5"/>
  <c r="N862" i="5"/>
  <c r="O862" i="5"/>
  <c r="P862" i="5"/>
  <c r="Q862" i="5"/>
  <c r="R862" i="5"/>
  <c r="S862" i="5"/>
  <c r="T862" i="5"/>
  <c r="U862" i="5"/>
  <c r="V862" i="5"/>
  <c r="B863" i="5"/>
  <c r="C863" i="5"/>
  <c r="D863" i="5"/>
  <c r="E863" i="5"/>
  <c r="F863" i="5"/>
  <c r="G863" i="5"/>
  <c r="H863" i="5"/>
  <c r="I863" i="5"/>
  <c r="J863" i="5"/>
  <c r="K863" i="5"/>
  <c r="L863" i="5"/>
  <c r="M863" i="5"/>
  <c r="N863" i="5"/>
  <c r="O863" i="5"/>
  <c r="P863" i="5"/>
  <c r="Q863" i="5"/>
  <c r="R863" i="5"/>
  <c r="S863" i="5"/>
  <c r="T863" i="5"/>
  <c r="U863" i="5"/>
  <c r="V863" i="5"/>
  <c r="B864" i="5"/>
  <c r="C864" i="5"/>
  <c r="D864" i="5"/>
  <c r="E864" i="5"/>
  <c r="F864" i="5"/>
  <c r="G864" i="5"/>
  <c r="H864" i="5"/>
  <c r="I864" i="5"/>
  <c r="J864" i="5"/>
  <c r="K864" i="5"/>
  <c r="L864" i="5"/>
  <c r="M864" i="5"/>
  <c r="N864" i="5"/>
  <c r="O864" i="5"/>
  <c r="P864" i="5"/>
  <c r="Q864" i="5"/>
  <c r="R864" i="5"/>
  <c r="S864" i="5"/>
  <c r="T864" i="5"/>
  <c r="U864" i="5"/>
  <c r="V864" i="5"/>
  <c r="B865" i="5"/>
  <c r="C865" i="5"/>
  <c r="D865" i="5"/>
  <c r="E865" i="5"/>
  <c r="F865" i="5"/>
  <c r="G865" i="5"/>
  <c r="H865" i="5"/>
  <c r="I865" i="5"/>
  <c r="J865" i="5"/>
  <c r="K865" i="5"/>
  <c r="L865" i="5"/>
  <c r="M865" i="5"/>
  <c r="N865" i="5"/>
  <c r="O865" i="5"/>
  <c r="P865" i="5"/>
  <c r="Q865" i="5"/>
  <c r="R865" i="5"/>
  <c r="S865" i="5"/>
  <c r="T865" i="5"/>
  <c r="U865" i="5"/>
  <c r="V865" i="5"/>
  <c r="B866" i="5"/>
  <c r="C866" i="5"/>
  <c r="D866" i="5"/>
  <c r="E866" i="5"/>
  <c r="F866" i="5"/>
  <c r="G866" i="5"/>
  <c r="H866" i="5"/>
  <c r="I866" i="5"/>
  <c r="J866" i="5"/>
  <c r="K866" i="5"/>
  <c r="L866" i="5"/>
  <c r="M866" i="5"/>
  <c r="N866" i="5"/>
  <c r="O866" i="5"/>
  <c r="P866" i="5"/>
  <c r="Q866" i="5"/>
  <c r="R866" i="5"/>
  <c r="S866" i="5"/>
  <c r="T866" i="5"/>
  <c r="U866" i="5"/>
  <c r="V866" i="5"/>
  <c r="B867" i="5"/>
  <c r="C867" i="5"/>
  <c r="D867" i="5"/>
  <c r="E867" i="5"/>
  <c r="F867" i="5"/>
  <c r="G867" i="5"/>
  <c r="H867" i="5"/>
  <c r="I867" i="5"/>
  <c r="J867" i="5"/>
  <c r="K867" i="5"/>
  <c r="L867" i="5"/>
  <c r="M867" i="5"/>
  <c r="N867" i="5"/>
  <c r="O867" i="5"/>
  <c r="P867" i="5"/>
  <c r="Q867" i="5"/>
  <c r="R867" i="5"/>
  <c r="S867" i="5"/>
  <c r="T867" i="5"/>
  <c r="U867" i="5"/>
  <c r="V867" i="5"/>
  <c r="B868" i="5"/>
  <c r="C868" i="5"/>
  <c r="D868" i="5"/>
  <c r="E868" i="5"/>
  <c r="F868" i="5"/>
  <c r="G868" i="5"/>
  <c r="H868" i="5"/>
  <c r="I868" i="5"/>
  <c r="J868" i="5"/>
  <c r="K868" i="5"/>
  <c r="L868" i="5"/>
  <c r="M868" i="5"/>
  <c r="N868" i="5"/>
  <c r="O868" i="5"/>
  <c r="P868" i="5"/>
  <c r="Q868" i="5"/>
  <c r="R868" i="5"/>
  <c r="S868" i="5"/>
  <c r="T868" i="5"/>
  <c r="U868" i="5"/>
  <c r="V868" i="5"/>
  <c r="B869" i="5"/>
  <c r="C869" i="5"/>
  <c r="D869" i="5"/>
  <c r="E869" i="5"/>
  <c r="F869" i="5"/>
  <c r="G869" i="5"/>
  <c r="H869" i="5"/>
  <c r="I869" i="5"/>
  <c r="J869" i="5"/>
  <c r="K869" i="5"/>
  <c r="L869" i="5"/>
  <c r="M869" i="5"/>
  <c r="N869" i="5"/>
  <c r="O869" i="5"/>
  <c r="P869" i="5"/>
  <c r="Q869" i="5"/>
  <c r="R869" i="5"/>
  <c r="S869" i="5"/>
  <c r="T869" i="5"/>
  <c r="U869" i="5"/>
  <c r="V869" i="5"/>
  <c r="B870" i="5"/>
  <c r="C870" i="5"/>
  <c r="D870" i="5"/>
  <c r="E870" i="5"/>
  <c r="F870" i="5"/>
  <c r="G870" i="5"/>
  <c r="H870" i="5"/>
  <c r="I870" i="5"/>
  <c r="J870" i="5"/>
  <c r="K870" i="5"/>
  <c r="L870" i="5"/>
  <c r="M870" i="5"/>
  <c r="N870" i="5"/>
  <c r="O870" i="5"/>
  <c r="P870" i="5"/>
  <c r="Q870" i="5"/>
  <c r="R870" i="5"/>
  <c r="S870" i="5"/>
  <c r="T870" i="5"/>
  <c r="U870" i="5"/>
  <c r="V870" i="5"/>
  <c r="B871" i="5"/>
  <c r="C871" i="5"/>
  <c r="D871" i="5"/>
  <c r="E871" i="5"/>
  <c r="F871" i="5"/>
  <c r="G871" i="5"/>
  <c r="H871" i="5"/>
  <c r="I871" i="5"/>
  <c r="J871" i="5"/>
  <c r="K871" i="5"/>
  <c r="L871" i="5"/>
  <c r="M871" i="5"/>
  <c r="N871" i="5"/>
  <c r="O871" i="5"/>
  <c r="P871" i="5"/>
  <c r="Q871" i="5"/>
  <c r="R871" i="5"/>
  <c r="S871" i="5"/>
  <c r="T871" i="5"/>
  <c r="U871" i="5"/>
  <c r="V871" i="5"/>
  <c r="B872" i="5"/>
  <c r="C872" i="5"/>
  <c r="D872" i="5"/>
  <c r="E872" i="5"/>
  <c r="F872" i="5"/>
  <c r="G872" i="5"/>
  <c r="H872" i="5"/>
  <c r="I872" i="5"/>
  <c r="J872" i="5"/>
  <c r="K872" i="5"/>
  <c r="L872" i="5"/>
  <c r="M872" i="5"/>
  <c r="N872" i="5"/>
  <c r="O872" i="5"/>
  <c r="P872" i="5"/>
  <c r="Q872" i="5"/>
  <c r="R872" i="5"/>
  <c r="S872" i="5"/>
  <c r="T872" i="5"/>
  <c r="U872" i="5"/>
  <c r="V872" i="5"/>
  <c r="B873" i="5"/>
  <c r="C873" i="5"/>
  <c r="D873" i="5"/>
  <c r="E873" i="5"/>
  <c r="F873" i="5"/>
  <c r="G873" i="5"/>
  <c r="H873" i="5"/>
  <c r="I873" i="5"/>
  <c r="J873" i="5"/>
  <c r="K873" i="5"/>
  <c r="L873" i="5"/>
  <c r="M873" i="5"/>
  <c r="N873" i="5"/>
  <c r="O873" i="5"/>
  <c r="P873" i="5"/>
  <c r="Q873" i="5"/>
  <c r="R873" i="5"/>
  <c r="S873" i="5"/>
  <c r="T873" i="5"/>
  <c r="U873" i="5"/>
  <c r="V873" i="5"/>
  <c r="B874" i="5"/>
  <c r="C874" i="5"/>
  <c r="D874" i="5"/>
  <c r="E874" i="5"/>
  <c r="F874" i="5"/>
  <c r="G874" i="5"/>
  <c r="H874" i="5"/>
  <c r="I874" i="5"/>
  <c r="J874" i="5"/>
  <c r="K874" i="5"/>
  <c r="L874" i="5"/>
  <c r="M874" i="5"/>
  <c r="N874" i="5"/>
  <c r="O874" i="5"/>
  <c r="P874" i="5"/>
  <c r="Q874" i="5"/>
  <c r="R874" i="5"/>
  <c r="S874" i="5"/>
  <c r="T874" i="5"/>
  <c r="U874" i="5"/>
  <c r="V874" i="5"/>
  <c r="B875" i="5"/>
  <c r="C875" i="5"/>
  <c r="D875" i="5"/>
  <c r="E875" i="5"/>
  <c r="F875" i="5"/>
  <c r="G875" i="5"/>
  <c r="H875" i="5"/>
  <c r="I875" i="5"/>
  <c r="J875" i="5"/>
  <c r="K875" i="5"/>
  <c r="L875" i="5"/>
  <c r="M875" i="5"/>
  <c r="N875" i="5"/>
  <c r="O875" i="5"/>
  <c r="P875" i="5"/>
  <c r="Q875" i="5"/>
  <c r="R875" i="5"/>
  <c r="S875" i="5"/>
  <c r="T875" i="5"/>
  <c r="U875" i="5"/>
  <c r="V875" i="5"/>
  <c r="B876" i="5"/>
  <c r="C876" i="5"/>
  <c r="D876" i="5"/>
  <c r="E876" i="5"/>
  <c r="F876" i="5"/>
  <c r="G876" i="5"/>
  <c r="H876" i="5"/>
  <c r="I876" i="5"/>
  <c r="J876" i="5"/>
  <c r="K876" i="5"/>
  <c r="L876" i="5"/>
  <c r="M876" i="5"/>
  <c r="N876" i="5"/>
  <c r="O876" i="5"/>
  <c r="P876" i="5"/>
  <c r="Q876" i="5"/>
  <c r="R876" i="5"/>
  <c r="S876" i="5"/>
  <c r="T876" i="5"/>
  <c r="U876" i="5"/>
  <c r="V876" i="5"/>
  <c r="B877" i="5"/>
  <c r="C877" i="5"/>
  <c r="D877" i="5"/>
  <c r="E877" i="5"/>
  <c r="F877" i="5"/>
  <c r="G877" i="5"/>
  <c r="H877" i="5"/>
  <c r="I877" i="5"/>
  <c r="J877" i="5"/>
  <c r="K877" i="5"/>
  <c r="L877" i="5"/>
  <c r="M877" i="5"/>
  <c r="N877" i="5"/>
  <c r="O877" i="5"/>
  <c r="P877" i="5"/>
  <c r="Q877" i="5"/>
  <c r="R877" i="5"/>
  <c r="S877" i="5"/>
  <c r="T877" i="5"/>
  <c r="U877" i="5"/>
  <c r="V877" i="5"/>
  <c r="B878" i="5"/>
  <c r="C878" i="5"/>
  <c r="D878" i="5"/>
  <c r="E878" i="5"/>
  <c r="F878" i="5"/>
  <c r="G878" i="5"/>
  <c r="H878" i="5"/>
  <c r="I878" i="5"/>
  <c r="J878" i="5"/>
  <c r="K878" i="5"/>
  <c r="L878" i="5"/>
  <c r="M878" i="5"/>
  <c r="N878" i="5"/>
  <c r="O878" i="5"/>
  <c r="P878" i="5"/>
  <c r="Q878" i="5"/>
  <c r="R878" i="5"/>
  <c r="S878" i="5"/>
  <c r="T878" i="5"/>
  <c r="U878" i="5"/>
  <c r="V878" i="5"/>
  <c r="B879" i="5"/>
  <c r="C879" i="5"/>
  <c r="D879" i="5"/>
  <c r="E879" i="5"/>
  <c r="F879" i="5"/>
  <c r="G879" i="5"/>
  <c r="H879" i="5"/>
  <c r="I879" i="5"/>
  <c r="J879" i="5"/>
  <c r="K879" i="5"/>
  <c r="L879" i="5"/>
  <c r="M879" i="5"/>
  <c r="N879" i="5"/>
  <c r="O879" i="5"/>
  <c r="P879" i="5"/>
  <c r="Q879" i="5"/>
  <c r="R879" i="5"/>
  <c r="S879" i="5"/>
  <c r="T879" i="5"/>
  <c r="U879" i="5"/>
  <c r="V879" i="5"/>
  <c r="B880" i="5"/>
  <c r="C880" i="5"/>
  <c r="D880" i="5"/>
  <c r="E880" i="5"/>
  <c r="F880" i="5"/>
  <c r="G880" i="5"/>
  <c r="H880" i="5"/>
  <c r="I880" i="5"/>
  <c r="J880" i="5"/>
  <c r="K880" i="5"/>
  <c r="L880" i="5"/>
  <c r="M880" i="5"/>
  <c r="N880" i="5"/>
  <c r="O880" i="5"/>
  <c r="P880" i="5"/>
  <c r="Q880" i="5"/>
  <c r="R880" i="5"/>
  <c r="S880" i="5"/>
  <c r="T880" i="5"/>
  <c r="U880" i="5"/>
  <c r="V880" i="5"/>
  <c r="B881" i="5"/>
  <c r="C881" i="5"/>
  <c r="D881" i="5"/>
  <c r="E881" i="5"/>
  <c r="F881" i="5"/>
  <c r="G881" i="5"/>
  <c r="H881" i="5"/>
  <c r="I881" i="5"/>
  <c r="J881" i="5"/>
  <c r="K881" i="5"/>
  <c r="L881" i="5"/>
  <c r="M881" i="5"/>
  <c r="N881" i="5"/>
  <c r="O881" i="5"/>
  <c r="P881" i="5"/>
  <c r="Q881" i="5"/>
  <c r="R881" i="5"/>
  <c r="S881" i="5"/>
  <c r="T881" i="5"/>
  <c r="U881" i="5"/>
  <c r="V881" i="5"/>
  <c r="B882" i="5"/>
  <c r="C882" i="5"/>
  <c r="D882" i="5"/>
  <c r="E882" i="5"/>
  <c r="F882" i="5"/>
  <c r="G882" i="5"/>
  <c r="H882" i="5"/>
  <c r="I882" i="5"/>
  <c r="J882" i="5"/>
  <c r="K882" i="5"/>
  <c r="L882" i="5"/>
  <c r="M882" i="5"/>
  <c r="N882" i="5"/>
  <c r="O882" i="5"/>
  <c r="P882" i="5"/>
  <c r="Q882" i="5"/>
  <c r="R882" i="5"/>
  <c r="S882" i="5"/>
  <c r="T882" i="5"/>
  <c r="U882" i="5"/>
  <c r="V882" i="5"/>
  <c r="B883" i="5"/>
  <c r="C883" i="5"/>
  <c r="D883" i="5"/>
  <c r="E883" i="5"/>
  <c r="F883" i="5"/>
  <c r="G883" i="5"/>
  <c r="H883" i="5"/>
  <c r="I883" i="5"/>
  <c r="J883" i="5"/>
  <c r="K883" i="5"/>
  <c r="L883" i="5"/>
  <c r="M883" i="5"/>
  <c r="N883" i="5"/>
  <c r="O883" i="5"/>
  <c r="P883" i="5"/>
  <c r="Q883" i="5"/>
  <c r="R883" i="5"/>
  <c r="S883" i="5"/>
  <c r="T883" i="5"/>
  <c r="U883" i="5"/>
  <c r="V883" i="5"/>
  <c r="B884" i="5"/>
  <c r="C884" i="5"/>
  <c r="D884" i="5"/>
  <c r="E884" i="5"/>
  <c r="F884" i="5"/>
  <c r="G884" i="5"/>
  <c r="H884" i="5"/>
  <c r="I884" i="5"/>
  <c r="J884" i="5"/>
  <c r="K884" i="5"/>
  <c r="L884" i="5"/>
  <c r="M884" i="5"/>
  <c r="N884" i="5"/>
  <c r="O884" i="5"/>
  <c r="P884" i="5"/>
  <c r="Q884" i="5"/>
  <c r="R884" i="5"/>
  <c r="S884" i="5"/>
  <c r="T884" i="5"/>
  <c r="U884" i="5"/>
  <c r="V884" i="5"/>
  <c r="B885" i="5"/>
  <c r="C885" i="5"/>
  <c r="D885" i="5"/>
  <c r="E885" i="5"/>
  <c r="F885" i="5"/>
  <c r="G885" i="5"/>
  <c r="H885" i="5"/>
  <c r="I885" i="5"/>
  <c r="J885" i="5"/>
  <c r="K885" i="5"/>
  <c r="L885" i="5"/>
  <c r="M885" i="5"/>
  <c r="N885" i="5"/>
  <c r="O885" i="5"/>
  <c r="P885" i="5"/>
  <c r="Q885" i="5"/>
  <c r="R885" i="5"/>
  <c r="S885" i="5"/>
  <c r="T885" i="5"/>
  <c r="U885" i="5"/>
  <c r="V885" i="5"/>
  <c r="B886" i="5"/>
  <c r="C886" i="5"/>
  <c r="D886" i="5"/>
  <c r="E886" i="5"/>
  <c r="F886" i="5"/>
  <c r="G886" i="5"/>
  <c r="H886" i="5"/>
  <c r="I886" i="5"/>
  <c r="J886" i="5"/>
  <c r="K886" i="5"/>
  <c r="L886" i="5"/>
  <c r="M886" i="5"/>
  <c r="N886" i="5"/>
  <c r="O886" i="5"/>
  <c r="P886" i="5"/>
  <c r="Q886" i="5"/>
  <c r="R886" i="5"/>
  <c r="S886" i="5"/>
  <c r="T886" i="5"/>
  <c r="U886" i="5"/>
  <c r="V886" i="5"/>
  <c r="B887" i="5"/>
  <c r="C887" i="5"/>
  <c r="D887" i="5"/>
  <c r="E887" i="5"/>
  <c r="F887" i="5"/>
  <c r="G887" i="5"/>
  <c r="H887" i="5"/>
  <c r="I887" i="5"/>
  <c r="J887" i="5"/>
  <c r="K887" i="5"/>
  <c r="L887" i="5"/>
  <c r="M887" i="5"/>
  <c r="N887" i="5"/>
  <c r="O887" i="5"/>
  <c r="P887" i="5"/>
  <c r="Q887" i="5"/>
  <c r="R887" i="5"/>
  <c r="S887" i="5"/>
  <c r="T887" i="5"/>
  <c r="U887" i="5"/>
  <c r="V887" i="5"/>
  <c r="B888" i="5"/>
  <c r="C888" i="5"/>
  <c r="D888" i="5"/>
  <c r="E888" i="5"/>
  <c r="F888" i="5"/>
  <c r="G888" i="5"/>
  <c r="H888" i="5"/>
  <c r="I888" i="5"/>
  <c r="J888" i="5"/>
  <c r="K888" i="5"/>
  <c r="L888" i="5"/>
  <c r="M888" i="5"/>
  <c r="N888" i="5"/>
  <c r="O888" i="5"/>
  <c r="P888" i="5"/>
  <c r="Q888" i="5"/>
  <c r="R888" i="5"/>
  <c r="S888" i="5"/>
  <c r="T888" i="5"/>
  <c r="U888" i="5"/>
  <c r="V888" i="5"/>
  <c r="B889" i="5"/>
  <c r="C889" i="5"/>
  <c r="D889" i="5"/>
  <c r="E889" i="5"/>
  <c r="F889" i="5"/>
  <c r="G889" i="5"/>
  <c r="H889" i="5"/>
  <c r="I889" i="5"/>
  <c r="J889" i="5"/>
  <c r="K889" i="5"/>
  <c r="L889" i="5"/>
  <c r="M889" i="5"/>
  <c r="N889" i="5"/>
  <c r="O889" i="5"/>
  <c r="P889" i="5"/>
  <c r="Q889" i="5"/>
  <c r="R889" i="5"/>
  <c r="S889" i="5"/>
  <c r="T889" i="5"/>
  <c r="U889" i="5"/>
  <c r="V889" i="5"/>
  <c r="B890" i="5"/>
  <c r="C890" i="5"/>
  <c r="D890" i="5"/>
  <c r="E890" i="5"/>
  <c r="F890" i="5"/>
  <c r="G890" i="5"/>
  <c r="H890" i="5"/>
  <c r="I890" i="5"/>
  <c r="J890" i="5"/>
  <c r="K890" i="5"/>
  <c r="L890" i="5"/>
  <c r="M890" i="5"/>
  <c r="N890" i="5"/>
  <c r="O890" i="5"/>
  <c r="P890" i="5"/>
  <c r="Q890" i="5"/>
  <c r="R890" i="5"/>
  <c r="S890" i="5"/>
  <c r="T890" i="5"/>
  <c r="U890" i="5"/>
  <c r="V890" i="5"/>
  <c r="B891" i="5"/>
  <c r="C891" i="5"/>
  <c r="D891" i="5"/>
  <c r="E891" i="5"/>
  <c r="F891" i="5"/>
  <c r="G891" i="5"/>
  <c r="H891" i="5"/>
  <c r="I891" i="5"/>
  <c r="J891" i="5"/>
  <c r="K891" i="5"/>
  <c r="L891" i="5"/>
  <c r="M891" i="5"/>
  <c r="N891" i="5"/>
  <c r="O891" i="5"/>
  <c r="P891" i="5"/>
  <c r="Q891" i="5"/>
  <c r="R891" i="5"/>
  <c r="S891" i="5"/>
  <c r="T891" i="5"/>
  <c r="U891" i="5"/>
  <c r="V891" i="5"/>
  <c r="B892" i="5"/>
  <c r="C892" i="5"/>
  <c r="D892" i="5"/>
  <c r="E892" i="5"/>
  <c r="F892" i="5"/>
  <c r="G892" i="5"/>
  <c r="H892" i="5"/>
  <c r="I892" i="5"/>
  <c r="J892" i="5"/>
  <c r="K892" i="5"/>
  <c r="L892" i="5"/>
  <c r="M892" i="5"/>
  <c r="N892" i="5"/>
  <c r="O892" i="5"/>
  <c r="P892" i="5"/>
  <c r="Q892" i="5"/>
  <c r="R892" i="5"/>
  <c r="S892" i="5"/>
  <c r="T892" i="5"/>
  <c r="U892" i="5"/>
  <c r="V892" i="5"/>
  <c r="B893" i="5"/>
  <c r="C893" i="5"/>
  <c r="D893" i="5"/>
  <c r="E893" i="5"/>
  <c r="F893" i="5"/>
  <c r="G893" i="5"/>
  <c r="H893" i="5"/>
  <c r="I893" i="5"/>
  <c r="J893" i="5"/>
  <c r="K893" i="5"/>
  <c r="L893" i="5"/>
  <c r="M893" i="5"/>
  <c r="N893" i="5"/>
  <c r="O893" i="5"/>
  <c r="P893" i="5"/>
  <c r="Q893" i="5"/>
  <c r="R893" i="5"/>
  <c r="S893" i="5"/>
  <c r="T893" i="5"/>
  <c r="U893" i="5"/>
  <c r="V893" i="5"/>
  <c r="B894" i="5"/>
  <c r="C894" i="5"/>
  <c r="D894" i="5"/>
  <c r="E894" i="5"/>
  <c r="F894" i="5"/>
  <c r="G894" i="5"/>
  <c r="H894" i="5"/>
  <c r="I894" i="5"/>
  <c r="J894" i="5"/>
  <c r="K894" i="5"/>
  <c r="L894" i="5"/>
  <c r="M894" i="5"/>
  <c r="N894" i="5"/>
  <c r="O894" i="5"/>
  <c r="P894" i="5"/>
  <c r="Q894" i="5"/>
  <c r="R894" i="5"/>
  <c r="S894" i="5"/>
  <c r="T894" i="5"/>
  <c r="U894" i="5"/>
  <c r="V894" i="5"/>
  <c r="B895" i="5"/>
  <c r="C895" i="5"/>
  <c r="D895" i="5"/>
  <c r="E895" i="5"/>
  <c r="F895" i="5"/>
  <c r="G895" i="5"/>
  <c r="H895" i="5"/>
  <c r="I895" i="5"/>
  <c r="J895" i="5"/>
  <c r="K895" i="5"/>
  <c r="L895" i="5"/>
  <c r="M895" i="5"/>
  <c r="N895" i="5"/>
  <c r="O895" i="5"/>
  <c r="P895" i="5"/>
  <c r="Q895" i="5"/>
  <c r="R895" i="5"/>
  <c r="S895" i="5"/>
  <c r="T895" i="5"/>
  <c r="U895" i="5"/>
  <c r="V895" i="5"/>
  <c r="B896" i="5"/>
  <c r="C896" i="5"/>
  <c r="D896" i="5"/>
  <c r="E896" i="5"/>
  <c r="F896" i="5"/>
  <c r="G896" i="5"/>
  <c r="H896" i="5"/>
  <c r="I896" i="5"/>
  <c r="J896" i="5"/>
  <c r="K896" i="5"/>
  <c r="L896" i="5"/>
  <c r="M896" i="5"/>
  <c r="N896" i="5"/>
  <c r="O896" i="5"/>
  <c r="P896" i="5"/>
  <c r="Q896" i="5"/>
  <c r="R896" i="5"/>
  <c r="S896" i="5"/>
  <c r="T896" i="5"/>
  <c r="U896" i="5"/>
  <c r="V896" i="5"/>
  <c r="B897" i="5"/>
  <c r="C897" i="5"/>
  <c r="D897" i="5"/>
  <c r="E897" i="5"/>
  <c r="F897" i="5"/>
  <c r="G897" i="5"/>
  <c r="H897" i="5"/>
  <c r="I897" i="5"/>
  <c r="J897" i="5"/>
  <c r="K897" i="5"/>
  <c r="L897" i="5"/>
  <c r="M897" i="5"/>
  <c r="N897" i="5"/>
  <c r="O897" i="5"/>
  <c r="P897" i="5"/>
  <c r="Q897" i="5"/>
  <c r="R897" i="5"/>
  <c r="S897" i="5"/>
  <c r="T897" i="5"/>
  <c r="U897" i="5"/>
  <c r="V897" i="5"/>
  <c r="B898" i="5"/>
  <c r="C898" i="5"/>
  <c r="D898" i="5"/>
  <c r="E898" i="5"/>
  <c r="F898" i="5"/>
  <c r="G898" i="5"/>
  <c r="H898" i="5"/>
  <c r="I898" i="5"/>
  <c r="J898" i="5"/>
  <c r="K898" i="5"/>
  <c r="L898" i="5"/>
  <c r="M898" i="5"/>
  <c r="N898" i="5"/>
  <c r="O898" i="5"/>
  <c r="P898" i="5"/>
  <c r="Q898" i="5"/>
  <c r="R898" i="5"/>
  <c r="S898" i="5"/>
  <c r="T898" i="5"/>
  <c r="U898" i="5"/>
  <c r="V898" i="5"/>
  <c r="B899" i="5"/>
  <c r="C899" i="5"/>
  <c r="D899" i="5"/>
  <c r="E899" i="5"/>
  <c r="F899" i="5"/>
  <c r="G899" i="5"/>
  <c r="H899" i="5"/>
  <c r="I899" i="5"/>
  <c r="J899" i="5"/>
  <c r="K899" i="5"/>
  <c r="L899" i="5"/>
  <c r="M899" i="5"/>
  <c r="N899" i="5"/>
  <c r="O899" i="5"/>
  <c r="P899" i="5"/>
  <c r="Q899" i="5"/>
  <c r="R899" i="5"/>
  <c r="S899" i="5"/>
  <c r="T899" i="5"/>
  <c r="U899" i="5"/>
  <c r="V899" i="5"/>
  <c r="B900" i="5"/>
  <c r="C900" i="5"/>
  <c r="D900" i="5"/>
  <c r="E900" i="5"/>
  <c r="F900" i="5"/>
  <c r="G900" i="5"/>
  <c r="H900" i="5"/>
  <c r="I900" i="5"/>
  <c r="J900" i="5"/>
  <c r="K900" i="5"/>
  <c r="L900" i="5"/>
  <c r="M900" i="5"/>
  <c r="N900" i="5"/>
  <c r="O900" i="5"/>
  <c r="P900" i="5"/>
  <c r="Q900" i="5"/>
  <c r="R900" i="5"/>
  <c r="S900" i="5"/>
  <c r="T900" i="5"/>
  <c r="U900" i="5"/>
  <c r="V900" i="5"/>
  <c r="B901" i="5"/>
  <c r="C901" i="5"/>
  <c r="D901" i="5"/>
  <c r="E901" i="5"/>
  <c r="F901" i="5"/>
  <c r="G901" i="5"/>
  <c r="H901" i="5"/>
  <c r="I901" i="5"/>
  <c r="J901" i="5"/>
  <c r="K901" i="5"/>
  <c r="L901" i="5"/>
  <c r="M901" i="5"/>
  <c r="N901" i="5"/>
  <c r="O901" i="5"/>
  <c r="P901" i="5"/>
  <c r="Q901" i="5"/>
  <c r="R901" i="5"/>
  <c r="S901" i="5"/>
  <c r="T901" i="5"/>
  <c r="U901" i="5"/>
  <c r="V901" i="5"/>
  <c r="B902" i="5"/>
  <c r="C902" i="5"/>
  <c r="D902" i="5"/>
  <c r="E902" i="5"/>
  <c r="F902" i="5"/>
  <c r="G902" i="5"/>
  <c r="H902" i="5"/>
  <c r="I902" i="5"/>
  <c r="J902" i="5"/>
  <c r="K902" i="5"/>
  <c r="L902" i="5"/>
  <c r="M902" i="5"/>
  <c r="N902" i="5"/>
  <c r="O902" i="5"/>
  <c r="P902" i="5"/>
  <c r="Q902" i="5"/>
  <c r="R902" i="5"/>
  <c r="S902" i="5"/>
  <c r="T902" i="5"/>
  <c r="U902" i="5"/>
  <c r="V902" i="5"/>
  <c r="B903" i="5"/>
  <c r="C903" i="5"/>
  <c r="D903" i="5"/>
  <c r="E903" i="5"/>
  <c r="F903" i="5"/>
  <c r="G903" i="5"/>
  <c r="H903" i="5"/>
  <c r="I903" i="5"/>
  <c r="J903" i="5"/>
  <c r="K903" i="5"/>
  <c r="L903" i="5"/>
  <c r="M903" i="5"/>
  <c r="N903" i="5"/>
  <c r="O903" i="5"/>
  <c r="P903" i="5"/>
  <c r="Q903" i="5"/>
  <c r="R903" i="5"/>
  <c r="S903" i="5"/>
  <c r="T903" i="5"/>
  <c r="U903" i="5"/>
  <c r="V903" i="5"/>
  <c r="B904" i="5"/>
  <c r="C904" i="5"/>
  <c r="D904" i="5"/>
  <c r="E904" i="5"/>
  <c r="F904" i="5"/>
  <c r="G904" i="5"/>
  <c r="H904" i="5"/>
  <c r="I904" i="5"/>
  <c r="J904" i="5"/>
  <c r="K904" i="5"/>
  <c r="L904" i="5"/>
  <c r="M904" i="5"/>
  <c r="N904" i="5"/>
  <c r="O904" i="5"/>
  <c r="P904" i="5"/>
  <c r="Q904" i="5"/>
  <c r="R904" i="5"/>
  <c r="S904" i="5"/>
  <c r="T904" i="5"/>
  <c r="U904" i="5"/>
  <c r="V904" i="5"/>
  <c r="B905" i="5"/>
  <c r="C905" i="5"/>
  <c r="D905" i="5"/>
  <c r="E905" i="5"/>
  <c r="F905" i="5"/>
  <c r="G905" i="5"/>
  <c r="H905" i="5"/>
  <c r="I905" i="5"/>
  <c r="J905" i="5"/>
  <c r="K905" i="5"/>
  <c r="L905" i="5"/>
  <c r="M905" i="5"/>
  <c r="N905" i="5"/>
  <c r="O905" i="5"/>
  <c r="P905" i="5"/>
  <c r="Q905" i="5"/>
  <c r="R905" i="5"/>
  <c r="S905" i="5"/>
  <c r="T905" i="5"/>
  <c r="U905" i="5"/>
  <c r="V905" i="5"/>
  <c r="B906" i="5"/>
  <c r="C906" i="5"/>
  <c r="D906" i="5"/>
  <c r="E906" i="5"/>
  <c r="F906" i="5"/>
  <c r="G906" i="5"/>
  <c r="H906" i="5"/>
  <c r="I906" i="5"/>
  <c r="J906" i="5"/>
  <c r="K906" i="5"/>
  <c r="L906" i="5"/>
  <c r="M906" i="5"/>
  <c r="N906" i="5"/>
  <c r="O906" i="5"/>
  <c r="P906" i="5"/>
  <c r="Q906" i="5"/>
  <c r="R906" i="5"/>
  <c r="S906" i="5"/>
  <c r="T906" i="5"/>
  <c r="U906" i="5"/>
  <c r="V906" i="5"/>
  <c r="B907" i="5"/>
  <c r="C907" i="5"/>
  <c r="D907" i="5"/>
  <c r="E907" i="5"/>
  <c r="F907" i="5"/>
  <c r="G907" i="5"/>
  <c r="H907" i="5"/>
  <c r="I907" i="5"/>
  <c r="J907" i="5"/>
  <c r="K907" i="5"/>
  <c r="L907" i="5"/>
  <c r="M907" i="5"/>
  <c r="N907" i="5"/>
  <c r="O907" i="5"/>
  <c r="P907" i="5"/>
  <c r="Q907" i="5"/>
  <c r="R907" i="5"/>
  <c r="S907" i="5"/>
  <c r="T907" i="5"/>
  <c r="U907" i="5"/>
  <c r="V907" i="5"/>
  <c r="B908" i="5"/>
  <c r="C908" i="5"/>
  <c r="D908" i="5"/>
  <c r="E908" i="5"/>
  <c r="F908" i="5"/>
  <c r="G908" i="5"/>
  <c r="H908" i="5"/>
  <c r="I908" i="5"/>
  <c r="J908" i="5"/>
  <c r="K908" i="5"/>
  <c r="L908" i="5"/>
  <c r="M908" i="5"/>
  <c r="N908" i="5"/>
  <c r="O908" i="5"/>
  <c r="P908" i="5"/>
  <c r="Q908" i="5"/>
  <c r="R908" i="5"/>
  <c r="S908" i="5"/>
  <c r="T908" i="5"/>
  <c r="U908" i="5"/>
  <c r="V908" i="5"/>
  <c r="B909" i="5"/>
  <c r="C909" i="5"/>
  <c r="D909" i="5"/>
  <c r="E909" i="5"/>
  <c r="F909" i="5"/>
  <c r="G909" i="5"/>
  <c r="H909" i="5"/>
  <c r="I909" i="5"/>
  <c r="J909" i="5"/>
  <c r="K909" i="5"/>
  <c r="L909" i="5"/>
  <c r="M909" i="5"/>
  <c r="N909" i="5"/>
  <c r="O909" i="5"/>
  <c r="P909" i="5"/>
  <c r="Q909" i="5"/>
  <c r="R909" i="5"/>
  <c r="S909" i="5"/>
  <c r="T909" i="5"/>
  <c r="U909" i="5"/>
  <c r="V909" i="5"/>
  <c r="B910" i="5"/>
  <c r="C910" i="5"/>
  <c r="D910" i="5"/>
  <c r="E910" i="5"/>
  <c r="F910" i="5"/>
  <c r="G910" i="5"/>
  <c r="H910" i="5"/>
  <c r="I910" i="5"/>
  <c r="J910" i="5"/>
  <c r="K910" i="5"/>
  <c r="L910" i="5"/>
  <c r="M910" i="5"/>
  <c r="N910" i="5"/>
  <c r="O910" i="5"/>
  <c r="P910" i="5"/>
  <c r="Q910" i="5"/>
  <c r="R910" i="5"/>
  <c r="S910" i="5"/>
  <c r="T910" i="5"/>
  <c r="U910" i="5"/>
  <c r="V910" i="5"/>
  <c r="B911" i="5"/>
  <c r="C911" i="5"/>
  <c r="D911" i="5"/>
  <c r="E911" i="5"/>
  <c r="F911" i="5"/>
  <c r="G911" i="5"/>
  <c r="H911" i="5"/>
  <c r="I911" i="5"/>
  <c r="J911" i="5"/>
  <c r="K911" i="5"/>
  <c r="L911" i="5"/>
  <c r="M911" i="5"/>
  <c r="N911" i="5"/>
  <c r="O911" i="5"/>
  <c r="P911" i="5"/>
  <c r="Q911" i="5"/>
  <c r="R911" i="5"/>
  <c r="S911" i="5"/>
  <c r="T911" i="5"/>
  <c r="U911" i="5"/>
  <c r="V911" i="5"/>
  <c r="B912" i="5"/>
  <c r="C912" i="5"/>
  <c r="D912" i="5"/>
  <c r="E912" i="5"/>
  <c r="F912" i="5"/>
  <c r="G912" i="5"/>
  <c r="H912" i="5"/>
  <c r="I912" i="5"/>
  <c r="J912" i="5"/>
  <c r="K912" i="5"/>
  <c r="L912" i="5"/>
  <c r="M912" i="5"/>
  <c r="N912" i="5"/>
  <c r="O912" i="5"/>
  <c r="P912" i="5"/>
  <c r="Q912" i="5"/>
  <c r="R912" i="5"/>
  <c r="S912" i="5"/>
  <c r="T912" i="5"/>
  <c r="U912" i="5"/>
  <c r="V912" i="5"/>
  <c r="B913" i="5"/>
  <c r="C913" i="5"/>
  <c r="D913" i="5"/>
  <c r="E913" i="5"/>
  <c r="F913" i="5"/>
  <c r="G913" i="5"/>
  <c r="H913" i="5"/>
  <c r="I913" i="5"/>
  <c r="J913" i="5"/>
  <c r="K913" i="5"/>
  <c r="L913" i="5"/>
  <c r="M913" i="5"/>
  <c r="N913" i="5"/>
  <c r="O913" i="5"/>
  <c r="P913" i="5"/>
  <c r="Q913" i="5"/>
  <c r="R913" i="5"/>
  <c r="S913" i="5"/>
  <c r="T913" i="5"/>
  <c r="U913" i="5"/>
  <c r="V913" i="5"/>
  <c r="B914" i="5"/>
  <c r="C914" i="5"/>
  <c r="D914" i="5"/>
  <c r="E914" i="5"/>
  <c r="F914" i="5"/>
  <c r="G914" i="5"/>
  <c r="H914" i="5"/>
  <c r="I914" i="5"/>
  <c r="J914" i="5"/>
  <c r="K914" i="5"/>
  <c r="L914" i="5"/>
  <c r="M914" i="5"/>
  <c r="N914" i="5"/>
  <c r="O914" i="5"/>
  <c r="P914" i="5"/>
  <c r="Q914" i="5"/>
  <c r="R914" i="5"/>
  <c r="S914" i="5"/>
  <c r="T914" i="5"/>
  <c r="U914" i="5"/>
  <c r="V914" i="5"/>
  <c r="B915" i="5"/>
  <c r="C915" i="5"/>
  <c r="D915" i="5"/>
  <c r="E915" i="5"/>
  <c r="F915" i="5"/>
  <c r="G915" i="5"/>
  <c r="H915" i="5"/>
  <c r="I915" i="5"/>
  <c r="J915" i="5"/>
  <c r="K915" i="5"/>
  <c r="L915" i="5"/>
  <c r="M915" i="5"/>
  <c r="N915" i="5"/>
  <c r="O915" i="5"/>
  <c r="P915" i="5"/>
  <c r="Q915" i="5"/>
  <c r="R915" i="5"/>
  <c r="S915" i="5"/>
  <c r="T915" i="5"/>
  <c r="U915" i="5"/>
  <c r="V915" i="5"/>
  <c r="B916" i="5"/>
  <c r="C916" i="5"/>
  <c r="D916" i="5"/>
  <c r="E916" i="5"/>
  <c r="F916" i="5"/>
  <c r="G916" i="5"/>
  <c r="H916" i="5"/>
  <c r="I916" i="5"/>
  <c r="J916" i="5"/>
  <c r="K916" i="5"/>
  <c r="L916" i="5"/>
  <c r="M916" i="5"/>
  <c r="N916" i="5"/>
  <c r="O916" i="5"/>
  <c r="P916" i="5"/>
  <c r="Q916" i="5"/>
  <c r="R916" i="5"/>
  <c r="S916" i="5"/>
  <c r="T916" i="5"/>
  <c r="U916" i="5"/>
  <c r="V916" i="5"/>
  <c r="B917" i="5"/>
  <c r="C917" i="5"/>
  <c r="D917" i="5"/>
  <c r="E917" i="5"/>
  <c r="F917" i="5"/>
  <c r="G917" i="5"/>
  <c r="H917" i="5"/>
  <c r="I917" i="5"/>
  <c r="J917" i="5"/>
  <c r="K917" i="5"/>
  <c r="L917" i="5"/>
  <c r="M917" i="5"/>
  <c r="N917" i="5"/>
  <c r="O917" i="5"/>
  <c r="P917" i="5"/>
  <c r="Q917" i="5"/>
  <c r="R917" i="5"/>
  <c r="S917" i="5"/>
  <c r="T917" i="5"/>
  <c r="U917" i="5"/>
  <c r="V917" i="5"/>
  <c r="B918" i="5"/>
  <c r="C918" i="5"/>
  <c r="D918" i="5"/>
  <c r="E918" i="5"/>
  <c r="F918" i="5"/>
  <c r="G918" i="5"/>
  <c r="H918" i="5"/>
  <c r="I918" i="5"/>
  <c r="J918" i="5"/>
  <c r="K918" i="5"/>
  <c r="L918" i="5"/>
  <c r="M918" i="5"/>
  <c r="N918" i="5"/>
  <c r="O918" i="5"/>
  <c r="P918" i="5"/>
  <c r="Q918" i="5"/>
  <c r="R918" i="5"/>
  <c r="S918" i="5"/>
  <c r="T918" i="5"/>
  <c r="U918" i="5"/>
  <c r="V918" i="5"/>
  <c r="B919" i="5"/>
  <c r="C919" i="5"/>
  <c r="D919" i="5"/>
  <c r="E919" i="5"/>
  <c r="F919" i="5"/>
  <c r="G919" i="5"/>
  <c r="H919" i="5"/>
  <c r="I919" i="5"/>
  <c r="J919" i="5"/>
  <c r="K919" i="5"/>
  <c r="L919" i="5"/>
  <c r="M919" i="5"/>
  <c r="N919" i="5"/>
  <c r="O919" i="5"/>
  <c r="P919" i="5"/>
  <c r="Q919" i="5"/>
  <c r="R919" i="5"/>
  <c r="S919" i="5"/>
  <c r="T919" i="5"/>
  <c r="U919" i="5"/>
  <c r="V919" i="5"/>
  <c r="B920" i="5"/>
  <c r="C920" i="5"/>
  <c r="D920" i="5"/>
  <c r="E920" i="5"/>
  <c r="F920" i="5"/>
  <c r="G920" i="5"/>
  <c r="H920" i="5"/>
  <c r="I920" i="5"/>
  <c r="J920" i="5"/>
  <c r="K920" i="5"/>
  <c r="L920" i="5"/>
  <c r="M920" i="5"/>
  <c r="N920" i="5"/>
  <c r="O920" i="5"/>
  <c r="P920" i="5"/>
  <c r="Q920" i="5"/>
  <c r="R920" i="5"/>
  <c r="S920" i="5"/>
  <c r="T920" i="5"/>
  <c r="U920" i="5"/>
  <c r="V920" i="5"/>
  <c r="B921" i="5"/>
  <c r="C921" i="5"/>
  <c r="D921" i="5"/>
  <c r="E921" i="5"/>
  <c r="F921" i="5"/>
  <c r="G921" i="5"/>
  <c r="H921" i="5"/>
  <c r="I921" i="5"/>
  <c r="J921" i="5"/>
  <c r="K921" i="5"/>
  <c r="L921" i="5"/>
  <c r="M921" i="5"/>
  <c r="N921" i="5"/>
  <c r="O921" i="5"/>
  <c r="P921" i="5"/>
  <c r="Q921" i="5"/>
  <c r="R921" i="5"/>
  <c r="S921" i="5"/>
  <c r="T921" i="5"/>
  <c r="U921" i="5"/>
  <c r="V921" i="5"/>
  <c r="B922" i="5"/>
  <c r="C922" i="5"/>
  <c r="D922" i="5"/>
  <c r="E922" i="5"/>
  <c r="F922" i="5"/>
  <c r="G922" i="5"/>
  <c r="H922" i="5"/>
  <c r="I922" i="5"/>
  <c r="J922" i="5"/>
  <c r="K922" i="5"/>
  <c r="L922" i="5"/>
  <c r="M922" i="5"/>
  <c r="N922" i="5"/>
  <c r="O922" i="5"/>
  <c r="P922" i="5"/>
  <c r="Q922" i="5"/>
  <c r="R922" i="5"/>
  <c r="S922" i="5"/>
  <c r="T922" i="5"/>
  <c r="U922" i="5"/>
  <c r="V922" i="5"/>
  <c r="B923" i="5"/>
  <c r="C923" i="5"/>
  <c r="D923" i="5"/>
  <c r="E923" i="5"/>
  <c r="F923" i="5"/>
  <c r="G923" i="5"/>
  <c r="H923" i="5"/>
  <c r="I923" i="5"/>
  <c r="J923" i="5"/>
  <c r="K923" i="5"/>
  <c r="L923" i="5"/>
  <c r="M923" i="5"/>
  <c r="N923" i="5"/>
  <c r="O923" i="5"/>
  <c r="P923" i="5"/>
  <c r="Q923" i="5"/>
  <c r="R923" i="5"/>
  <c r="S923" i="5"/>
  <c r="T923" i="5"/>
  <c r="U923" i="5"/>
  <c r="V923" i="5"/>
  <c r="B924" i="5"/>
  <c r="C924" i="5"/>
  <c r="D924" i="5"/>
  <c r="E924" i="5"/>
  <c r="F924" i="5"/>
  <c r="G924" i="5"/>
  <c r="H924" i="5"/>
  <c r="I924" i="5"/>
  <c r="J924" i="5"/>
  <c r="K924" i="5"/>
  <c r="L924" i="5"/>
  <c r="M924" i="5"/>
  <c r="N924" i="5"/>
  <c r="O924" i="5"/>
  <c r="P924" i="5"/>
  <c r="Q924" i="5"/>
  <c r="R924" i="5"/>
  <c r="S924" i="5"/>
  <c r="T924" i="5"/>
  <c r="U924" i="5"/>
  <c r="V924" i="5"/>
  <c r="B925" i="5"/>
  <c r="C925" i="5"/>
  <c r="D925" i="5"/>
  <c r="E925" i="5"/>
  <c r="F925" i="5"/>
  <c r="G925" i="5"/>
  <c r="H925" i="5"/>
  <c r="I925" i="5"/>
  <c r="J925" i="5"/>
  <c r="K925" i="5"/>
  <c r="L925" i="5"/>
  <c r="M925" i="5"/>
  <c r="N925" i="5"/>
  <c r="O925" i="5"/>
  <c r="P925" i="5"/>
  <c r="Q925" i="5"/>
  <c r="R925" i="5"/>
  <c r="S925" i="5"/>
  <c r="T925" i="5"/>
  <c r="U925" i="5"/>
  <c r="V925" i="5"/>
  <c r="B926" i="5"/>
  <c r="C926" i="5"/>
  <c r="D926" i="5"/>
  <c r="E926" i="5"/>
  <c r="F926" i="5"/>
  <c r="G926" i="5"/>
  <c r="H926" i="5"/>
  <c r="I926" i="5"/>
  <c r="J926" i="5"/>
  <c r="K926" i="5"/>
  <c r="L926" i="5"/>
  <c r="M926" i="5"/>
  <c r="N926" i="5"/>
  <c r="O926" i="5"/>
  <c r="P926" i="5"/>
  <c r="Q926" i="5"/>
  <c r="R926" i="5"/>
  <c r="S926" i="5"/>
  <c r="T926" i="5"/>
  <c r="U926" i="5"/>
  <c r="V926" i="5"/>
  <c r="B927" i="5"/>
  <c r="C927" i="5"/>
  <c r="D927" i="5"/>
  <c r="E927" i="5"/>
  <c r="F927" i="5"/>
  <c r="G927" i="5"/>
  <c r="H927" i="5"/>
  <c r="I927" i="5"/>
  <c r="J927" i="5"/>
  <c r="K927" i="5"/>
  <c r="L927" i="5"/>
  <c r="M927" i="5"/>
  <c r="N927" i="5"/>
  <c r="O927" i="5"/>
  <c r="P927" i="5"/>
  <c r="Q927" i="5"/>
  <c r="R927" i="5"/>
  <c r="S927" i="5"/>
  <c r="T927" i="5"/>
  <c r="U927" i="5"/>
  <c r="V927" i="5"/>
  <c r="B928" i="5"/>
  <c r="C928" i="5"/>
  <c r="D928" i="5"/>
  <c r="E928" i="5"/>
  <c r="F928" i="5"/>
  <c r="G928" i="5"/>
  <c r="H928" i="5"/>
  <c r="I928" i="5"/>
  <c r="J928" i="5"/>
  <c r="K928" i="5"/>
  <c r="L928" i="5"/>
  <c r="M928" i="5"/>
  <c r="N928" i="5"/>
  <c r="O928" i="5"/>
  <c r="P928" i="5"/>
  <c r="Q928" i="5"/>
  <c r="R928" i="5"/>
  <c r="S928" i="5"/>
  <c r="T928" i="5"/>
  <c r="U928" i="5"/>
  <c r="V928" i="5"/>
  <c r="B929" i="5"/>
  <c r="C929" i="5"/>
  <c r="D929" i="5"/>
  <c r="E929" i="5"/>
  <c r="F929" i="5"/>
  <c r="G929" i="5"/>
  <c r="H929" i="5"/>
  <c r="I929" i="5"/>
  <c r="J929" i="5"/>
  <c r="K929" i="5"/>
  <c r="L929" i="5"/>
  <c r="M929" i="5"/>
  <c r="N929" i="5"/>
  <c r="O929" i="5"/>
  <c r="P929" i="5"/>
  <c r="Q929" i="5"/>
  <c r="R929" i="5"/>
  <c r="S929" i="5"/>
  <c r="T929" i="5"/>
  <c r="U929" i="5"/>
  <c r="V929" i="5"/>
  <c r="B930" i="5"/>
  <c r="C930" i="5"/>
  <c r="D930" i="5"/>
  <c r="E930" i="5"/>
  <c r="F930" i="5"/>
  <c r="G930" i="5"/>
  <c r="H930" i="5"/>
  <c r="I930" i="5"/>
  <c r="J930" i="5"/>
  <c r="K930" i="5"/>
  <c r="L930" i="5"/>
  <c r="M930" i="5"/>
  <c r="N930" i="5"/>
  <c r="O930" i="5"/>
  <c r="P930" i="5"/>
  <c r="Q930" i="5"/>
  <c r="R930" i="5"/>
  <c r="S930" i="5"/>
  <c r="T930" i="5"/>
  <c r="U930" i="5"/>
  <c r="V930" i="5"/>
  <c r="B931" i="5"/>
  <c r="C931" i="5"/>
  <c r="D931" i="5"/>
  <c r="E931" i="5"/>
  <c r="F931" i="5"/>
  <c r="G931" i="5"/>
  <c r="H931" i="5"/>
  <c r="I931" i="5"/>
  <c r="J931" i="5"/>
  <c r="K931" i="5"/>
  <c r="L931" i="5"/>
  <c r="M931" i="5"/>
  <c r="N931" i="5"/>
  <c r="O931" i="5"/>
  <c r="P931" i="5"/>
  <c r="Q931" i="5"/>
  <c r="R931" i="5"/>
  <c r="S931" i="5"/>
  <c r="T931" i="5"/>
  <c r="U931" i="5"/>
  <c r="V931" i="5"/>
  <c r="B932" i="5"/>
  <c r="C932" i="5"/>
  <c r="D932" i="5"/>
  <c r="E932" i="5"/>
  <c r="F932" i="5"/>
  <c r="G932" i="5"/>
  <c r="H932" i="5"/>
  <c r="I932" i="5"/>
  <c r="J932" i="5"/>
  <c r="K932" i="5"/>
  <c r="L932" i="5"/>
  <c r="M932" i="5"/>
  <c r="N932" i="5"/>
  <c r="O932" i="5"/>
  <c r="P932" i="5"/>
  <c r="Q932" i="5"/>
  <c r="R932" i="5"/>
  <c r="S932" i="5"/>
  <c r="T932" i="5"/>
  <c r="U932" i="5"/>
  <c r="V932" i="5"/>
  <c r="B933" i="5"/>
  <c r="C933" i="5"/>
  <c r="D933" i="5"/>
  <c r="E933" i="5"/>
  <c r="F933" i="5"/>
  <c r="G933" i="5"/>
  <c r="H933" i="5"/>
  <c r="I933" i="5"/>
  <c r="J933" i="5"/>
  <c r="K933" i="5"/>
  <c r="L933" i="5"/>
  <c r="M933" i="5"/>
  <c r="N933" i="5"/>
  <c r="O933" i="5"/>
  <c r="P933" i="5"/>
  <c r="Q933" i="5"/>
  <c r="R933" i="5"/>
  <c r="S933" i="5"/>
  <c r="T933" i="5"/>
  <c r="U933" i="5"/>
  <c r="V933" i="5"/>
  <c r="B934" i="5"/>
  <c r="C934" i="5"/>
  <c r="D934" i="5"/>
  <c r="E934" i="5"/>
  <c r="F934" i="5"/>
  <c r="G934" i="5"/>
  <c r="H934" i="5"/>
  <c r="I934" i="5"/>
  <c r="J934" i="5"/>
  <c r="K934" i="5"/>
  <c r="L934" i="5"/>
  <c r="M934" i="5"/>
  <c r="N934" i="5"/>
  <c r="O934" i="5"/>
  <c r="P934" i="5"/>
  <c r="Q934" i="5"/>
  <c r="R934" i="5"/>
  <c r="S934" i="5"/>
  <c r="T934" i="5"/>
  <c r="U934" i="5"/>
  <c r="V934" i="5"/>
  <c r="B935" i="5"/>
  <c r="C935" i="5"/>
  <c r="D935" i="5"/>
  <c r="E935" i="5"/>
  <c r="F935" i="5"/>
  <c r="G935" i="5"/>
  <c r="H935" i="5"/>
  <c r="I935" i="5"/>
  <c r="J935" i="5"/>
  <c r="K935" i="5"/>
  <c r="L935" i="5"/>
  <c r="M935" i="5"/>
  <c r="N935" i="5"/>
  <c r="O935" i="5"/>
  <c r="P935" i="5"/>
  <c r="Q935" i="5"/>
  <c r="R935" i="5"/>
  <c r="S935" i="5"/>
  <c r="T935" i="5"/>
  <c r="U935" i="5"/>
  <c r="V935" i="5"/>
  <c r="B936" i="5"/>
  <c r="C936" i="5"/>
  <c r="D936" i="5"/>
  <c r="E936" i="5"/>
  <c r="F936" i="5"/>
  <c r="G936" i="5"/>
  <c r="H936" i="5"/>
  <c r="I936" i="5"/>
  <c r="J936" i="5"/>
  <c r="K936" i="5"/>
  <c r="L936" i="5"/>
  <c r="M936" i="5"/>
  <c r="N936" i="5"/>
  <c r="O936" i="5"/>
  <c r="P936" i="5"/>
  <c r="Q936" i="5"/>
  <c r="R936" i="5"/>
  <c r="S936" i="5"/>
  <c r="T936" i="5"/>
  <c r="U936" i="5"/>
  <c r="V936" i="5"/>
  <c r="B937" i="5"/>
  <c r="C937" i="5"/>
  <c r="D937" i="5"/>
  <c r="E937" i="5"/>
  <c r="F937" i="5"/>
  <c r="G937" i="5"/>
  <c r="H937" i="5"/>
  <c r="I937" i="5"/>
  <c r="J937" i="5"/>
  <c r="K937" i="5"/>
  <c r="L937" i="5"/>
  <c r="M937" i="5"/>
  <c r="N937" i="5"/>
  <c r="O937" i="5"/>
  <c r="P937" i="5"/>
  <c r="Q937" i="5"/>
  <c r="R937" i="5"/>
  <c r="S937" i="5"/>
  <c r="T937" i="5"/>
  <c r="U937" i="5"/>
  <c r="V937" i="5"/>
  <c r="B938" i="5"/>
  <c r="C938" i="5"/>
  <c r="D938" i="5"/>
  <c r="E938" i="5"/>
  <c r="F938" i="5"/>
  <c r="G938" i="5"/>
  <c r="H938" i="5"/>
  <c r="I938" i="5"/>
  <c r="J938" i="5"/>
  <c r="K938" i="5"/>
  <c r="L938" i="5"/>
  <c r="M938" i="5"/>
  <c r="N938" i="5"/>
  <c r="O938" i="5"/>
  <c r="P938" i="5"/>
  <c r="Q938" i="5"/>
  <c r="R938" i="5"/>
  <c r="S938" i="5"/>
  <c r="T938" i="5"/>
  <c r="U938" i="5"/>
  <c r="V938" i="5"/>
  <c r="B939" i="5"/>
  <c r="C939" i="5"/>
  <c r="D939" i="5"/>
  <c r="E939" i="5"/>
  <c r="F939" i="5"/>
  <c r="G939" i="5"/>
  <c r="H939" i="5"/>
  <c r="I939" i="5"/>
  <c r="J939" i="5"/>
  <c r="K939" i="5"/>
  <c r="L939" i="5"/>
  <c r="M939" i="5"/>
  <c r="N939" i="5"/>
  <c r="O939" i="5"/>
  <c r="P939" i="5"/>
  <c r="Q939" i="5"/>
  <c r="R939" i="5"/>
  <c r="S939" i="5"/>
  <c r="T939" i="5"/>
  <c r="U939" i="5"/>
  <c r="V939" i="5"/>
  <c r="B940" i="5"/>
  <c r="C940" i="5"/>
  <c r="D940" i="5"/>
  <c r="E940" i="5"/>
  <c r="F940" i="5"/>
  <c r="G940" i="5"/>
  <c r="H940" i="5"/>
  <c r="I940" i="5"/>
  <c r="J940" i="5"/>
  <c r="K940" i="5"/>
  <c r="L940" i="5"/>
  <c r="M940" i="5"/>
  <c r="N940" i="5"/>
  <c r="O940" i="5"/>
  <c r="P940" i="5"/>
  <c r="Q940" i="5"/>
  <c r="R940" i="5"/>
  <c r="S940" i="5"/>
  <c r="T940" i="5"/>
  <c r="U940" i="5"/>
  <c r="V940" i="5"/>
  <c r="B941" i="5"/>
  <c r="C941" i="5"/>
  <c r="D941" i="5"/>
  <c r="E941" i="5"/>
  <c r="F941" i="5"/>
  <c r="G941" i="5"/>
  <c r="H941" i="5"/>
  <c r="I941" i="5"/>
  <c r="J941" i="5"/>
  <c r="K941" i="5"/>
  <c r="L941" i="5"/>
  <c r="M941" i="5"/>
  <c r="N941" i="5"/>
  <c r="O941" i="5"/>
  <c r="P941" i="5"/>
  <c r="Q941" i="5"/>
  <c r="R941" i="5"/>
  <c r="S941" i="5"/>
  <c r="T941" i="5"/>
  <c r="U941" i="5"/>
  <c r="V941" i="5"/>
  <c r="B942" i="5"/>
  <c r="C942" i="5"/>
  <c r="D942" i="5"/>
  <c r="E942" i="5"/>
  <c r="F942" i="5"/>
  <c r="G942" i="5"/>
  <c r="H942" i="5"/>
  <c r="I942" i="5"/>
  <c r="J942" i="5"/>
  <c r="K942" i="5"/>
  <c r="L942" i="5"/>
  <c r="M942" i="5"/>
  <c r="N942" i="5"/>
  <c r="O942" i="5"/>
  <c r="P942" i="5"/>
  <c r="Q942" i="5"/>
  <c r="R942" i="5"/>
  <c r="S942" i="5"/>
  <c r="T942" i="5"/>
  <c r="U942" i="5"/>
  <c r="V942" i="5"/>
  <c r="B943" i="5"/>
  <c r="C943" i="5"/>
  <c r="D943" i="5"/>
  <c r="E943" i="5"/>
  <c r="F943" i="5"/>
  <c r="G943" i="5"/>
  <c r="H943" i="5"/>
  <c r="I943" i="5"/>
  <c r="J943" i="5"/>
  <c r="K943" i="5"/>
  <c r="L943" i="5"/>
  <c r="M943" i="5"/>
  <c r="N943" i="5"/>
  <c r="O943" i="5"/>
  <c r="P943" i="5"/>
  <c r="Q943" i="5"/>
  <c r="R943" i="5"/>
  <c r="S943" i="5"/>
  <c r="T943" i="5"/>
  <c r="U943" i="5"/>
  <c r="V943" i="5"/>
  <c r="B944" i="5"/>
  <c r="C944" i="5"/>
  <c r="D944" i="5"/>
  <c r="E944" i="5"/>
  <c r="F944" i="5"/>
  <c r="G944" i="5"/>
  <c r="H944" i="5"/>
  <c r="I944" i="5"/>
  <c r="J944" i="5"/>
  <c r="K944" i="5"/>
  <c r="L944" i="5"/>
  <c r="M944" i="5"/>
  <c r="N944" i="5"/>
  <c r="O944" i="5"/>
  <c r="P944" i="5"/>
  <c r="Q944" i="5"/>
  <c r="R944" i="5"/>
  <c r="S944" i="5"/>
  <c r="T944" i="5"/>
  <c r="U944" i="5"/>
  <c r="V944" i="5"/>
  <c r="B945" i="5"/>
  <c r="C945" i="5"/>
  <c r="D945" i="5"/>
  <c r="E945" i="5"/>
  <c r="F945" i="5"/>
  <c r="G945" i="5"/>
  <c r="H945" i="5"/>
  <c r="I945" i="5"/>
  <c r="J945" i="5"/>
  <c r="K945" i="5"/>
  <c r="L945" i="5"/>
  <c r="M945" i="5"/>
  <c r="N945" i="5"/>
  <c r="O945" i="5"/>
  <c r="P945" i="5"/>
  <c r="Q945" i="5"/>
  <c r="R945" i="5"/>
  <c r="S945" i="5"/>
  <c r="T945" i="5"/>
  <c r="U945" i="5"/>
  <c r="V945" i="5"/>
  <c r="B946" i="5"/>
  <c r="C946" i="5"/>
  <c r="D946" i="5"/>
  <c r="E946" i="5"/>
  <c r="F946" i="5"/>
  <c r="G946" i="5"/>
  <c r="H946" i="5"/>
  <c r="I946" i="5"/>
  <c r="J946" i="5"/>
  <c r="K946" i="5"/>
  <c r="L946" i="5"/>
  <c r="M946" i="5"/>
  <c r="N946" i="5"/>
  <c r="O946" i="5"/>
  <c r="P946" i="5"/>
  <c r="Q946" i="5"/>
  <c r="R946" i="5"/>
  <c r="S946" i="5"/>
  <c r="T946" i="5"/>
  <c r="U946" i="5"/>
  <c r="V946" i="5"/>
  <c r="B947" i="5"/>
  <c r="C947" i="5"/>
  <c r="D947" i="5"/>
  <c r="E947" i="5"/>
  <c r="F947" i="5"/>
  <c r="G947" i="5"/>
  <c r="H947" i="5"/>
  <c r="I947" i="5"/>
  <c r="J947" i="5"/>
  <c r="K947" i="5"/>
  <c r="L947" i="5"/>
  <c r="M947" i="5"/>
  <c r="N947" i="5"/>
  <c r="O947" i="5"/>
  <c r="P947" i="5"/>
  <c r="Q947" i="5"/>
  <c r="R947" i="5"/>
  <c r="S947" i="5"/>
  <c r="T947" i="5"/>
  <c r="U947" i="5"/>
  <c r="V947" i="5"/>
  <c r="B948" i="5"/>
  <c r="C948" i="5"/>
  <c r="D948" i="5"/>
  <c r="E948" i="5"/>
  <c r="F948" i="5"/>
  <c r="G948" i="5"/>
  <c r="H948" i="5"/>
  <c r="I948" i="5"/>
  <c r="J948" i="5"/>
  <c r="K948" i="5"/>
  <c r="L948" i="5"/>
  <c r="M948" i="5"/>
  <c r="N948" i="5"/>
  <c r="O948" i="5"/>
  <c r="P948" i="5"/>
  <c r="Q948" i="5"/>
  <c r="R948" i="5"/>
  <c r="S948" i="5"/>
  <c r="T948" i="5"/>
  <c r="U948" i="5"/>
  <c r="V948" i="5"/>
  <c r="B949" i="5"/>
  <c r="C949" i="5"/>
  <c r="D949" i="5"/>
  <c r="E949" i="5"/>
  <c r="F949" i="5"/>
  <c r="G949" i="5"/>
  <c r="H949" i="5"/>
  <c r="I949" i="5"/>
  <c r="J949" i="5"/>
  <c r="K949" i="5"/>
  <c r="L949" i="5"/>
  <c r="M949" i="5"/>
  <c r="N949" i="5"/>
  <c r="O949" i="5"/>
  <c r="P949" i="5"/>
  <c r="Q949" i="5"/>
  <c r="R949" i="5"/>
  <c r="S949" i="5"/>
  <c r="T949" i="5"/>
  <c r="U949" i="5"/>
  <c r="V949" i="5"/>
  <c r="B950" i="5"/>
  <c r="C950" i="5"/>
  <c r="D950" i="5"/>
  <c r="E950" i="5"/>
  <c r="F950" i="5"/>
  <c r="G950" i="5"/>
  <c r="H950" i="5"/>
  <c r="I950" i="5"/>
  <c r="J950" i="5"/>
  <c r="K950" i="5"/>
  <c r="L950" i="5"/>
  <c r="M950" i="5"/>
  <c r="N950" i="5"/>
  <c r="O950" i="5"/>
  <c r="P950" i="5"/>
  <c r="Q950" i="5"/>
  <c r="R950" i="5"/>
  <c r="S950" i="5"/>
  <c r="T950" i="5"/>
  <c r="U950" i="5"/>
  <c r="V950" i="5"/>
  <c r="B951" i="5"/>
  <c r="C951" i="5"/>
  <c r="D951" i="5"/>
  <c r="E951" i="5"/>
  <c r="F951" i="5"/>
  <c r="G951" i="5"/>
  <c r="H951" i="5"/>
  <c r="I951" i="5"/>
  <c r="J951" i="5"/>
  <c r="K951" i="5"/>
  <c r="L951" i="5"/>
  <c r="M951" i="5"/>
  <c r="N951" i="5"/>
  <c r="O951" i="5"/>
  <c r="P951" i="5"/>
  <c r="Q951" i="5"/>
  <c r="R951" i="5"/>
  <c r="S951" i="5"/>
  <c r="T951" i="5"/>
  <c r="U951" i="5"/>
  <c r="V951" i="5"/>
  <c r="B952" i="5"/>
  <c r="C952" i="5"/>
  <c r="D952" i="5"/>
  <c r="E952" i="5"/>
  <c r="F952" i="5"/>
  <c r="G952" i="5"/>
  <c r="H952" i="5"/>
  <c r="I952" i="5"/>
  <c r="J952" i="5"/>
  <c r="K952" i="5"/>
  <c r="L952" i="5"/>
  <c r="M952" i="5"/>
  <c r="N952" i="5"/>
  <c r="O952" i="5"/>
  <c r="P952" i="5"/>
  <c r="Q952" i="5"/>
  <c r="R952" i="5"/>
  <c r="S952" i="5"/>
  <c r="T952" i="5"/>
  <c r="U952" i="5"/>
  <c r="V952" i="5"/>
  <c r="B953" i="5"/>
  <c r="C953" i="5"/>
  <c r="D953" i="5"/>
  <c r="E953" i="5"/>
  <c r="F953" i="5"/>
  <c r="G953" i="5"/>
  <c r="H953" i="5"/>
  <c r="I953" i="5"/>
  <c r="J953" i="5"/>
  <c r="K953" i="5"/>
  <c r="L953" i="5"/>
  <c r="M953" i="5"/>
  <c r="N953" i="5"/>
  <c r="O953" i="5"/>
  <c r="P953" i="5"/>
  <c r="Q953" i="5"/>
  <c r="R953" i="5"/>
  <c r="S953" i="5"/>
  <c r="T953" i="5"/>
  <c r="U953" i="5"/>
  <c r="V953" i="5"/>
  <c r="B954" i="5"/>
  <c r="C954" i="5"/>
  <c r="D954" i="5"/>
  <c r="E954" i="5"/>
  <c r="F954" i="5"/>
  <c r="G954" i="5"/>
  <c r="H954" i="5"/>
  <c r="I954" i="5"/>
  <c r="J954" i="5"/>
  <c r="K954" i="5"/>
  <c r="L954" i="5"/>
  <c r="M954" i="5"/>
  <c r="N954" i="5"/>
  <c r="O954" i="5"/>
  <c r="P954" i="5"/>
  <c r="Q954" i="5"/>
  <c r="R954" i="5"/>
  <c r="S954" i="5"/>
  <c r="T954" i="5"/>
  <c r="U954" i="5"/>
  <c r="V954" i="5"/>
  <c r="B955" i="5"/>
  <c r="C955" i="5"/>
  <c r="D955" i="5"/>
  <c r="E955" i="5"/>
  <c r="F955" i="5"/>
  <c r="G955" i="5"/>
  <c r="H955" i="5"/>
  <c r="I955" i="5"/>
  <c r="J955" i="5"/>
  <c r="K955" i="5"/>
  <c r="L955" i="5"/>
  <c r="M955" i="5"/>
  <c r="N955" i="5"/>
  <c r="O955" i="5"/>
  <c r="P955" i="5"/>
  <c r="Q955" i="5"/>
  <c r="R955" i="5"/>
  <c r="S955" i="5"/>
  <c r="T955" i="5"/>
  <c r="U955" i="5"/>
  <c r="V955" i="5"/>
  <c r="B956" i="5"/>
  <c r="C956" i="5"/>
  <c r="D956" i="5"/>
  <c r="E956" i="5"/>
  <c r="F956" i="5"/>
  <c r="G956" i="5"/>
  <c r="H956" i="5"/>
  <c r="I956" i="5"/>
  <c r="J956" i="5"/>
  <c r="K956" i="5"/>
  <c r="L956" i="5"/>
  <c r="M956" i="5"/>
  <c r="N956" i="5"/>
  <c r="O956" i="5"/>
  <c r="P956" i="5"/>
  <c r="Q956" i="5"/>
  <c r="R956" i="5"/>
  <c r="S956" i="5"/>
  <c r="T956" i="5"/>
  <c r="U956" i="5"/>
  <c r="V956" i="5"/>
  <c r="B957" i="5"/>
  <c r="C957" i="5"/>
  <c r="D957" i="5"/>
  <c r="E957" i="5"/>
  <c r="F957" i="5"/>
  <c r="G957" i="5"/>
  <c r="H957" i="5"/>
  <c r="I957" i="5"/>
  <c r="J957" i="5"/>
  <c r="K957" i="5"/>
  <c r="L957" i="5"/>
  <c r="M957" i="5"/>
  <c r="N957" i="5"/>
  <c r="O957" i="5"/>
  <c r="P957" i="5"/>
  <c r="Q957" i="5"/>
  <c r="R957" i="5"/>
  <c r="S957" i="5"/>
  <c r="T957" i="5"/>
  <c r="U957" i="5"/>
  <c r="V957" i="5"/>
  <c r="B958" i="5"/>
  <c r="C958" i="5"/>
  <c r="D958" i="5"/>
  <c r="E958" i="5"/>
  <c r="F958" i="5"/>
  <c r="G958" i="5"/>
  <c r="H958" i="5"/>
  <c r="I958" i="5"/>
  <c r="J958" i="5"/>
  <c r="K958" i="5"/>
  <c r="L958" i="5"/>
  <c r="M958" i="5"/>
  <c r="N958" i="5"/>
  <c r="O958" i="5"/>
  <c r="P958" i="5"/>
  <c r="Q958" i="5"/>
  <c r="R958" i="5"/>
  <c r="S958" i="5"/>
  <c r="T958" i="5"/>
  <c r="U958" i="5"/>
  <c r="V958" i="5"/>
  <c r="B959" i="5"/>
  <c r="C959" i="5"/>
  <c r="D959" i="5"/>
  <c r="E959" i="5"/>
  <c r="F959" i="5"/>
  <c r="G959" i="5"/>
  <c r="H959" i="5"/>
  <c r="I959" i="5"/>
  <c r="J959" i="5"/>
  <c r="K959" i="5"/>
  <c r="L959" i="5"/>
  <c r="M959" i="5"/>
  <c r="N959" i="5"/>
  <c r="O959" i="5"/>
  <c r="P959" i="5"/>
  <c r="Q959" i="5"/>
  <c r="R959" i="5"/>
  <c r="S959" i="5"/>
  <c r="T959" i="5"/>
  <c r="U959" i="5"/>
  <c r="V959" i="5"/>
  <c r="B960" i="5"/>
  <c r="C960" i="5"/>
  <c r="D960" i="5"/>
  <c r="E960" i="5"/>
  <c r="F960" i="5"/>
  <c r="G960" i="5"/>
  <c r="H960" i="5"/>
  <c r="I960" i="5"/>
  <c r="J960" i="5"/>
  <c r="K960" i="5"/>
  <c r="L960" i="5"/>
  <c r="M960" i="5"/>
  <c r="N960" i="5"/>
  <c r="O960" i="5"/>
  <c r="P960" i="5"/>
  <c r="Q960" i="5"/>
  <c r="R960" i="5"/>
  <c r="S960" i="5"/>
  <c r="T960" i="5"/>
  <c r="U960" i="5"/>
  <c r="V960" i="5"/>
  <c r="B961" i="5"/>
  <c r="C961" i="5"/>
  <c r="D961" i="5"/>
  <c r="E961" i="5"/>
  <c r="F961" i="5"/>
  <c r="G961" i="5"/>
  <c r="H961" i="5"/>
  <c r="I961" i="5"/>
  <c r="J961" i="5"/>
  <c r="K961" i="5"/>
  <c r="L961" i="5"/>
  <c r="M961" i="5"/>
  <c r="N961" i="5"/>
  <c r="O961" i="5"/>
  <c r="P961" i="5"/>
  <c r="Q961" i="5"/>
  <c r="R961" i="5"/>
  <c r="S961" i="5"/>
  <c r="T961" i="5"/>
  <c r="U961" i="5"/>
  <c r="V961" i="5"/>
  <c r="B962" i="5"/>
  <c r="C962" i="5"/>
  <c r="D962" i="5"/>
  <c r="E962" i="5"/>
  <c r="F962" i="5"/>
  <c r="G962" i="5"/>
  <c r="H962" i="5"/>
  <c r="I962" i="5"/>
  <c r="J962" i="5"/>
  <c r="K962" i="5"/>
  <c r="L962" i="5"/>
  <c r="M962" i="5"/>
  <c r="N962" i="5"/>
  <c r="O962" i="5"/>
  <c r="P962" i="5"/>
  <c r="Q962" i="5"/>
  <c r="R962" i="5"/>
  <c r="S962" i="5"/>
  <c r="T962" i="5"/>
  <c r="U962" i="5"/>
  <c r="V962" i="5"/>
  <c r="B963" i="5"/>
  <c r="C963" i="5"/>
  <c r="D963" i="5"/>
  <c r="E963" i="5"/>
  <c r="F963" i="5"/>
  <c r="G963" i="5"/>
  <c r="H963" i="5"/>
  <c r="I963" i="5"/>
  <c r="J963" i="5"/>
  <c r="K963" i="5"/>
  <c r="L963" i="5"/>
  <c r="M963" i="5"/>
  <c r="N963" i="5"/>
  <c r="O963" i="5"/>
  <c r="P963" i="5"/>
  <c r="Q963" i="5"/>
  <c r="R963" i="5"/>
  <c r="S963" i="5"/>
  <c r="T963" i="5"/>
  <c r="U963" i="5"/>
  <c r="V963" i="5"/>
  <c r="B964" i="5"/>
  <c r="C964" i="5"/>
  <c r="D964" i="5"/>
  <c r="E964" i="5"/>
  <c r="F964" i="5"/>
  <c r="G964" i="5"/>
  <c r="H964" i="5"/>
  <c r="I964" i="5"/>
  <c r="J964" i="5"/>
  <c r="K964" i="5"/>
  <c r="L964" i="5"/>
  <c r="M964" i="5"/>
  <c r="N964" i="5"/>
  <c r="O964" i="5"/>
  <c r="P964" i="5"/>
  <c r="Q964" i="5"/>
  <c r="R964" i="5"/>
  <c r="S964" i="5"/>
  <c r="T964" i="5"/>
  <c r="U964" i="5"/>
  <c r="V964" i="5"/>
  <c r="B965" i="5"/>
  <c r="C965" i="5"/>
  <c r="D965" i="5"/>
  <c r="E965" i="5"/>
  <c r="F965" i="5"/>
  <c r="G965" i="5"/>
  <c r="H965" i="5"/>
  <c r="I965" i="5"/>
  <c r="J965" i="5"/>
  <c r="K965" i="5"/>
  <c r="L965" i="5"/>
  <c r="M965" i="5"/>
  <c r="N965" i="5"/>
  <c r="O965" i="5"/>
  <c r="P965" i="5"/>
  <c r="Q965" i="5"/>
  <c r="R965" i="5"/>
  <c r="S965" i="5"/>
  <c r="T965" i="5"/>
  <c r="U965" i="5"/>
  <c r="V965" i="5"/>
  <c r="B966" i="5"/>
  <c r="C966" i="5"/>
  <c r="D966" i="5"/>
  <c r="E966" i="5"/>
  <c r="F966" i="5"/>
  <c r="G966" i="5"/>
  <c r="H966" i="5"/>
  <c r="I966" i="5"/>
  <c r="J966" i="5"/>
  <c r="K966" i="5"/>
  <c r="L966" i="5"/>
  <c r="M966" i="5"/>
  <c r="N966" i="5"/>
  <c r="O966" i="5"/>
  <c r="P966" i="5"/>
  <c r="Q966" i="5"/>
  <c r="R966" i="5"/>
  <c r="S966" i="5"/>
  <c r="T966" i="5"/>
  <c r="U966" i="5"/>
  <c r="V966" i="5"/>
  <c r="B967" i="5"/>
  <c r="C967" i="5"/>
  <c r="D967" i="5"/>
  <c r="E967" i="5"/>
  <c r="F967" i="5"/>
  <c r="G967" i="5"/>
  <c r="H967" i="5"/>
  <c r="I967" i="5"/>
  <c r="J967" i="5"/>
  <c r="K967" i="5"/>
  <c r="L967" i="5"/>
  <c r="M967" i="5"/>
  <c r="N967" i="5"/>
  <c r="O967" i="5"/>
  <c r="P967" i="5"/>
  <c r="Q967" i="5"/>
  <c r="R967" i="5"/>
  <c r="S967" i="5"/>
  <c r="T967" i="5"/>
  <c r="U967" i="5"/>
  <c r="V967" i="5"/>
  <c r="B968" i="5"/>
  <c r="C968" i="5"/>
  <c r="D968" i="5"/>
  <c r="E968" i="5"/>
  <c r="F968" i="5"/>
  <c r="G968" i="5"/>
  <c r="H968" i="5"/>
  <c r="I968" i="5"/>
  <c r="J968" i="5"/>
  <c r="K968" i="5"/>
  <c r="L968" i="5"/>
  <c r="M968" i="5"/>
  <c r="N968" i="5"/>
  <c r="O968" i="5"/>
  <c r="P968" i="5"/>
  <c r="Q968" i="5"/>
  <c r="R968" i="5"/>
  <c r="S968" i="5"/>
  <c r="T968" i="5"/>
  <c r="U968" i="5"/>
  <c r="V968" i="5"/>
  <c r="B969" i="5"/>
  <c r="C969" i="5"/>
  <c r="D969" i="5"/>
  <c r="E969" i="5"/>
  <c r="F969" i="5"/>
  <c r="G969" i="5"/>
  <c r="H969" i="5"/>
  <c r="I969" i="5"/>
  <c r="J969" i="5"/>
  <c r="K969" i="5"/>
  <c r="L969" i="5"/>
  <c r="M969" i="5"/>
  <c r="N969" i="5"/>
  <c r="O969" i="5"/>
  <c r="P969" i="5"/>
  <c r="Q969" i="5"/>
  <c r="R969" i="5"/>
  <c r="S969" i="5"/>
  <c r="T969" i="5"/>
  <c r="U969" i="5"/>
  <c r="V969" i="5"/>
  <c r="B970" i="5"/>
  <c r="C970" i="5"/>
  <c r="D970" i="5"/>
  <c r="E970" i="5"/>
  <c r="F970" i="5"/>
  <c r="G970" i="5"/>
  <c r="H970" i="5"/>
  <c r="I970" i="5"/>
  <c r="J970" i="5"/>
  <c r="K970" i="5"/>
  <c r="L970" i="5"/>
  <c r="M970" i="5"/>
  <c r="N970" i="5"/>
  <c r="O970" i="5"/>
  <c r="P970" i="5"/>
  <c r="Q970" i="5"/>
  <c r="R970" i="5"/>
  <c r="S970" i="5"/>
  <c r="T970" i="5"/>
  <c r="U970" i="5"/>
  <c r="V970" i="5"/>
  <c r="B971" i="5"/>
  <c r="C971" i="5"/>
  <c r="D971" i="5"/>
  <c r="E971" i="5"/>
  <c r="F971" i="5"/>
  <c r="G971" i="5"/>
  <c r="H971" i="5"/>
  <c r="I971" i="5"/>
  <c r="J971" i="5"/>
  <c r="K971" i="5"/>
  <c r="L971" i="5"/>
  <c r="M971" i="5"/>
  <c r="N971" i="5"/>
  <c r="O971" i="5"/>
  <c r="P971" i="5"/>
  <c r="Q971" i="5"/>
  <c r="R971" i="5"/>
  <c r="S971" i="5"/>
  <c r="T971" i="5"/>
  <c r="U971" i="5"/>
  <c r="V971" i="5"/>
  <c r="B972" i="5"/>
  <c r="C972" i="5"/>
  <c r="D972" i="5"/>
  <c r="E972" i="5"/>
  <c r="F972" i="5"/>
  <c r="G972" i="5"/>
  <c r="H972" i="5"/>
  <c r="I972" i="5"/>
  <c r="J972" i="5"/>
  <c r="K972" i="5"/>
  <c r="L972" i="5"/>
  <c r="M972" i="5"/>
  <c r="N972" i="5"/>
  <c r="O972" i="5"/>
  <c r="P972" i="5"/>
  <c r="Q972" i="5"/>
  <c r="R972" i="5"/>
  <c r="S972" i="5"/>
  <c r="T972" i="5"/>
  <c r="U972" i="5"/>
  <c r="V972" i="5"/>
  <c r="B973" i="5"/>
  <c r="C973" i="5"/>
  <c r="D973" i="5"/>
  <c r="E973" i="5"/>
  <c r="F973" i="5"/>
  <c r="G973" i="5"/>
  <c r="H973" i="5"/>
  <c r="I973" i="5"/>
  <c r="J973" i="5"/>
  <c r="K973" i="5"/>
  <c r="L973" i="5"/>
  <c r="M973" i="5"/>
  <c r="N973" i="5"/>
  <c r="O973" i="5"/>
  <c r="P973" i="5"/>
  <c r="Q973" i="5"/>
  <c r="R973" i="5"/>
  <c r="S973" i="5"/>
  <c r="T973" i="5"/>
  <c r="U973" i="5"/>
  <c r="V973" i="5"/>
  <c r="B974" i="5"/>
  <c r="C974" i="5"/>
  <c r="D974" i="5"/>
  <c r="E974" i="5"/>
  <c r="F974" i="5"/>
  <c r="G974" i="5"/>
  <c r="H974" i="5"/>
  <c r="I974" i="5"/>
  <c r="J974" i="5"/>
  <c r="K974" i="5"/>
  <c r="L974" i="5"/>
  <c r="M974" i="5"/>
  <c r="N974" i="5"/>
  <c r="O974" i="5"/>
  <c r="P974" i="5"/>
  <c r="Q974" i="5"/>
  <c r="R974" i="5"/>
  <c r="S974" i="5"/>
  <c r="T974" i="5"/>
  <c r="U974" i="5"/>
  <c r="V974" i="5"/>
  <c r="B975" i="5"/>
  <c r="C975" i="5"/>
  <c r="D975" i="5"/>
  <c r="E975" i="5"/>
  <c r="F975" i="5"/>
  <c r="G975" i="5"/>
  <c r="H975" i="5"/>
  <c r="I975" i="5"/>
  <c r="J975" i="5"/>
  <c r="K975" i="5"/>
  <c r="L975" i="5"/>
  <c r="M975" i="5"/>
  <c r="N975" i="5"/>
  <c r="O975" i="5"/>
  <c r="P975" i="5"/>
  <c r="Q975" i="5"/>
  <c r="R975" i="5"/>
  <c r="S975" i="5"/>
  <c r="T975" i="5"/>
  <c r="U975" i="5"/>
  <c r="V975" i="5"/>
  <c r="B976" i="5"/>
  <c r="C976" i="5"/>
  <c r="D976" i="5"/>
  <c r="E976" i="5"/>
  <c r="F976" i="5"/>
  <c r="G976" i="5"/>
  <c r="H976" i="5"/>
  <c r="I976" i="5"/>
  <c r="J976" i="5"/>
  <c r="K976" i="5"/>
  <c r="L976" i="5"/>
  <c r="M976" i="5"/>
  <c r="N976" i="5"/>
  <c r="O976" i="5"/>
  <c r="P976" i="5"/>
  <c r="Q976" i="5"/>
  <c r="R976" i="5"/>
  <c r="S976" i="5"/>
  <c r="T976" i="5"/>
  <c r="U976" i="5"/>
  <c r="V976" i="5"/>
  <c r="B977" i="5"/>
  <c r="C977" i="5"/>
  <c r="D977" i="5"/>
  <c r="E977" i="5"/>
  <c r="F977" i="5"/>
  <c r="G977" i="5"/>
  <c r="H977" i="5"/>
  <c r="I977" i="5"/>
  <c r="J977" i="5"/>
  <c r="K977" i="5"/>
  <c r="L977" i="5"/>
  <c r="M977" i="5"/>
  <c r="N977" i="5"/>
  <c r="O977" i="5"/>
  <c r="P977" i="5"/>
  <c r="Q977" i="5"/>
  <c r="R977" i="5"/>
  <c r="S977" i="5"/>
  <c r="T977" i="5"/>
  <c r="U977" i="5"/>
  <c r="V977" i="5"/>
  <c r="B978" i="5"/>
  <c r="C978" i="5"/>
  <c r="D978" i="5"/>
  <c r="E978" i="5"/>
  <c r="F978" i="5"/>
  <c r="G978" i="5"/>
  <c r="H978" i="5"/>
  <c r="I978" i="5"/>
  <c r="J978" i="5"/>
  <c r="K978" i="5"/>
  <c r="L978" i="5"/>
  <c r="M978" i="5"/>
  <c r="N978" i="5"/>
  <c r="O978" i="5"/>
  <c r="P978" i="5"/>
  <c r="Q978" i="5"/>
  <c r="R978" i="5"/>
  <c r="S978" i="5"/>
  <c r="T978" i="5"/>
  <c r="U978" i="5"/>
  <c r="V978" i="5"/>
  <c r="B979" i="5"/>
  <c r="C979" i="5"/>
  <c r="D979" i="5"/>
  <c r="E979" i="5"/>
  <c r="F979" i="5"/>
  <c r="G979" i="5"/>
  <c r="H979" i="5"/>
  <c r="I979" i="5"/>
  <c r="J979" i="5"/>
  <c r="K979" i="5"/>
  <c r="L979" i="5"/>
  <c r="M979" i="5"/>
  <c r="N979" i="5"/>
  <c r="O979" i="5"/>
  <c r="P979" i="5"/>
  <c r="Q979" i="5"/>
  <c r="R979" i="5"/>
  <c r="S979" i="5"/>
  <c r="T979" i="5"/>
  <c r="U979" i="5"/>
  <c r="V979" i="5"/>
  <c r="B980" i="5"/>
  <c r="C980" i="5"/>
  <c r="D980" i="5"/>
  <c r="E980" i="5"/>
  <c r="F980" i="5"/>
  <c r="G980" i="5"/>
  <c r="H980" i="5"/>
  <c r="I980" i="5"/>
  <c r="J980" i="5"/>
  <c r="K980" i="5"/>
  <c r="L980" i="5"/>
  <c r="M980" i="5"/>
  <c r="N980" i="5"/>
  <c r="O980" i="5"/>
  <c r="P980" i="5"/>
  <c r="Q980" i="5"/>
  <c r="R980" i="5"/>
  <c r="S980" i="5"/>
  <c r="T980" i="5"/>
  <c r="U980" i="5"/>
  <c r="V980" i="5"/>
  <c r="B981" i="5"/>
  <c r="C981" i="5"/>
  <c r="D981" i="5"/>
  <c r="E981" i="5"/>
  <c r="F981" i="5"/>
  <c r="G981" i="5"/>
  <c r="H981" i="5"/>
  <c r="I981" i="5"/>
  <c r="J981" i="5"/>
  <c r="K981" i="5"/>
  <c r="L981" i="5"/>
  <c r="M981" i="5"/>
  <c r="N981" i="5"/>
  <c r="O981" i="5"/>
  <c r="P981" i="5"/>
  <c r="Q981" i="5"/>
  <c r="R981" i="5"/>
  <c r="S981" i="5"/>
  <c r="T981" i="5"/>
  <c r="U981" i="5"/>
  <c r="V981" i="5"/>
  <c r="B982" i="5"/>
  <c r="C982" i="5"/>
  <c r="D982" i="5"/>
  <c r="E982" i="5"/>
  <c r="F982" i="5"/>
  <c r="G982" i="5"/>
  <c r="H982" i="5"/>
  <c r="I982" i="5"/>
  <c r="J982" i="5"/>
  <c r="K982" i="5"/>
  <c r="L982" i="5"/>
  <c r="M982" i="5"/>
  <c r="N982" i="5"/>
  <c r="O982" i="5"/>
  <c r="P982" i="5"/>
  <c r="Q982" i="5"/>
  <c r="R982" i="5"/>
  <c r="S982" i="5"/>
  <c r="T982" i="5"/>
  <c r="U982" i="5"/>
  <c r="V982" i="5"/>
  <c r="B983" i="5"/>
  <c r="C983" i="5"/>
  <c r="D983" i="5"/>
  <c r="E983" i="5"/>
  <c r="F983" i="5"/>
  <c r="G983" i="5"/>
  <c r="H983" i="5"/>
  <c r="I983" i="5"/>
  <c r="J983" i="5"/>
  <c r="K983" i="5"/>
  <c r="L983" i="5"/>
  <c r="M983" i="5"/>
  <c r="N983" i="5"/>
  <c r="O983" i="5"/>
  <c r="P983" i="5"/>
  <c r="Q983" i="5"/>
  <c r="R983" i="5"/>
  <c r="S983" i="5"/>
  <c r="T983" i="5"/>
  <c r="U983" i="5"/>
  <c r="V983" i="5"/>
  <c r="B984" i="5"/>
  <c r="C984" i="5"/>
  <c r="D984" i="5"/>
  <c r="E984" i="5"/>
  <c r="F984" i="5"/>
  <c r="G984" i="5"/>
  <c r="H984" i="5"/>
  <c r="I984" i="5"/>
  <c r="J984" i="5"/>
  <c r="K984" i="5"/>
  <c r="L984" i="5"/>
  <c r="M984" i="5"/>
  <c r="N984" i="5"/>
  <c r="O984" i="5"/>
  <c r="P984" i="5"/>
  <c r="Q984" i="5"/>
  <c r="R984" i="5"/>
  <c r="S984" i="5"/>
  <c r="T984" i="5"/>
  <c r="U984" i="5"/>
  <c r="V984" i="5"/>
  <c r="B985" i="5"/>
  <c r="C985" i="5"/>
  <c r="D985" i="5"/>
  <c r="E985" i="5"/>
  <c r="F985" i="5"/>
  <c r="G985" i="5"/>
  <c r="H985" i="5"/>
  <c r="I985" i="5"/>
  <c r="J985" i="5"/>
  <c r="K985" i="5"/>
  <c r="L985" i="5"/>
  <c r="M985" i="5"/>
  <c r="N985" i="5"/>
  <c r="O985" i="5"/>
  <c r="P985" i="5"/>
  <c r="Q985" i="5"/>
  <c r="R985" i="5"/>
  <c r="S985" i="5"/>
  <c r="T985" i="5"/>
  <c r="U985" i="5"/>
  <c r="V985" i="5"/>
  <c r="B986" i="5"/>
  <c r="C986" i="5"/>
  <c r="D986" i="5"/>
  <c r="E986" i="5"/>
  <c r="F986" i="5"/>
  <c r="G986" i="5"/>
  <c r="H986" i="5"/>
  <c r="I986" i="5"/>
  <c r="J986" i="5"/>
  <c r="K986" i="5"/>
  <c r="L986" i="5"/>
  <c r="M986" i="5"/>
  <c r="N986" i="5"/>
  <c r="O986" i="5"/>
  <c r="P986" i="5"/>
  <c r="Q986" i="5"/>
  <c r="R986" i="5"/>
  <c r="S986" i="5"/>
  <c r="T986" i="5"/>
  <c r="U986" i="5"/>
  <c r="V986" i="5"/>
  <c r="B987" i="5"/>
  <c r="C987" i="5"/>
  <c r="D987" i="5"/>
  <c r="E987" i="5"/>
  <c r="F987" i="5"/>
  <c r="G987" i="5"/>
  <c r="H987" i="5"/>
  <c r="I987" i="5"/>
  <c r="J987" i="5"/>
  <c r="K987" i="5"/>
  <c r="L987" i="5"/>
  <c r="M987" i="5"/>
  <c r="N987" i="5"/>
  <c r="O987" i="5"/>
  <c r="P987" i="5"/>
  <c r="Q987" i="5"/>
  <c r="R987" i="5"/>
  <c r="S987" i="5"/>
  <c r="T987" i="5"/>
  <c r="U987" i="5"/>
  <c r="V987" i="5"/>
  <c r="B988" i="5"/>
  <c r="C988" i="5"/>
  <c r="D988" i="5"/>
  <c r="E988" i="5"/>
  <c r="F988" i="5"/>
  <c r="G988" i="5"/>
  <c r="H988" i="5"/>
  <c r="I988" i="5"/>
  <c r="J988" i="5"/>
  <c r="K988" i="5"/>
  <c r="L988" i="5"/>
  <c r="M988" i="5"/>
  <c r="N988" i="5"/>
  <c r="O988" i="5"/>
  <c r="P988" i="5"/>
  <c r="Q988" i="5"/>
  <c r="R988" i="5"/>
  <c r="S988" i="5"/>
  <c r="T988" i="5"/>
  <c r="U988" i="5"/>
  <c r="V988" i="5"/>
  <c r="B989" i="5"/>
  <c r="C989" i="5"/>
  <c r="D989" i="5"/>
  <c r="E989" i="5"/>
  <c r="F989" i="5"/>
  <c r="G989" i="5"/>
  <c r="H989" i="5"/>
  <c r="I989" i="5"/>
  <c r="J989" i="5"/>
  <c r="K989" i="5"/>
  <c r="L989" i="5"/>
  <c r="M989" i="5"/>
  <c r="N989" i="5"/>
  <c r="O989" i="5"/>
  <c r="P989" i="5"/>
  <c r="Q989" i="5"/>
  <c r="R989" i="5"/>
  <c r="S989" i="5"/>
  <c r="T989" i="5"/>
  <c r="U989" i="5"/>
  <c r="V989" i="5"/>
  <c r="B990" i="5"/>
  <c r="C990" i="5"/>
  <c r="D990" i="5"/>
  <c r="E990" i="5"/>
  <c r="F990" i="5"/>
  <c r="G990" i="5"/>
  <c r="H990" i="5"/>
  <c r="I990" i="5"/>
  <c r="J990" i="5"/>
  <c r="K990" i="5"/>
  <c r="L990" i="5"/>
  <c r="M990" i="5"/>
  <c r="N990" i="5"/>
  <c r="O990" i="5"/>
  <c r="P990" i="5"/>
  <c r="Q990" i="5"/>
  <c r="R990" i="5"/>
  <c r="S990" i="5"/>
  <c r="T990" i="5"/>
  <c r="U990" i="5"/>
  <c r="V990" i="5"/>
  <c r="B991" i="5"/>
  <c r="C991" i="5"/>
  <c r="D991" i="5"/>
  <c r="E991" i="5"/>
  <c r="F991" i="5"/>
  <c r="G991" i="5"/>
  <c r="H991" i="5"/>
  <c r="I991" i="5"/>
  <c r="J991" i="5"/>
  <c r="K991" i="5"/>
  <c r="L991" i="5"/>
  <c r="M991" i="5"/>
  <c r="N991" i="5"/>
  <c r="O991" i="5"/>
  <c r="P991" i="5"/>
  <c r="Q991" i="5"/>
  <c r="R991" i="5"/>
  <c r="S991" i="5"/>
  <c r="T991" i="5"/>
  <c r="U991" i="5"/>
  <c r="V991" i="5"/>
  <c r="B992" i="5"/>
  <c r="C992" i="5"/>
  <c r="D992" i="5"/>
  <c r="E992" i="5"/>
  <c r="F992" i="5"/>
  <c r="G992" i="5"/>
  <c r="H992" i="5"/>
  <c r="I992" i="5"/>
  <c r="J992" i="5"/>
  <c r="K992" i="5"/>
  <c r="L992" i="5"/>
  <c r="M992" i="5"/>
  <c r="N992" i="5"/>
  <c r="O992" i="5"/>
  <c r="P992" i="5"/>
  <c r="Q992" i="5"/>
  <c r="R992" i="5"/>
  <c r="S992" i="5"/>
  <c r="T992" i="5"/>
  <c r="U992" i="5"/>
  <c r="V992" i="5"/>
  <c r="B993" i="5"/>
  <c r="C993" i="5"/>
  <c r="D993" i="5"/>
  <c r="E993" i="5"/>
  <c r="F993" i="5"/>
  <c r="G993" i="5"/>
  <c r="H993" i="5"/>
  <c r="I993" i="5"/>
  <c r="J993" i="5"/>
  <c r="K993" i="5"/>
  <c r="L993" i="5"/>
  <c r="M993" i="5"/>
  <c r="N993" i="5"/>
  <c r="O993" i="5"/>
  <c r="P993" i="5"/>
  <c r="Q993" i="5"/>
  <c r="R993" i="5"/>
  <c r="S993" i="5"/>
  <c r="T993" i="5"/>
  <c r="U993" i="5"/>
  <c r="V993" i="5"/>
  <c r="B994" i="5"/>
  <c r="C994" i="5"/>
  <c r="D994" i="5"/>
  <c r="E994" i="5"/>
  <c r="F994" i="5"/>
  <c r="G994" i="5"/>
  <c r="H994" i="5"/>
  <c r="I994" i="5"/>
  <c r="J994" i="5"/>
  <c r="K994" i="5"/>
  <c r="L994" i="5"/>
  <c r="M994" i="5"/>
  <c r="N994" i="5"/>
  <c r="O994" i="5"/>
  <c r="P994" i="5"/>
  <c r="Q994" i="5"/>
  <c r="R994" i="5"/>
  <c r="S994" i="5"/>
  <c r="T994" i="5"/>
  <c r="U994" i="5"/>
  <c r="V994" i="5"/>
  <c r="B995" i="5"/>
  <c r="C995" i="5"/>
  <c r="D995" i="5"/>
  <c r="E995" i="5"/>
  <c r="F995" i="5"/>
  <c r="G995" i="5"/>
  <c r="H995" i="5"/>
  <c r="I995" i="5"/>
  <c r="J995" i="5"/>
  <c r="K995" i="5"/>
  <c r="L995" i="5"/>
  <c r="M995" i="5"/>
  <c r="N995" i="5"/>
  <c r="O995" i="5"/>
  <c r="P995" i="5"/>
  <c r="Q995" i="5"/>
  <c r="R995" i="5"/>
  <c r="S995" i="5"/>
  <c r="T995" i="5"/>
  <c r="U995" i="5"/>
  <c r="V995" i="5"/>
  <c r="B996" i="5"/>
  <c r="C996" i="5"/>
  <c r="D996" i="5"/>
  <c r="E996" i="5"/>
  <c r="F996" i="5"/>
  <c r="G996" i="5"/>
  <c r="H996" i="5"/>
  <c r="I996" i="5"/>
  <c r="J996" i="5"/>
  <c r="K996" i="5"/>
  <c r="L996" i="5"/>
  <c r="M996" i="5"/>
  <c r="N996" i="5"/>
  <c r="O996" i="5"/>
  <c r="P996" i="5"/>
  <c r="Q996" i="5"/>
  <c r="R996" i="5"/>
  <c r="S996" i="5"/>
  <c r="T996" i="5"/>
  <c r="U996" i="5"/>
  <c r="V996" i="5"/>
  <c r="B997" i="5"/>
  <c r="C997" i="5"/>
  <c r="D997" i="5"/>
  <c r="E997" i="5"/>
  <c r="F997" i="5"/>
  <c r="G997" i="5"/>
  <c r="H997" i="5"/>
  <c r="I997" i="5"/>
  <c r="J997" i="5"/>
  <c r="K997" i="5"/>
  <c r="L997" i="5"/>
  <c r="M997" i="5"/>
  <c r="N997" i="5"/>
  <c r="O997" i="5"/>
  <c r="P997" i="5"/>
  <c r="Q997" i="5"/>
  <c r="R997" i="5"/>
  <c r="S997" i="5"/>
  <c r="T997" i="5"/>
  <c r="U997" i="5"/>
  <c r="V997" i="5"/>
  <c r="B998" i="5"/>
  <c r="C998" i="5"/>
  <c r="D998" i="5"/>
  <c r="E998" i="5"/>
  <c r="F998" i="5"/>
  <c r="G998" i="5"/>
  <c r="H998" i="5"/>
  <c r="I998" i="5"/>
  <c r="J998" i="5"/>
  <c r="K998" i="5"/>
  <c r="L998" i="5"/>
  <c r="M998" i="5"/>
  <c r="N998" i="5"/>
  <c r="O998" i="5"/>
  <c r="P998" i="5"/>
  <c r="Q998" i="5"/>
  <c r="R998" i="5"/>
  <c r="S998" i="5"/>
  <c r="T998" i="5"/>
  <c r="U998" i="5"/>
  <c r="V998" i="5"/>
  <c r="B999" i="5"/>
  <c r="C999" i="5"/>
  <c r="D999" i="5"/>
  <c r="E999" i="5"/>
  <c r="F999" i="5"/>
  <c r="G999" i="5"/>
  <c r="H999" i="5"/>
  <c r="I999" i="5"/>
  <c r="J999" i="5"/>
  <c r="K999" i="5"/>
  <c r="L999" i="5"/>
  <c r="M999" i="5"/>
  <c r="N999" i="5"/>
  <c r="O999" i="5"/>
  <c r="P999" i="5"/>
  <c r="Q999" i="5"/>
  <c r="R999" i="5"/>
  <c r="S999" i="5"/>
  <c r="T999" i="5"/>
  <c r="U999" i="5"/>
  <c r="V999" i="5"/>
  <c r="B1000" i="5"/>
  <c r="C1000" i="5"/>
  <c r="D1000" i="5"/>
  <c r="E1000" i="5"/>
  <c r="F1000" i="5"/>
  <c r="G1000" i="5"/>
  <c r="H1000" i="5"/>
  <c r="I1000" i="5"/>
  <c r="J1000" i="5"/>
  <c r="K1000" i="5"/>
  <c r="L1000" i="5"/>
  <c r="M1000" i="5"/>
  <c r="N1000" i="5"/>
  <c r="O1000" i="5"/>
  <c r="P1000" i="5"/>
  <c r="Q1000" i="5"/>
  <c r="R1000" i="5"/>
  <c r="S1000" i="5"/>
  <c r="T1000" i="5"/>
  <c r="U1000" i="5"/>
  <c r="V1000" i="5"/>
  <c r="B1001" i="5"/>
  <c r="C1001" i="5"/>
  <c r="D1001" i="5"/>
  <c r="E1001" i="5"/>
  <c r="F1001" i="5"/>
  <c r="G1001" i="5"/>
  <c r="H1001" i="5"/>
  <c r="I1001" i="5"/>
  <c r="J1001" i="5"/>
  <c r="K1001" i="5"/>
  <c r="L1001" i="5"/>
  <c r="M1001" i="5"/>
  <c r="N1001" i="5"/>
  <c r="O1001" i="5"/>
  <c r="P1001" i="5"/>
  <c r="Q1001" i="5"/>
  <c r="R1001" i="5"/>
  <c r="S1001" i="5"/>
  <c r="T1001" i="5"/>
  <c r="U1001" i="5"/>
  <c r="V1001" i="5"/>
  <c r="B1002" i="5"/>
  <c r="C1002" i="5"/>
  <c r="D1002" i="5"/>
  <c r="E1002" i="5"/>
  <c r="F1002" i="5"/>
  <c r="G1002" i="5"/>
  <c r="H1002" i="5"/>
  <c r="I1002" i="5"/>
  <c r="J1002" i="5"/>
  <c r="K1002" i="5"/>
  <c r="L1002" i="5"/>
  <c r="M1002" i="5"/>
  <c r="N1002" i="5"/>
  <c r="O1002" i="5"/>
  <c r="P1002" i="5"/>
  <c r="Q1002" i="5"/>
  <c r="R1002" i="5"/>
  <c r="S1002" i="5"/>
  <c r="T1002" i="5"/>
  <c r="U1002" i="5"/>
  <c r="V1002" i="5"/>
  <c r="E2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C194" i="4" s="1"/>
  <c r="B195" i="4"/>
  <c r="B196" i="4"/>
  <c r="C196" i="4" s="1"/>
  <c r="B197" i="4"/>
  <c r="B198" i="4"/>
  <c r="C198" i="4" s="1"/>
  <c r="B199" i="4"/>
  <c r="B200" i="4"/>
  <c r="C200" i="4" s="1"/>
  <c r="B201" i="4"/>
  <c r="B202" i="4"/>
  <c r="C202" i="4" s="1"/>
  <c r="B203" i="4"/>
  <c r="B204" i="4"/>
  <c r="C204" i="4" s="1"/>
  <c r="B205" i="4"/>
  <c r="B206" i="4"/>
  <c r="C206" i="4" s="1"/>
  <c r="B207" i="4"/>
  <c r="B208" i="4"/>
  <c r="C208" i="4" s="1"/>
  <c r="B209" i="4"/>
  <c r="B210" i="4"/>
  <c r="C210" i="4" s="1"/>
  <c r="B211" i="4"/>
  <c r="B212" i="4"/>
  <c r="C212" i="4" s="1"/>
  <c r="B213" i="4"/>
  <c r="B214" i="4"/>
  <c r="C214" i="4" s="1"/>
  <c r="B215" i="4"/>
  <c r="B216" i="4"/>
  <c r="C216" i="4" s="1"/>
  <c r="B217" i="4"/>
  <c r="B218" i="4"/>
  <c r="C218" i="4" s="1"/>
  <c r="B219" i="4"/>
  <c r="B220" i="4"/>
  <c r="C220" i="4" s="1"/>
  <c r="B221" i="4"/>
  <c r="B222" i="4"/>
  <c r="C222" i="4" s="1"/>
  <c r="B223" i="4"/>
  <c r="B224" i="4"/>
  <c r="C224" i="4" s="1"/>
  <c r="B225" i="4"/>
  <c r="B226" i="4"/>
  <c r="C226" i="4" s="1"/>
  <c r="B227" i="4"/>
  <c r="B228" i="4"/>
  <c r="C228" i="4" s="1"/>
  <c r="B229" i="4"/>
  <c r="B230" i="4"/>
  <c r="C230" i="4" s="1"/>
  <c r="B231" i="4"/>
  <c r="B232" i="4"/>
  <c r="C232" i="4" s="1"/>
  <c r="B233" i="4"/>
  <c r="B234" i="4"/>
  <c r="C234" i="4" s="1"/>
  <c r="B235" i="4"/>
  <c r="B236" i="4"/>
  <c r="C236" i="4" s="1"/>
  <c r="B237" i="4"/>
  <c r="B238" i="4"/>
  <c r="C238" i="4" s="1"/>
  <c r="B239" i="4"/>
  <c r="B240" i="4"/>
  <c r="C240" i="4" s="1"/>
  <c r="B241" i="4"/>
  <c r="B242" i="4"/>
  <c r="C242" i="4" s="1"/>
  <c r="B243" i="4"/>
  <c r="B244" i="4"/>
  <c r="C244" i="4" s="1"/>
  <c r="B245" i="4"/>
  <c r="B246" i="4"/>
  <c r="C246" i="4" s="1"/>
  <c r="B247" i="4"/>
  <c r="B248" i="4"/>
  <c r="C248" i="4" s="1"/>
  <c r="B249" i="4"/>
  <c r="B250" i="4"/>
  <c r="C250" i="4" s="1"/>
  <c r="B251" i="4"/>
  <c r="B252" i="4"/>
  <c r="C252" i="4" s="1"/>
  <c r="B253" i="4"/>
  <c r="B254" i="4"/>
  <c r="C254" i="4" s="1"/>
  <c r="B255" i="4"/>
  <c r="B256" i="4"/>
  <c r="C256" i="4" s="1"/>
  <c r="B257" i="4"/>
  <c r="H23" i="1" l="1"/>
  <c r="C192" i="4"/>
  <c r="C190" i="4"/>
  <c r="C188" i="4"/>
  <c r="C186" i="4"/>
  <c r="C184" i="4"/>
  <c r="C182" i="4"/>
  <c r="C180" i="4"/>
  <c r="C178" i="4"/>
  <c r="C176" i="4"/>
  <c r="C174" i="4"/>
  <c r="C172" i="4"/>
  <c r="C170" i="4"/>
  <c r="C168" i="4"/>
  <c r="C166" i="4"/>
  <c r="C164" i="4"/>
  <c r="C162" i="4"/>
  <c r="C160" i="4"/>
  <c r="C158" i="4"/>
  <c r="C156" i="4"/>
  <c r="C154" i="4"/>
  <c r="C152" i="4"/>
  <c r="C150" i="4"/>
  <c r="C148" i="4"/>
  <c r="C146" i="4"/>
  <c r="C144" i="4"/>
  <c r="C142" i="4"/>
  <c r="C140" i="4"/>
  <c r="C138" i="4"/>
  <c r="C136" i="4"/>
  <c r="C134" i="4"/>
  <c r="C132" i="4"/>
  <c r="C130" i="4"/>
  <c r="C128" i="4"/>
  <c r="C126" i="4"/>
  <c r="C124" i="4"/>
  <c r="C122" i="4"/>
  <c r="C120" i="4"/>
  <c r="C118" i="4"/>
  <c r="C116" i="4"/>
  <c r="C114" i="4"/>
  <c r="C112" i="4"/>
  <c r="C110" i="4"/>
  <c r="C108" i="4"/>
  <c r="C106" i="4"/>
  <c r="C104" i="4"/>
  <c r="C102" i="4"/>
  <c r="C100" i="4"/>
  <c r="C98" i="4"/>
  <c r="C20" i="4"/>
  <c r="C18" i="4"/>
  <c r="C16" i="4"/>
  <c r="C14" i="4"/>
  <c r="C12" i="4"/>
  <c r="C10" i="4"/>
  <c r="C8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C151" i="4"/>
  <c r="C149" i="4"/>
  <c r="C147" i="4"/>
  <c r="C145" i="4"/>
  <c r="C143" i="4"/>
  <c r="C141" i="4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19" i="4"/>
  <c r="C17" i="4"/>
  <c r="C15" i="4"/>
  <c r="C13" i="4"/>
  <c r="C11" i="4"/>
  <c r="C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C35" i="4"/>
  <c r="C33" i="4"/>
  <c r="C31" i="4"/>
  <c r="C29" i="4"/>
  <c r="C27" i="4"/>
  <c r="C25" i="4"/>
  <c r="C23" i="4"/>
  <c r="C21" i="4"/>
  <c r="C96" i="4"/>
  <c r="C94" i="4"/>
  <c r="C92" i="4"/>
  <c r="C90" i="4"/>
  <c r="C88" i="4"/>
  <c r="C86" i="4"/>
  <c r="C84" i="4"/>
  <c r="C82" i="4"/>
  <c r="C80" i="4"/>
  <c r="C78" i="4"/>
  <c r="C76" i="4"/>
  <c r="C74" i="4"/>
  <c r="C72" i="4"/>
  <c r="C70" i="4"/>
  <c r="C68" i="4"/>
  <c r="C66" i="4"/>
  <c r="C64" i="4"/>
  <c r="C62" i="4"/>
  <c r="C60" i="4"/>
  <c r="C58" i="4"/>
  <c r="C56" i="4"/>
  <c r="C54" i="4"/>
  <c r="C52" i="4"/>
  <c r="C50" i="4"/>
  <c r="C48" i="4"/>
  <c r="C46" i="4"/>
  <c r="C44" i="4"/>
  <c r="C42" i="4"/>
  <c r="C40" i="4"/>
  <c r="C38" i="4"/>
  <c r="C36" i="4"/>
  <c r="C34" i="4"/>
  <c r="C32" i="4"/>
  <c r="C30" i="4"/>
  <c r="C28" i="4"/>
  <c r="C26" i="4"/>
  <c r="C24" i="4"/>
  <c r="C22" i="4"/>
  <c r="F9" i="1"/>
  <c r="F10" i="1"/>
  <c r="H10" i="1"/>
  <c r="F14" i="1"/>
  <c r="F16" i="1"/>
</calcChain>
</file>

<file path=xl/sharedStrings.xml><?xml version="1.0" encoding="utf-8"?>
<sst xmlns="http://schemas.openxmlformats.org/spreadsheetml/2006/main" count="43" uniqueCount="41">
  <si>
    <t>Tỉ lệ sai lệch chấp nhận được</t>
  </si>
  <si>
    <t>Tỉ lệ sai lệch ước tính của tổng thể</t>
  </si>
  <si>
    <t>Rủi ro thừa nhận sai</t>
  </si>
  <si>
    <t>β</t>
  </si>
  <si>
    <t>Kích cỡ mẫu yêu cầu</t>
  </si>
  <si>
    <t>n</t>
  </si>
  <si>
    <t>Lấy thêm mẫu?</t>
  </si>
  <si>
    <t>- Nhập dữ kiện vào các ô được tô vàng</t>
  </si>
  <si>
    <t>TT</t>
  </si>
  <si>
    <t>Cỡ mẫu</t>
  </si>
  <si>
    <t>&lt;= Bước 2: Tạo danh sách mẫu &amp; thực hiện kiểm toán</t>
  </si>
  <si>
    <t>Điểm xuất phát</t>
  </si>
  <si>
    <t>KẾT LUẬN:</t>
  </si>
  <si>
    <t>&lt;= Bước 1: Tính kích cỡ mẫu yêu cầu</t>
  </si>
  <si>
    <t>- Nhấp nút "Tính kích cỡ mẫu"</t>
  </si>
  <si>
    <t>- Nếu cỡ mẫu quá lớn, thực hiện điều chỉnh dữ liệu đầu vào</t>
  </si>
  <si>
    <t>k =</t>
  </si>
  <si>
    <t>β =</t>
  </si>
  <si>
    <t>pU =</t>
  </si>
  <si>
    <t>&lt;= Bước 3: Đánh giá kết quả</t>
  </si>
  <si>
    <t>- Đánh giá được thực hiện tự động sau quá trình kiểm toán chi tiết</t>
  </si>
  <si>
    <r>
      <t>p</t>
    </r>
    <r>
      <rPr>
        <b/>
        <vertAlign val="subscript"/>
        <sz val="11"/>
        <color theme="0" tint="-0.249977111117893"/>
        <rFont val="Calibri"/>
        <family val="2"/>
        <scheme val="minor"/>
      </rPr>
      <t>E</t>
    </r>
  </si>
  <si>
    <t>Cỡ mẫu đã chọn</t>
  </si>
  <si>
    <t>- Chọn số mẫu lấy thêm (nếu cần)</t>
  </si>
  <si>
    <t>- Nhấp vào nút "Tạo danh sách mẫu"</t>
  </si>
  <si>
    <t>Bước 2a:</t>
  </si>
  <si>
    <t>Bước 2b:</t>
  </si>
  <si>
    <t>- Thực hiện kiểm toán chi tiết</t>
  </si>
  <si>
    <t>N</t>
  </si>
  <si>
    <t>Độ lớn tổng thể</t>
  </si>
  <si>
    <t>Số sai sót tìm thấy</t>
  </si>
  <si>
    <r>
      <t>p</t>
    </r>
    <r>
      <rPr>
        <b/>
        <vertAlign val="subscript"/>
        <sz val="11"/>
        <color theme="0" tint="-0.249977111117893"/>
        <rFont val="Calibri"/>
        <family val="2"/>
        <scheme val="minor"/>
      </rPr>
      <t>T</t>
    </r>
  </si>
  <si>
    <t>Khoản mục thứ</t>
  </si>
  <si>
    <t>Có sai sót?</t>
  </si>
  <si>
    <t>Giới hạn trên về tỉ lệ sai sót</t>
  </si>
  <si>
    <t>Tỉ lệ sai sót của mẫu</t>
  </si>
  <si>
    <t>Có</t>
  </si>
  <si>
    <t>Không</t>
  </si>
  <si>
    <t>Ghi chú</t>
  </si>
  <si>
    <t>Bước nhảy</t>
  </si>
  <si>
    <t>- Kiểm toán chi tiết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</si>
</sst>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$_-;\-* #,##0.00\ _$_-;_-* &quot;-&quot;??\ _$_-;_-@_-"/>
    <numFmt numFmtId="164" formatCode="###,###"/>
    <numFmt numFmtId="165" formatCode="0.0000"/>
    <numFmt numFmtId="166" formatCode="0.0%"/>
    <numFmt numFmtId="167" formatCode="0.000"/>
    <numFmt numFmtId="168" formatCode="_-* #,##0\ _$_-;\-* #,##0\ _$_-;_-* &quot;-&quot;??\ _$_-;_-@_-"/>
    <numFmt numFmtId="169" formatCode="#,##0\ ;[Red]\-#,##0"/>
  </numFmts>
  <fonts count="16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vertAlign val="subscript"/>
      <sz val="11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Border="1"/>
    <xf numFmtId="0" fontId="3" fillId="0" borderId="0" xfId="0" applyFont="1"/>
    <xf numFmtId="0" fontId="3" fillId="0" borderId="5" xfId="0" applyFont="1" applyBorder="1"/>
    <xf numFmtId="0" fontId="3" fillId="0" borderId="0" xfId="0" quotePrefix="1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0" fillId="0" borderId="12" xfId="0" applyBorder="1"/>
    <xf numFmtId="0" fontId="3" fillId="0" borderId="0" xfId="0" applyFont="1" applyBorder="1"/>
    <xf numFmtId="0" fontId="3" fillId="0" borderId="2" xfId="0" applyFont="1" applyBorder="1"/>
    <xf numFmtId="0" fontId="3" fillId="0" borderId="1" xfId="0" applyFont="1" applyBorder="1"/>
    <xf numFmtId="0" fontId="6" fillId="0" borderId="0" xfId="0" applyFont="1"/>
    <xf numFmtId="0" fontId="3" fillId="0" borderId="9" xfId="0" applyFont="1" applyBorder="1"/>
    <xf numFmtId="0" fontId="3" fillId="0" borderId="10" xfId="0" applyFont="1" applyBorder="1"/>
    <xf numFmtId="0" fontId="7" fillId="0" borderId="3" xfId="0" applyFont="1" applyBorder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3" fillId="0" borderId="3" xfId="0" applyFont="1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4" fillId="0" borderId="7" xfId="0" applyFont="1" applyBorder="1"/>
    <xf numFmtId="0" fontId="0" fillId="0" borderId="0" xfId="0" quotePrefix="1"/>
    <xf numFmtId="0" fontId="10" fillId="0" borderId="0" xfId="0" quotePrefix="1" applyFont="1"/>
    <xf numFmtId="0" fontId="0" fillId="3" borderId="0" xfId="0" applyFill="1"/>
    <xf numFmtId="0" fontId="3" fillId="0" borderId="5" xfId="0" applyFont="1" applyBorder="1" applyAlignment="1">
      <alignment horizontal="center"/>
    </xf>
    <xf numFmtId="0" fontId="8" fillId="0" borderId="3" xfId="0" applyFont="1" applyBorder="1"/>
    <xf numFmtId="0" fontId="0" fillId="0" borderId="3" xfId="0" applyBorder="1" applyAlignment="1">
      <alignment horizontal="center"/>
    </xf>
    <xf numFmtId="0" fontId="6" fillId="0" borderId="0" xfId="0" applyFont="1" applyAlignment="1">
      <alignment horizontal="left"/>
    </xf>
    <xf numFmtId="0" fontId="3" fillId="0" borderId="4" xfId="0" applyFont="1" applyBorder="1"/>
    <xf numFmtId="0" fontId="0" fillId="0" borderId="4" xfId="0" applyBorder="1"/>
    <xf numFmtId="0" fontId="6" fillId="0" borderId="4" xfId="0" applyFont="1" applyBorder="1"/>
    <xf numFmtId="0" fontId="9" fillId="2" borderId="4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165" fontId="0" fillId="5" borderId="0" xfId="0" applyNumberFormat="1" applyFont="1" applyFill="1"/>
    <xf numFmtId="0" fontId="0" fillId="5" borderId="0" xfId="0" applyFill="1"/>
    <xf numFmtId="0" fontId="9" fillId="0" borderId="0" xfId="0" applyFont="1" applyBorder="1" applyAlignment="1">
      <alignment horizontal="center"/>
    </xf>
    <xf numFmtId="167" fontId="9" fillId="0" borderId="0" xfId="3" applyNumberFormat="1" applyFont="1" applyBorder="1" applyAlignment="1">
      <alignment horizontal="center"/>
    </xf>
    <xf numFmtId="43" fontId="9" fillId="0" borderId="0" xfId="2" applyFont="1" applyBorder="1"/>
    <xf numFmtId="168" fontId="9" fillId="0" borderId="0" xfId="2" applyNumberFormat="1" applyFont="1" applyBorder="1"/>
    <xf numFmtId="0" fontId="12" fillId="0" borderId="0" xfId="0" applyFont="1" applyBorder="1"/>
    <xf numFmtId="167" fontId="12" fillId="0" borderId="0" xfId="3" applyNumberFormat="1" applyFont="1" applyBorder="1"/>
    <xf numFmtId="0" fontId="12" fillId="0" borderId="3" xfId="0" applyFont="1" applyBorder="1"/>
    <xf numFmtId="0" fontId="12" fillId="0" borderId="9" xfId="0" applyFont="1" applyFill="1" applyBorder="1"/>
    <xf numFmtId="167" fontId="12" fillId="0" borderId="9" xfId="0" applyNumberFormat="1" applyFont="1" applyBorder="1"/>
    <xf numFmtId="165" fontId="12" fillId="0" borderId="0" xfId="3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4" fillId="0" borderId="0" xfId="0" applyFont="1" applyBorder="1"/>
    <xf numFmtId="0" fontId="14" fillId="0" borderId="2" xfId="0" applyFont="1" applyBorder="1"/>
    <xf numFmtId="0" fontId="14" fillId="0" borderId="1" xfId="0" quotePrefix="1" applyFont="1" applyBorder="1"/>
    <xf numFmtId="0" fontId="14" fillId="0" borderId="5" xfId="0" applyFont="1" applyBorder="1"/>
    <xf numFmtId="0" fontId="3" fillId="0" borderId="4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quotePrefix="1" applyFont="1"/>
    <xf numFmtId="0" fontId="0" fillId="3" borderId="0" xfId="0" applyFill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12" fillId="0" borderId="5" xfId="0" applyFont="1" applyFill="1" applyBorder="1"/>
    <xf numFmtId="165" fontId="14" fillId="0" borderId="5" xfId="0" applyNumberFormat="1" applyFont="1" applyFill="1" applyBorder="1"/>
    <xf numFmtId="0" fontId="7" fillId="0" borderId="0" xfId="0" applyFont="1" applyBorder="1" applyAlignment="1">
      <alignment horizontal="center"/>
    </xf>
    <xf numFmtId="165" fontId="7" fillId="0" borderId="0" xfId="2" applyNumberFormat="1" applyFont="1" applyBorder="1" applyAlignment="1">
      <alignment horizontal="center"/>
    </xf>
    <xf numFmtId="10" fontId="7" fillId="0" borderId="0" xfId="3" applyNumberFormat="1" applyFont="1" applyBorder="1" applyAlignment="1">
      <alignment horizontal="center"/>
    </xf>
    <xf numFmtId="166" fontId="0" fillId="2" borderId="0" xfId="3" applyNumberFormat="1" applyFont="1" applyFill="1" applyBorder="1"/>
    <xf numFmtId="0" fontId="14" fillId="0" borderId="4" xfId="0" applyFont="1" applyBorder="1"/>
    <xf numFmtId="0" fontId="12" fillId="0" borderId="0" xfId="0" applyFont="1"/>
    <xf numFmtId="1" fontId="6" fillId="0" borderId="3" xfId="0" applyNumberFormat="1" applyFont="1" applyBorder="1"/>
    <xf numFmtId="1" fontId="9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/>
    <xf numFmtId="166" fontId="7" fillId="0" borderId="0" xfId="3" applyNumberFormat="1" applyFont="1" applyBorder="1" applyAlignment="1">
      <alignment horizontal="center"/>
    </xf>
    <xf numFmtId="166" fontId="0" fillId="2" borderId="1" xfId="0" applyNumberFormat="1" applyFill="1" applyBorder="1"/>
    <xf numFmtId="169" fontId="0" fillId="0" borderId="0" xfId="2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164" fontId="0" fillId="6" borderId="2" xfId="2" applyNumberFormat="1" applyFont="1" applyFill="1" applyBorder="1"/>
    <xf numFmtId="166" fontId="0" fillId="6" borderId="0" xfId="0" applyNumberFormat="1" applyFill="1" applyBorder="1"/>
    <xf numFmtId="0" fontId="12" fillId="0" borderId="0" xfId="0" applyFont="1" applyAlignment="1">
      <alignment horizontal="center"/>
    </xf>
    <xf numFmtId="0" fontId="7" fillId="0" borderId="0" xfId="0" applyFont="1" applyBorder="1"/>
    <xf numFmtId="0" fontId="6" fillId="0" borderId="0" xfId="0" applyFont="1" applyBorder="1" applyAlignment="1">
      <alignment horizontal="left"/>
    </xf>
  </cellXfs>
  <cellStyles count="4">
    <cellStyle name="Comma" xfId="2" builtinId="3"/>
    <cellStyle name="Normal" xfId="0" builtinId="0"/>
    <cellStyle name="Normal 2" xfId="1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Tính kích cỡ mẫu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Tạo danh sách mẫu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</xdr:row>
          <xdr:rowOff>9525</xdr:rowOff>
        </xdr:from>
        <xdr:to>
          <xdr:col>5</xdr:col>
          <xdr:colOff>1571625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Trở về biểu tổng hợp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B2:K55"/>
  <sheetViews>
    <sheetView tabSelected="1" zoomScaleNormal="100" zoomScaleSheetLayoutView="100" workbookViewId="0">
      <selection activeCell="F15" sqref="F15"/>
    </sheetView>
  </sheetViews>
  <sheetFormatPr defaultRowHeight="15" x14ac:dyDescent="0.25"/>
  <cols>
    <col min="1" max="1" width="5.42578125" customWidth="1"/>
    <col min="2" max="2" width="6.85546875" customWidth="1"/>
    <col min="3" max="3" width="10.5703125" customWidth="1"/>
    <col min="4" max="4" width="21" customWidth="1"/>
    <col min="5" max="5" width="2.85546875" bestFit="1" customWidth="1"/>
    <col min="6" max="6" width="22.42578125" customWidth="1"/>
    <col min="7" max="7" width="4.7109375" customWidth="1"/>
    <col min="8" max="8" width="24.42578125" customWidth="1"/>
    <col min="9" max="9" width="4.140625" customWidth="1"/>
    <col min="10" max="10" width="9.7109375" customWidth="1"/>
  </cols>
  <sheetData>
    <row r="2" spans="2:11" ht="15.75" thickBot="1" x14ac:dyDescent="0.3">
      <c r="C2" s="4"/>
      <c r="D2" s="4"/>
    </row>
    <row r="3" spans="2:11" ht="15.75" x14ac:dyDescent="0.25">
      <c r="B3" s="5"/>
      <c r="C3" s="6"/>
      <c r="D3" s="6"/>
      <c r="E3" s="6"/>
      <c r="F3" s="6"/>
      <c r="G3" s="6"/>
      <c r="H3" s="6"/>
      <c r="I3" s="7"/>
      <c r="K3" s="27" t="s">
        <v>13</v>
      </c>
    </row>
    <row r="4" spans="2:11" x14ac:dyDescent="0.25">
      <c r="B4" s="8"/>
      <c r="C4" s="14" t="s">
        <v>29</v>
      </c>
      <c r="D4" s="14"/>
      <c r="E4" s="53" t="s">
        <v>28</v>
      </c>
      <c r="F4" s="77">
        <v>5764</v>
      </c>
      <c r="G4" s="1"/>
      <c r="H4" s="1"/>
      <c r="I4" s="9"/>
      <c r="K4" s="26" t="s">
        <v>7</v>
      </c>
    </row>
    <row r="5" spans="2:11" x14ac:dyDescent="0.25">
      <c r="B5" s="8"/>
      <c r="C5" s="13" t="s">
        <v>2</v>
      </c>
      <c r="D5" s="13"/>
      <c r="E5" s="52" t="s">
        <v>3</v>
      </c>
      <c r="F5" s="78">
        <v>0.1</v>
      </c>
      <c r="G5" s="1"/>
      <c r="H5" s="1"/>
      <c r="I5" s="9"/>
      <c r="K5" s="26" t="s">
        <v>14</v>
      </c>
    </row>
    <row r="6" spans="2:11" ht="18" x14ac:dyDescent="0.35">
      <c r="B6" s="8"/>
      <c r="C6" s="13" t="s">
        <v>0</v>
      </c>
      <c r="D6" s="13"/>
      <c r="E6" s="52" t="s">
        <v>31</v>
      </c>
      <c r="F6" s="66">
        <v>0.12</v>
      </c>
      <c r="I6" s="9"/>
      <c r="K6" s="26" t="s">
        <v>15</v>
      </c>
    </row>
    <row r="7" spans="2:11" ht="18" x14ac:dyDescent="0.35">
      <c r="B7" s="8"/>
      <c r="C7" s="15" t="s">
        <v>1</v>
      </c>
      <c r="D7" s="15"/>
      <c r="E7" s="54" t="s">
        <v>21</v>
      </c>
      <c r="F7" s="74">
        <v>0.02</v>
      </c>
      <c r="I7" s="9"/>
    </row>
    <row r="8" spans="2:11" x14ac:dyDescent="0.25">
      <c r="B8" s="8"/>
      <c r="C8" s="1"/>
      <c r="D8" s="1"/>
      <c r="E8" s="1"/>
      <c r="F8" s="1"/>
      <c r="I8" s="9"/>
    </row>
    <row r="9" spans="2:11" x14ac:dyDescent="0.25">
      <c r="B9" s="8"/>
      <c r="C9" s="1"/>
      <c r="D9" s="1"/>
      <c r="E9" s="1"/>
      <c r="F9" s="45">
        <f ca="1">IF(F9&lt;F10,F9+1,F10)</f>
        <v>31</v>
      </c>
      <c r="I9" s="9"/>
    </row>
    <row r="10" spans="2:11" s="2" customFormat="1" ht="15.75" thickBot="1" x14ac:dyDescent="0.3">
      <c r="B10" s="17"/>
      <c r="C10" s="3" t="s">
        <v>4</v>
      </c>
      <c r="D10" s="3"/>
      <c r="E10" s="55"/>
      <c r="F10" s="3">
        <f ca="1">IF(_xlfn.HYPGEOM.DIST(ROUNDUP(tongthePe*F9,0),F9,tongtheP*tongtheN,tongtheN,TRUE)&gt;beta,F9+1,F9)</f>
        <v>31</v>
      </c>
      <c r="G10"/>
      <c r="H10" s="32" t="str">
        <f ca="1">IF(MAX(F10)&gt;250,"&lt;= Cỡ mẫu lớn hơn 250","")</f>
        <v/>
      </c>
      <c r="I10" s="18"/>
    </row>
    <row r="11" spans="2:11" ht="15.75" thickBot="1" x14ac:dyDescent="0.3">
      <c r="B11" s="10"/>
      <c r="C11" s="19"/>
      <c r="D11" s="19"/>
      <c r="E11" s="20"/>
      <c r="F11" s="21"/>
      <c r="G11" s="11"/>
      <c r="H11" s="22"/>
      <c r="I11" s="12"/>
    </row>
    <row r="12" spans="2:11" x14ac:dyDescent="0.25">
      <c r="B12" s="1"/>
      <c r="C12" s="80"/>
      <c r="D12" s="80"/>
      <c r="E12" s="81"/>
      <c r="F12" s="23"/>
      <c r="G12" s="1"/>
      <c r="H12" s="13"/>
      <c r="I12" s="1"/>
    </row>
    <row r="13" spans="2:11" ht="15.75" thickBot="1" x14ac:dyDescent="0.3">
      <c r="F13" s="16"/>
    </row>
    <row r="14" spans="2:11" ht="15.75" x14ac:dyDescent="0.25">
      <c r="B14" s="5"/>
      <c r="C14" s="6"/>
      <c r="D14" s="6"/>
      <c r="E14" s="6"/>
      <c r="F14" s="25">
        <f ca="1">IF(MAX(F10,H10)&gt;500,0,MAX(F10,H10))</f>
        <v>31</v>
      </c>
      <c r="G14" s="6"/>
      <c r="H14" s="6"/>
      <c r="I14" s="7"/>
      <c r="K14" s="27" t="s">
        <v>10</v>
      </c>
    </row>
    <row r="15" spans="2:11" x14ac:dyDescent="0.25">
      <c r="B15" s="8"/>
      <c r="C15" s="35" t="s">
        <v>6</v>
      </c>
      <c r="D15" s="34"/>
      <c r="E15" s="34"/>
      <c r="F15" s="36">
        <v>12</v>
      </c>
      <c r="G15" s="1"/>
      <c r="H15" s="23"/>
      <c r="I15" s="9"/>
      <c r="K15" s="16" t="s">
        <v>25</v>
      </c>
    </row>
    <row r="16" spans="2:11" x14ac:dyDescent="0.25">
      <c r="B16" s="8"/>
      <c r="F16" s="79">
        <f ca="1">F10+F15</f>
        <v>43</v>
      </c>
      <c r="G16" s="1"/>
      <c r="H16" s="1"/>
      <c r="I16" s="9"/>
      <c r="K16" s="26" t="s">
        <v>23</v>
      </c>
    </row>
    <row r="17" spans="2:11" x14ac:dyDescent="0.25">
      <c r="B17" s="8"/>
      <c r="C17" s="33" t="s">
        <v>22</v>
      </c>
      <c r="D17" s="33"/>
      <c r="E17" s="67" t="s">
        <v>5</v>
      </c>
      <c r="F17" s="56">
        <v>50</v>
      </c>
      <c r="G17" s="1"/>
      <c r="H17" s="1"/>
      <c r="I17" s="9"/>
      <c r="K17" s="26" t="s">
        <v>24</v>
      </c>
    </row>
    <row r="18" spans="2:11" ht="15.75" thickBot="1" x14ac:dyDescent="0.3">
      <c r="B18" s="10"/>
      <c r="C18" s="11"/>
      <c r="D18" s="11"/>
      <c r="E18" s="11"/>
      <c r="F18" s="11"/>
      <c r="G18" s="11"/>
      <c r="H18" s="11"/>
      <c r="I18" s="12"/>
      <c r="K18" s="16" t="s">
        <v>26</v>
      </c>
    </row>
    <row r="19" spans="2:11" x14ac:dyDescent="0.25">
      <c r="B19" s="1"/>
      <c r="C19" s="1"/>
      <c r="D19" s="1"/>
      <c r="E19" s="1"/>
      <c r="F19" s="1"/>
      <c r="G19" s="1"/>
      <c r="H19" s="1"/>
      <c r="I19" s="1"/>
      <c r="K19" s="26" t="s">
        <v>40</v>
      </c>
    </row>
    <row r="20" spans="2:11" ht="15.75" thickBot="1" x14ac:dyDescent="0.3"/>
    <row r="21" spans="2:11" ht="15.75" x14ac:dyDescent="0.25">
      <c r="B21" s="5"/>
      <c r="C21" s="6"/>
      <c r="D21" s="6"/>
      <c r="E21" s="6"/>
      <c r="F21" s="6"/>
      <c r="G21" s="6"/>
      <c r="H21" s="6"/>
      <c r="I21" s="7"/>
      <c r="K21" s="27" t="s">
        <v>19</v>
      </c>
    </row>
    <row r="22" spans="2:11" ht="15.75" thickBot="1" x14ac:dyDescent="0.3">
      <c r="B22" s="48"/>
      <c r="C22" s="60" t="s">
        <v>9</v>
      </c>
      <c r="D22" s="60" t="s">
        <v>30</v>
      </c>
      <c r="E22" s="61"/>
      <c r="F22" s="60" t="s">
        <v>35</v>
      </c>
      <c r="G22" s="62"/>
      <c r="H22" s="60" t="s">
        <v>34</v>
      </c>
      <c r="I22" s="9"/>
      <c r="K22" s="26" t="s">
        <v>20</v>
      </c>
    </row>
    <row r="23" spans="2:11" x14ac:dyDescent="0.25">
      <c r="B23" s="49"/>
      <c r="C23" s="76">
        <f>comau</f>
        <v>50</v>
      </c>
      <c r="D23" s="63">
        <f>COUNTIF(sosaisot,"Có")</f>
        <v>0</v>
      </c>
      <c r="E23" s="46"/>
      <c r="F23" s="73">
        <f>D23/C23</f>
        <v>0</v>
      </c>
      <c r="G23" s="50"/>
      <c r="H23" s="73">
        <f ca="1">IF(D23&lt;&gt;"",VLOOKUP(beta,OFFSET(betabegin,0,D23,1000,22-D23),22-D23,TRUE),"")</f>
        <v>4.4999999999999998E-2</v>
      </c>
      <c r="I23" s="9"/>
    </row>
    <row r="24" spans="2:11" x14ac:dyDescent="0.25">
      <c r="B24" s="49"/>
      <c r="C24" s="24"/>
      <c r="D24" s="63"/>
      <c r="E24" s="46"/>
      <c r="F24" s="65"/>
      <c r="G24" s="50"/>
      <c r="H24" s="64"/>
      <c r="I24" s="9"/>
    </row>
    <row r="25" spans="2:11" x14ac:dyDescent="0.25">
      <c r="B25" s="49"/>
      <c r="C25" s="24"/>
      <c r="D25" s="63"/>
      <c r="E25" s="46"/>
      <c r="F25" s="65"/>
      <c r="G25" s="50"/>
      <c r="H25" s="64"/>
      <c r="I25" s="9"/>
      <c r="K25" s="26"/>
    </row>
    <row r="26" spans="2:11" x14ac:dyDescent="0.25">
      <c r="B26" s="49"/>
      <c r="C26" s="24"/>
      <c r="D26" s="63"/>
      <c r="E26" s="46"/>
      <c r="F26" s="65"/>
      <c r="G26" s="50"/>
      <c r="H26" s="64"/>
      <c r="I26" s="9"/>
      <c r="K26" s="26"/>
    </row>
    <row r="27" spans="2:11" x14ac:dyDescent="0.25">
      <c r="B27" s="49"/>
      <c r="C27" s="41"/>
      <c r="D27" s="42"/>
      <c r="E27" s="46"/>
      <c r="F27" s="43"/>
      <c r="G27" s="50"/>
      <c r="H27" s="44"/>
      <c r="I27" s="9"/>
    </row>
    <row r="28" spans="2:11" x14ac:dyDescent="0.25">
      <c r="B28" s="8"/>
      <c r="C28" s="51" t="s">
        <v>12</v>
      </c>
      <c r="D28" s="13"/>
      <c r="E28" s="45"/>
      <c r="F28" s="1"/>
      <c r="G28" s="1"/>
      <c r="H28" s="1"/>
      <c r="I28" s="9"/>
    </row>
    <row r="29" spans="2:11" ht="15.75" thickBot="1" x14ac:dyDescent="0.3">
      <c r="B29" s="10"/>
      <c r="C29" s="31"/>
      <c r="D29" s="11"/>
      <c r="E29" s="47"/>
      <c r="F29" s="11"/>
      <c r="G29" s="11"/>
      <c r="H29" s="11"/>
      <c r="I29" s="12"/>
    </row>
    <row r="30" spans="2:11" x14ac:dyDescent="0.25">
      <c r="C30" s="24"/>
    </row>
    <row r="31" spans="2:11" x14ac:dyDescent="0.25">
      <c r="C31" s="24"/>
    </row>
    <row r="32" spans="2:11" x14ac:dyDescent="0.25">
      <c r="C32" s="24"/>
    </row>
    <row r="33" spans="3:3" x14ac:dyDescent="0.25">
      <c r="C33" s="24"/>
    </row>
    <row r="34" spans="3:3" x14ac:dyDescent="0.25">
      <c r="C34" s="24"/>
    </row>
    <row r="35" spans="3:3" x14ac:dyDescent="0.25">
      <c r="C35" s="24"/>
    </row>
    <row r="36" spans="3:3" x14ac:dyDescent="0.25">
      <c r="C36" s="24"/>
    </row>
    <row r="37" spans="3:3" x14ac:dyDescent="0.25">
      <c r="C37" s="24"/>
    </row>
    <row r="38" spans="3:3" x14ac:dyDescent="0.25">
      <c r="C38" s="24"/>
    </row>
    <row r="39" spans="3:3" x14ac:dyDescent="0.25">
      <c r="C39" s="24"/>
    </row>
    <row r="40" spans="3:3" x14ac:dyDescent="0.25">
      <c r="C40" s="24"/>
    </row>
    <row r="41" spans="3:3" x14ac:dyDescent="0.25">
      <c r="C41" s="24"/>
    </row>
    <row r="42" spans="3:3" x14ac:dyDescent="0.25">
      <c r="C42" s="24"/>
    </row>
    <row r="43" spans="3:3" x14ac:dyDescent="0.25">
      <c r="C43" s="24"/>
    </row>
    <row r="44" spans="3:3" x14ac:dyDescent="0.25">
      <c r="C44" s="24"/>
    </row>
    <row r="45" spans="3:3" x14ac:dyDescent="0.25">
      <c r="C45" s="24"/>
    </row>
    <row r="46" spans="3:3" x14ac:dyDescent="0.25">
      <c r="C46" s="24"/>
    </row>
    <row r="47" spans="3:3" x14ac:dyDescent="0.25">
      <c r="C47" s="24"/>
    </row>
    <row r="48" spans="3:3" x14ac:dyDescent="0.25">
      <c r="C48" s="24"/>
    </row>
    <row r="49" spans="3:3" x14ac:dyDescent="0.25">
      <c r="C49" s="24"/>
    </row>
    <row r="50" spans="3:3" x14ac:dyDescent="0.25">
      <c r="C50" s="24"/>
    </row>
    <row r="51" spans="3:3" x14ac:dyDescent="0.25">
      <c r="C51" s="24"/>
    </row>
    <row r="52" spans="3:3" x14ac:dyDescent="0.25">
      <c r="C52" s="24"/>
    </row>
    <row r="53" spans="3:3" x14ac:dyDescent="0.25">
      <c r="C53" s="24"/>
    </row>
    <row r="54" spans="3:3" x14ac:dyDescent="0.25">
      <c r="C54" s="24"/>
    </row>
    <row r="55" spans="3:3" x14ac:dyDescent="0.25">
      <c r="C55" s="24"/>
    </row>
  </sheetData>
  <protectedRanges>
    <protectedRange sqref="F4:F7" name="Range2"/>
    <protectedRange sqref="F15" name="Range1"/>
  </protectedRanges>
  <pageMargins left="0.70866141732283472" right="0.70866141732283472" top="0.74803149606299213" bottom="0.74803149606299213" header="0.31496062992125984" footer="0.31496062992125984"/>
  <pageSetup paperSize="9" scale="80" orientation="portrait" verticalDpi="0" r:id="rId1"/>
  <colBreaks count="1" manualBreakCount="1"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inh_n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ao_ds">
                <anchor moveWithCells="1" siz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G258"/>
  <sheetViews>
    <sheetView zoomScaleNormal="100" zoomScaleSheetLayoutView="100" workbookViewId="0">
      <selection activeCell="D7" sqref="D7"/>
    </sheetView>
  </sheetViews>
  <sheetFormatPr defaultRowHeight="15" x14ac:dyDescent="0.25"/>
  <cols>
    <col min="1" max="1" width="7.5703125" customWidth="1"/>
    <col min="2" max="2" width="6.7109375" customWidth="1"/>
    <col min="3" max="3" width="18" customWidth="1"/>
    <col min="4" max="4" width="18.42578125" style="57" customWidth="1"/>
    <col min="5" max="5" width="12.5703125" style="57" customWidth="1"/>
    <col min="6" max="6" width="26" customWidth="1"/>
  </cols>
  <sheetData>
    <row r="1" spans="1:7" ht="15.75" thickBot="1" x14ac:dyDescent="0.3">
      <c r="B1" s="11"/>
      <c r="C1" s="11"/>
      <c r="D1" s="11"/>
      <c r="E1" s="11"/>
    </row>
    <row r="2" spans="1:7" x14ac:dyDescent="0.25">
      <c r="B2" s="1" t="s">
        <v>9</v>
      </c>
      <c r="C2" s="1"/>
      <c r="D2" s="1"/>
      <c r="E2" s="1">
        <f>comau</f>
        <v>50</v>
      </c>
      <c r="G2" s="58" t="s">
        <v>26</v>
      </c>
    </row>
    <row r="3" spans="1:7" x14ac:dyDescent="0.25">
      <c r="B3" s="1" t="s">
        <v>39</v>
      </c>
      <c r="C3" s="1"/>
      <c r="D3" s="1"/>
      <c r="E3" s="72">
        <f>ROUND(tongtheN/comau,0)</f>
        <v>115</v>
      </c>
      <c r="G3" s="26" t="s">
        <v>27</v>
      </c>
    </row>
    <row r="4" spans="1:7" ht="15.75" thickBot="1" x14ac:dyDescent="0.3">
      <c r="B4" s="21" t="s">
        <v>11</v>
      </c>
      <c r="C4" s="30"/>
      <c r="D4" s="30"/>
      <c r="E4" s="69">
        <v>11</v>
      </c>
    </row>
    <row r="5" spans="1:7" x14ac:dyDescent="0.25">
      <c r="D5"/>
      <c r="E5"/>
    </row>
    <row r="6" spans="1:7" s="2" customFormat="1" ht="15.75" thickBot="1" x14ac:dyDescent="0.3">
      <c r="A6" s="68" t="s">
        <v>36</v>
      </c>
      <c r="B6" s="29" t="s">
        <v>8</v>
      </c>
      <c r="C6" s="29" t="s">
        <v>32</v>
      </c>
      <c r="D6" s="29"/>
      <c r="E6" s="29" t="s">
        <v>33</v>
      </c>
      <c r="F6" s="29" t="s">
        <v>38</v>
      </c>
    </row>
    <row r="7" spans="1:7" x14ac:dyDescent="0.25">
      <c r="A7" s="68" t="s">
        <v>37</v>
      </c>
      <c r="B7" s="24">
        <f t="shared" ref="B7:B70" si="0">IF(ROW()&lt;comau+7,ROW()-6,"")</f>
        <v>1</v>
      </c>
      <c r="C7" s="70">
        <v>11</v>
      </c>
      <c r="E7" s="75"/>
    </row>
    <row r="8" spans="1:7" x14ac:dyDescent="0.25">
      <c r="B8" s="24">
        <f t="shared" si="0"/>
        <v>2</v>
      </c>
      <c r="C8" s="71">
        <f t="shared" ref="C8:C71" si="1">IF(B8&lt;&gt;"",xuatphat+khoangcach*B7,"")</f>
        <v>22</v>
      </c>
      <c r="E8" s="75"/>
    </row>
    <row r="9" spans="1:7" x14ac:dyDescent="0.25">
      <c r="B9" s="24">
        <f t="shared" si="0"/>
        <v>3</v>
      </c>
      <c r="C9" s="71">
        <f t="shared" si="1"/>
        <v>33</v>
      </c>
      <c r="E9" s="75"/>
    </row>
    <row r="10" spans="1:7" x14ac:dyDescent="0.25">
      <c r="B10" s="24">
        <f t="shared" si="0"/>
        <v>4</v>
      </c>
      <c r="C10" s="71">
        <f t="shared" si="1"/>
        <v>44</v>
      </c>
      <c r="E10" s="75"/>
    </row>
    <row r="11" spans="1:7" x14ac:dyDescent="0.25">
      <c r="B11" s="24">
        <f t="shared" si="0"/>
        <v>5</v>
      </c>
      <c r="C11" s="71">
        <f t="shared" si="1"/>
        <v>55</v>
      </c>
      <c r="E11" s="75"/>
    </row>
    <row r="12" spans="1:7" x14ac:dyDescent="0.25">
      <c r="B12" s="24">
        <f t="shared" si="0"/>
        <v>6</v>
      </c>
      <c r="C12" s="71">
        <f t="shared" si="1"/>
        <v>66</v>
      </c>
      <c r="E12" s="75"/>
    </row>
    <row r="13" spans="1:7" x14ac:dyDescent="0.25">
      <c r="B13" s="24">
        <f t="shared" si="0"/>
        <v>7</v>
      </c>
      <c r="C13" s="71">
        <f t="shared" si="1"/>
        <v>77</v>
      </c>
      <c r="E13" s="75"/>
    </row>
    <row r="14" spans="1:7" x14ac:dyDescent="0.25">
      <c r="B14" s="24">
        <f t="shared" si="0"/>
        <v>8</v>
      </c>
      <c r="C14" s="71">
        <f t="shared" si="1"/>
        <v>88</v>
      </c>
      <c r="E14" s="75"/>
    </row>
    <row r="15" spans="1:7" x14ac:dyDescent="0.25">
      <c r="B15" s="24">
        <f t="shared" si="0"/>
        <v>9</v>
      </c>
      <c r="C15" s="71">
        <f t="shared" si="1"/>
        <v>99</v>
      </c>
      <c r="E15" s="75"/>
    </row>
    <row r="16" spans="1:7" x14ac:dyDescent="0.25">
      <c r="B16" s="24">
        <f t="shared" si="0"/>
        <v>10</v>
      </c>
      <c r="C16" s="71">
        <f t="shared" si="1"/>
        <v>110</v>
      </c>
      <c r="E16" s="75"/>
    </row>
    <row r="17" spans="2:5" x14ac:dyDescent="0.25">
      <c r="B17" s="24">
        <f t="shared" si="0"/>
        <v>11</v>
      </c>
      <c r="C17" s="71">
        <f t="shared" si="1"/>
        <v>121</v>
      </c>
      <c r="E17" s="75"/>
    </row>
    <row r="18" spans="2:5" x14ac:dyDescent="0.25">
      <c r="B18" s="24">
        <f t="shared" si="0"/>
        <v>12</v>
      </c>
      <c r="C18" s="71">
        <f t="shared" si="1"/>
        <v>132</v>
      </c>
      <c r="E18" s="75"/>
    </row>
    <row r="19" spans="2:5" x14ac:dyDescent="0.25">
      <c r="B19" s="24">
        <f t="shared" si="0"/>
        <v>13</v>
      </c>
      <c r="C19" s="71">
        <f t="shared" si="1"/>
        <v>143</v>
      </c>
      <c r="E19" s="75"/>
    </row>
    <row r="20" spans="2:5" x14ac:dyDescent="0.25">
      <c r="B20" s="24">
        <f t="shared" si="0"/>
        <v>14</v>
      </c>
      <c r="C20" s="71">
        <f t="shared" si="1"/>
        <v>154</v>
      </c>
      <c r="E20" s="75"/>
    </row>
    <row r="21" spans="2:5" x14ac:dyDescent="0.25">
      <c r="B21" s="24">
        <f t="shared" si="0"/>
        <v>15</v>
      </c>
      <c r="C21" s="71">
        <f t="shared" si="1"/>
        <v>165</v>
      </c>
      <c r="E21" s="75"/>
    </row>
    <row r="22" spans="2:5" x14ac:dyDescent="0.25">
      <c r="B22" s="24">
        <f t="shared" si="0"/>
        <v>16</v>
      </c>
      <c r="C22" s="71">
        <f t="shared" si="1"/>
        <v>176</v>
      </c>
      <c r="E22" s="75"/>
    </row>
    <row r="23" spans="2:5" x14ac:dyDescent="0.25">
      <c r="B23" s="24">
        <f t="shared" si="0"/>
        <v>17</v>
      </c>
      <c r="C23" s="71">
        <f t="shared" si="1"/>
        <v>187</v>
      </c>
      <c r="E23" s="75"/>
    </row>
    <row r="24" spans="2:5" x14ac:dyDescent="0.25">
      <c r="B24" s="24">
        <f t="shared" si="0"/>
        <v>18</v>
      </c>
      <c r="C24" s="71">
        <f t="shared" si="1"/>
        <v>198</v>
      </c>
      <c r="E24" s="75"/>
    </row>
    <row r="25" spans="2:5" x14ac:dyDescent="0.25">
      <c r="B25" s="24">
        <f t="shared" si="0"/>
        <v>19</v>
      </c>
      <c r="C25" s="71">
        <f t="shared" si="1"/>
        <v>209</v>
      </c>
      <c r="E25" s="75"/>
    </row>
    <row r="26" spans="2:5" x14ac:dyDescent="0.25">
      <c r="B26" s="24">
        <f t="shared" si="0"/>
        <v>20</v>
      </c>
      <c r="C26" s="71">
        <f t="shared" si="1"/>
        <v>220</v>
      </c>
      <c r="E26" s="75"/>
    </row>
    <row r="27" spans="2:5" x14ac:dyDescent="0.25">
      <c r="B27" s="24">
        <f t="shared" si="0"/>
        <v>21</v>
      </c>
      <c r="C27" s="71">
        <f t="shared" si="1"/>
        <v>231</v>
      </c>
      <c r="E27" s="75"/>
    </row>
    <row r="28" spans="2:5" x14ac:dyDescent="0.25">
      <c r="B28" s="24">
        <f t="shared" si="0"/>
        <v>22</v>
      </c>
      <c r="C28" s="71">
        <f t="shared" si="1"/>
        <v>242</v>
      </c>
      <c r="E28" s="75"/>
    </row>
    <row r="29" spans="2:5" x14ac:dyDescent="0.25">
      <c r="B29" s="24">
        <f t="shared" si="0"/>
        <v>23</v>
      </c>
      <c r="C29" s="71">
        <f t="shared" si="1"/>
        <v>253</v>
      </c>
      <c r="E29" s="75"/>
    </row>
    <row r="30" spans="2:5" x14ac:dyDescent="0.25">
      <c r="B30" s="24">
        <f t="shared" si="0"/>
        <v>24</v>
      </c>
      <c r="C30" s="71">
        <f t="shared" si="1"/>
        <v>264</v>
      </c>
      <c r="E30" s="75"/>
    </row>
    <row r="31" spans="2:5" x14ac:dyDescent="0.25">
      <c r="B31" s="24">
        <f t="shared" si="0"/>
        <v>25</v>
      </c>
      <c r="C31" s="71">
        <f t="shared" si="1"/>
        <v>275</v>
      </c>
      <c r="E31" s="75"/>
    </row>
    <row r="32" spans="2:5" x14ac:dyDescent="0.25">
      <c r="B32" s="24">
        <f t="shared" si="0"/>
        <v>26</v>
      </c>
      <c r="C32" s="71">
        <f t="shared" si="1"/>
        <v>286</v>
      </c>
      <c r="E32" s="75"/>
    </row>
    <row r="33" spans="2:5" x14ac:dyDescent="0.25">
      <c r="B33" s="24">
        <f t="shared" si="0"/>
        <v>27</v>
      </c>
      <c r="C33" s="71">
        <f t="shared" si="1"/>
        <v>297</v>
      </c>
      <c r="E33" s="75"/>
    </row>
    <row r="34" spans="2:5" x14ac:dyDescent="0.25">
      <c r="B34" s="24">
        <f t="shared" si="0"/>
        <v>28</v>
      </c>
      <c r="C34" s="71">
        <f t="shared" si="1"/>
        <v>308</v>
      </c>
      <c r="E34" s="75"/>
    </row>
    <row r="35" spans="2:5" x14ac:dyDescent="0.25">
      <c r="B35" s="24">
        <f t="shared" si="0"/>
        <v>29</v>
      </c>
      <c r="C35" s="71">
        <f t="shared" si="1"/>
        <v>319</v>
      </c>
      <c r="E35" s="75"/>
    </row>
    <row r="36" spans="2:5" x14ac:dyDescent="0.25">
      <c r="B36" s="24">
        <f t="shared" si="0"/>
        <v>30</v>
      </c>
      <c r="C36" s="71">
        <f t="shared" si="1"/>
        <v>330</v>
      </c>
      <c r="E36" s="75"/>
    </row>
    <row r="37" spans="2:5" x14ac:dyDescent="0.25">
      <c r="B37" s="24">
        <f t="shared" si="0"/>
        <v>31</v>
      </c>
      <c r="C37" s="71">
        <f t="shared" si="1"/>
        <v>341</v>
      </c>
      <c r="E37" s="75"/>
    </row>
    <row r="38" spans="2:5" x14ac:dyDescent="0.25">
      <c r="B38" s="24">
        <f t="shared" si="0"/>
        <v>32</v>
      </c>
      <c r="C38" s="71">
        <f t="shared" si="1"/>
        <v>352</v>
      </c>
      <c r="E38" s="75"/>
    </row>
    <row r="39" spans="2:5" x14ac:dyDescent="0.25">
      <c r="B39" s="24">
        <f t="shared" si="0"/>
        <v>33</v>
      </c>
      <c r="C39" s="71">
        <f t="shared" si="1"/>
        <v>363</v>
      </c>
      <c r="E39" s="75"/>
    </row>
    <row r="40" spans="2:5" x14ac:dyDescent="0.25">
      <c r="B40" s="24">
        <f t="shared" si="0"/>
        <v>34</v>
      </c>
      <c r="C40" s="71">
        <f t="shared" si="1"/>
        <v>374</v>
      </c>
      <c r="E40" s="75"/>
    </row>
    <row r="41" spans="2:5" x14ac:dyDescent="0.25">
      <c r="B41" s="24">
        <f t="shared" si="0"/>
        <v>35</v>
      </c>
      <c r="C41" s="71">
        <f t="shared" si="1"/>
        <v>385</v>
      </c>
      <c r="E41" s="75"/>
    </row>
    <row r="42" spans="2:5" x14ac:dyDescent="0.25">
      <c r="B42" s="24">
        <f t="shared" si="0"/>
        <v>36</v>
      </c>
      <c r="C42" s="71">
        <f t="shared" si="1"/>
        <v>396</v>
      </c>
      <c r="E42" s="75"/>
    </row>
    <row r="43" spans="2:5" x14ac:dyDescent="0.25">
      <c r="B43" s="24">
        <f t="shared" si="0"/>
        <v>37</v>
      </c>
      <c r="C43" s="71">
        <f t="shared" si="1"/>
        <v>407</v>
      </c>
      <c r="E43" s="75"/>
    </row>
    <row r="44" spans="2:5" x14ac:dyDescent="0.25">
      <c r="B44" s="24">
        <f t="shared" si="0"/>
        <v>38</v>
      </c>
      <c r="C44" s="71">
        <f t="shared" si="1"/>
        <v>418</v>
      </c>
      <c r="E44" s="75"/>
    </row>
    <row r="45" spans="2:5" x14ac:dyDescent="0.25">
      <c r="B45" s="24">
        <f t="shared" si="0"/>
        <v>39</v>
      </c>
      <c r="C45" s="71">
        <f t="shared" si="1"/>
        <v>429</v>
      </c>
      <c r="E45" s="75"/>
    </row>
    <row r="46" spans="2:5" x14ac:dyDescent="0.25">
      <c r="B46" s="24">
        <f t="shared" si="0"/>
        <v>40</v>
      </c>
      <c r="C46" s="71">
        <f t="shared" si="1"/>
        <v>440</v>
      </c>
      <c r="E46" s="75"/>
    </row>
    <row r="47" spans="2:5" x14ac:dyDescent="0.25">
      <c r="B47" s="24">
        <f t="shared" si="0"/>
        <v>41</v>
      </c>
      <c r="C47" s="71">
        <f t="shared" si="1"/>
        <v>451</v>
      </c>
      <c r="E47" s="75"/>
    </row>
    <row r="48" spans="2:5" x14ac:dyDescent="0.25">
      <c r="B48" s="24">
        <f t="shared" si="0"/>
        <v>42</v>
      </c>
      <c r="C48" s="71">
        <f t="shared" si="1"/>
        <v>462</v>
      </c>
      <c r="E48" s="75"/>
    </row>
    <row r="49" spans="2:5" x14ac:dyDescent="0.25">
      <c r="B49" s="24">
        <f t="shared" si="0"/>
        <v>43</v>
      </c>
      <c r="C49" s="71">
        <f t="shared" si="1"/>
        <v>473</v>
      </c>
      <c r="E49" s="75"/>
    </row>
    <row r="50" spans="2:5" x14ac:dyDescent="0.25">
      <c r="B50" s="24">
        <f t="shared" si="0"/>
        <v>44</v>
      </c>
      <c r="C50" s="71">
        <f t="shared" si="1"/>
        <v>484</v>
      </c>
      <c r="E50" s="75"/>
    </row>
    <row r="51" spans="2:5" x14ac:dyDescent="0.25">
      <c r="B51" s="24">
        <f t="shared" si="0"/>
        <v>45</v>
      </c>
      <c r="C51" s="71">
        <f t="shared" si="1"/>
        <v>495</v>
      </c>
      <c r="E51" s="75"/>
    </row>
    <row r="52" spans="2:5" x14ac:dyDescent="0.25">
      <c r="B52" s="24">
        <f t="shared" si="0"/>
        <v>46</v>
      </c>
      <c r="C52" s="71">
        <f t="shared" si="1"/>
        <v>506</v>
      </c>
      <c r="E52" s="75"/>
    </row>
    <row r="53" spans="2:5" x14ac:dyDescent="0.25">
      <c r="B53" s="24">
        <f t="shared" si="0"/>
        <v>47</v>
      </c>
      <c r="C53" s="71">
        <f t="shared" si="1"/>
        <v>517</v>
      </c>
      <c r="E53" s="75"/>
    </row>
    <row r="54" spans="2:5" x14ac:dyDescent="0.25">
      <c r="B54" s="24">
        <f t="shared" si="0"/>
        <v>48</v>
      </c>
      <c r="C54" s="71">
        <f t="shared" si="1"/>
        <v>528</v>
      </c>
      <c r="E54" s="75"/>
    </row>
    <row r="55" spans="2:5" x14ac:dyDescent="0.25">
      <c r="B55" s="24">
        <f t="shared" si="0"/>
        <v>49</v>
      </c>
      <c r="C55" s="71">
        <f t="shared" si="1"/>
        <v>539</v>
      </c>
      <c r="E55" s="75"/>
    </row>
    <row r="56" spans="2:5" x14ac:dyDescent="0.25">
      <c r="B56" s="24">
        <f t="shared" si="0"/>
        <v>50</v>
      </c>
      <c r="C56" s="71">
        <f t="shared" si="1"/>
        <v>550</v>
      </c>
      <c r="E56" s="75"/>
    </row>
    <row r="57" spans="2:5" x14ac:dyDescent="0.25">
      <c r="B57" s="24" t="str">
        <f t="shared" si="0"/>
        <v/>
      </c>
      <c r="C57" s="71" t="str">
        <f t="shared" si="1"/>
        <v/>
      </c>
      <c r="E57" s="75"/>
    </row>
    <row r="58" spans="2:5" x14ac:dyDescent="0.25">
      <c r="B58" s="24" t="str">
        <f t="shared" si="0"/>
        <v/>
      </c>
      <c r="C58" s="71" t="str">
        <f t="shared" si="1"/>
        <v/>
      </c>
      <c r="E58" s="75"/>
    </row>
    <row r="59" spans="2:5" x14ac:dyDescent="0.25">
      <c r="B59" s="24" t="str">
        <f t="shared" si="0"/>
        <v/>
      </c>
      <c r="C59" s="71" t="str">
        <f t="shared" si="1"/>
        <v/>
      </c>
      <c r="E59" s="75"/>
    </row>
    <row r="60" spans="2:5" x14ac:dyDescent="0.25">
      <c r="B60" s="24" t="str">
        <f t="shared" si="0"/>
        <v/>
      </c>
      <c r="C60" s="71" t="str">
        <f t="shared" si="1"/>
        <v/>
      </c>
      <c r="E60" s="75"/>
    </row>
    <row r="61" spans="2:5" x14ac:dyDescent="0.25">
      <c r="B61" s="24" t="str">
        <f t="shared" si="0"/>
        <v/>
      </c>
      <c r="C61" s="71" t="str">
        <f t="shared" si="1"/>
        <v/>
      </c>
      <c r="E61" s="75"/>
    </row>
    <row r="62" spans="2:5" x14ac:dyDescent="0.25">
      <c r="B62" s="24" t="str">
        <f t="shared" si="0"/>
        <v/>
      </c>
      <c r="C62" s="71" t="str">
        <f t="shared" si="1"/>
        <v/>
      </c>
      <c r="E62" s="75"/>
    </row>
    <row r="63" spans="2:5" x14ac:dyDescent="0.25">
      <c r="B63" s="24" t="str">
        <f t="shared" si="0"/>
        <v/>
      </c>
      <c r="C63" s="71" t="str">
        <f t="shared" si="1"/>
        <v/>
      </c>
      <c r="E63" s="75"/>
    </row>
    <row r="64" spans="2:5" x14ac:dyDescent="0.25">
      <c r="B64" s="24" t="str">
        <f t="shared" si="0"/>
        <v/>
      </c>
      <c r="C64" s="71" t="str">
        <f t="shared" si="1"/>
        <v/>
      </c>
      <c r="E64" s="75"/>
    </row>
    <row r="65" spans="2:5" x14ac:dyDescent="0.25">
      <c r="B65" s="24" t="str">
        <f t="shared" si="0"/>
        <v/>
      </c>
      <c r="C65" s="71" t="str">
        <f t="shared" si="1"/>
        <v/>
      </c>
      <c r="E65" s="75"/>
    </row>
    <row r="66" spans="2:5" x14ac:dyDescent="0.25">
      <c r="B66" s="24" t="str">
        <f t="shared" si="0"/>
        <v/>
      </c>
      <c r="C66" s="71" t="str">
        <f t="shared" si="1"/>
        <v/>
      </c>
      <c r="E66" s="75"/>
    </row>
    <row r="67" spans="2:5" x14ac:dyDescent="0.25">
      <c r="B67" s="24" t="str">
        <f t="shared" si="0"/>
        <v/>
      </c>
      <c r="C67" s="71" t="str">
        <f t="shared" si="1"/>
        <v/>
      </c>
      <c r="E67" s="75"/>
    </row>
    <row r="68" spans="2:5" x14ac:dyDescent="0.25">
      <c r="B68" s="24" t="str">
        <f t="shared" si="0"/>
        <v/>
      </c>
      <c r="C68" s="71" t="str">
        <f t="shared" si="1"/>
        <v/>
      </c>
      <c r="E68" s="75"/>
    </row>
    <row r="69" spans="2:5" x14ac:dyDescent="0.25">
      <c r="B69" s="24" t="str">
        <f t="shared" si="0"/>
        <v/>
      </c>
      <c r="C69" s="71" t="str">
        <f t="shared" si="1"/>
        <v/>
      </c>
      <c r="E69" s="75"/>
    </row>
    <row r="70" spans="2:5" x14ac:dyDescent="0.25">
      <c r="B70" s="24" t="str">
        <f t="shared" si="0"/>
        <v/>
      </c>
      <c r="C70" s="71" t="str">
        <f t="shared" si="1"/>
        <v/>
      </c>
      <c r="E70" s="75"/>
    </row>
    <row r="71" spans="2:5" x14ac:dyDescent="0.25">
      <c r="B71" s="24" t="str">
        <f t="shared" ref="B71:B134" si="2">IF(ROW()&lt;comau+7,ROW()-6,"")</f>
        <v/>
      </c>
      <c r="C71" s="71" t="str">
        <f t="shared" si="1"/>
        <v/>
      </c>
      <c r="E71" s="75"/>
    </row>
    <row r="72" spans="2:5" x14ac:dyDescent="0.25">
      <c r="B72" s="24" t="str">
        <f t="shared" si="2"/>
        <v/>
      </c>
      <c r="C72" s="71" t="str">
        <f t="shared" ref="C72:C135" si="3">IF(B72&lt;&gt;"",xuatphat+khoangcach*B71,"")</f>
        <v/>
      </c>
      <c r="E72" s="75"/>
    </row>
    <row r="73" spans="2:5" x14ac:dyDescent="0.25">
      <c r="B73" s="24" t="str">
        <f t="shared" si="2"/>
        <v/>
      </c>
      <c r="C73" s="71" t="str">
        <f t="shared" si="3"/>
        <v/>
      </c>
      <c r="E73" s="75"/>
    </row>
    <row r="74" spans="2:5" x14ac:dyDescent="0.25">
      <c r="B74" s="24" t="str">
        <f t="shared" si="2"/>
        <v/>
      </c>
      <c r="C74" s="71" t="str">
        <f t="shared" si="3"/>
        <v/>
      </c>
      <c r="E74" s="75"/>
    </row>
    <row r="75" spans="2:5" x14ac:dyDescent="0.25">
      <c r="B75" s="24" t="str">
        <f t="shared" si="2"/>
        <v/>
      </c>
      <c r="C75" s="71" t="str">
        <f t="shared" si="3"/>
        <v/>
      </c>
      <c r="E75" s="75"/>
    </row>
    <row r="76" spans="2:5" x14ac:dyDescent="0.25">
      <c r="B76" s="24" t="str">
        <f t="shared" si="2"/>
        <v/>
      </c>
      <c r="C76" s="71" t="str">
        <f t="shared" si="3"/>
        <v/>
      </c>
      <c r="E76" s="75"/>
    </row>
    <row r="77" spans="2:5" x14ac:dyDescent="0.25">
      <c r="B77" s="24" t="str">
        <f t="shared" si="2"/>
        <v/>
      </c>
      <c r="C77" s="71" t="str">
        <f t="shared" si="3"/>
        <v/>
      </c>
      <c r="E77" s="75"/>
    </row>
    <row r="78" spans="2:5" x14ac:dyDescent="0.25">
      <c r="B78" s="24" t="str">
        <f t="shared" si="2"/>
        <v/>
      </c>
      <c r="C78" s="71" t="str">
        <f t="shared" si="3"/>
        <v/>
      </c>
      <c r="E78" s="75"/>
    </row>
    <row r="79" spans="2:5" x14ac:dyDescent="0.25">
      <c r="B79" s="24" t="str">
        <f t="shared" si="2"/>
        <v/>
      </c>
      <c r="C79" s="71" t="str">
        <f t="shared" si="3"/>
        <v/>
      </c>
      <c r="E79" s="75"/>
    </row>
    <row r="80" spans="2:5" x14ac:dyDescent="0.25">
      <c r="B80" s="24" t="str">
        <f t="shared" si="2"/>
        <v/>
      </c>
      <c r="C80" s="71" t="str">
        <f t="shared" si="3"/>
        <v/>
      </c>
      <c r="E80" s="75"/>
    </row>
    <row r="81" spans="2:5" x14ac:dyDescent="0.25">
      <c r="B81" s="24" t="str">
        <f t="shared" si="2"/>
        <v/>
      </c>
      <c r="C81" s="71" t="str">
        <f t="shared" si="3"/>
        <v/>
      </c>
      <c r="E81" s="75"/>
    </row>
    <row r="82" spans="2:5" x14ac:dyDescent="0.25">
      <c r="B82" s="24" t="str">
        <f t="shared" si="2"/>
        <v/>
      </c>
      <c r="C82" s="71" t="str">
        <f t="shared" si="3"/>
        <v/>
      </c>
      <c r="E82" s="75"/>
    </row>
    <row r="83" spans="2:5" x14ac:dyDescent="0.25">
      <c r="B83" s="24" t="str">
        <f t="shared" si="2"/>
        <v/>
      </c>
      <c r="C83" s="71" t="str">
        <f t="shared" si="3"/>
        <v/>
      </c>
      <c r="E83" s="75"/>
    </row>
    <row r="84" spans="2:5" x14ac:dyDescent="0.25">
      <c r="B84" s="24" t="str">
        <f t="shared" si="2"/>
        <v/>
      </c>
      <c r="C84" s="71" t="str">
        <f t="shared" si="3"/>
        <v/>
      </c>
      <c r="E84" s="75"/>
    </row>
    <row r="85" spans="2:5" x14ac:dyDescent="0.25">
      <c r="B85" s="24" t="str">
        <f t="shared" si="2"/>
        <v/>
      </c>
      <c r="C85" s="71" t="str">
        <f t="shared" si="3"/>
        <v/>
      </c>
      <c r="E85" s="75"/>
    </row>
    <row r="86" spans="2:5" x14ac:dyDescent="0.25">
      <c r="B86" s="24" t="str">
        <f t="shared" si="2"/>
        <v/>
      </c>
      <c r="C86" s="71" t="str">
        <f t="shared" si="3"/>
        <v/>
      </c>
      <c r="E86" s="75"/>
    </row>
    <row r="87" spans="2:5" x14ac:dyDescent="0.25">
      <c r="B87" s="24" t="str">
        <f t="shared" si="2"/>
        <v/>
      </c>
      <c r="C87" s="71" t="str">
        <f t="shared" si="3"/>
        <v/>
      </c>
      <c r="E87" s="75"/>
    </row>
    <row r="88" spans="2:5" x14ac:dyDescent="0.25">
      <c r="B88" s="24" t="str">
        <f t="shared" si="2"/>
        <v/>
      </c>
      <c r="C88" s="71" t="str">
        <f t="shared" si="3"/>
        <v/>
      </c>
      <c r="E88" s="75"/>
    </row>
    <row r="89" spans="2:5" x14ac:dyDescent="0.25">
      <c r="B89" s="24" t="str">
        <f t="shared" si="2"/>
        <v/>
      </c>
      <c r="C89" s="71" t="str">
        <f t="shared" si="3"/>
        <v/>
      </c>
      <c r="E89" s="75"/>
    </row>
    <row r="90" spans="2:5" x14ac:dyDescent="0.25">
      <c r="B90" s="24" t="str">
        <f t="shared" si="2"/>
        <v/>
      </c>
      <c r="C90" s="71" t="str">
        <f t="shared" si="3"/>
        <v/>
      </c>
      <c r="E90" s="75"/>
    </row>
    <row r="91" spans="2:5" x14ac:dyDescent="0.25">
      <c r="B91" s="24" t="str">
        <f t="shared" si="2"/>
        <v/>
      </c>
      <c r="C91" s="71" t="str">
        <f t="shared" si="3"/>
        <v/>
      </c>
      <c r="E91" s="75"/>
    </row>
    <row r="92" spans="2:5" x14ac:dyDescent="0.25">
      <c r="B92" s="24" t="str">
        <f t="shared" si="2"/>
        <v/>
      </c>
      <c r="C92" s="71" t="str">
        <f t="shared" si="3"/>
        <v/>
      </c>
      <c r="E92" s="75"/>
    </row>
    <row r="93" spans="2:5" x14ac:dyDescent="0.25">
      <c r="B93" s="24" t="str">
        <f t="shared" si="2"/>
        <v/>
      </c>
      <c r="C93" s="71" t="str">
        <f t="shared" si="3"/>
        <v/>
      </c>
      <c r="E93" s="75"/>
    </row>
    <row r="94" spans="2:5" x14ac:dyDescent="0.25">
      <c r="B94" s="24" t="str">
        <f t="shared" si="2"/>
        <v/>
      </c>
      <c r="C94" s="71" t="str">
        <f t="shared" si="3"/>
        <v/>
      </c>
      <c r="E94" s="75"/>
    </row>
    <row r="95" spans="2:5" x14ac:dyDescent="0.25">
      <c r="B95" s="24" t="str">
        <f t="shared" si="2"/>
        <v/>
      </c>
      <c r="C95" s="71" t="str">
        <f t="shared" si="3"/>
        <v/>
      </c>
      <c r="E95" s="75"/>
    </row>
    <row r="96" spans="2:5" x14ac:dyDescent="0.25">
      <c r="B96" s="24" t="str">
        <f t="shared" si="2"/>
        <v/>
      </c>
      <c r="C96" s="71" t="str">
        <f t="shared" si="3"/>
        <v/>
      </c>
      <c r="E96" s="75"/>
    </row>
    <row r="97" spans="2:5" x14ac:dyDescent="0.25">
      <c r="B97" s="24" t="str">
        <f t="shared" si="2"/>
        <v/>
      </c>
      <c r="C97" s="71" t="str">
        <f t="shared" si="3"/>
        <v/>
      </c>
      <c r="E97" s="75"/>
    </row>
    <row r="98" spans="2:5" x14ac:dyDescent="0.25">
      <c r="B98" s="24" t="str">
        <f t="shared" si="2"/>
        <v/>
      </c>
      <c r="C98" s="71" t="str">
        <f t="shared" si="3"/>
        <v/>
      </c>
      <c r="E98" s="75"/>
    </row>
    <row r="99" spans="2:5" x14ac:dyDescent="0.25">
      <c r="B99" s="24" t="str">
        <f t="shared" si="2"/>
        <v/>
      </c>
      <c r="C99" s="71" t="str">
        <f t="shared" si="3"/>
        <v/>
      </c>
      <c r="E99" s="75"/>
    </row>
    <row r="100" spans="2:5" x14ac:dyDescent="0.25">
      <c r="B100" s="24" t="str">
        <f t="shared" si="2"/>
        <v/>
      </c>
      <c r="C100" s="71" t="str">
        <f t="shared" si="3"/>
        <v/>
      </c>
      <c r="E100" s="75"/>
    </row>
    <row r="101" spans="2:5" x14ac:dyDescent="0.25">
      <c r="B101" s="24" t="str">
        <f t="shared" si="2"/>
        <v/>
      </c>
      <c r="C101" s="71" t="str">
        <f t="shared" si="3"/>
        <v/>
      </c>
      <c r="E101" s="75"/>
    </row>
    <row r="102" spans="2:5" x14ac:dyDescent="0.25">
      <c r="B102" s="24" t="str">
        <f t="shared" si="2"/>
        <v/>
      </c>
      <c r="C102" s="71" t="str">
        <f t="shared" si="3"/>
        <v/>
      </c>
      <c r="E102" s="75"/>
    </row>
    <row r="103" spans="2:5" x14ac:dyDescent="0.25">
      <c r="B103" s="24" t="str">
        <f t="shared" si="2"/>
        <v/>
      </c>
      <c r="C103" s="71" t="str">
        <f t="shared" si="3"/>
        <v/>
      </c>
      <c r="E103" s="75"/>
    </row>
    <row r="104" spans="2:5" x14ac:dyDescent="0.25">
      <c r="B104" s="24" t="str">
        <f t="shared" si="2"/>
        <v/>
      </c>
      <c r="C104" s="71" t="str">
        <f t="shared" si="3"/>
        <v/>
      </c>
      <c r="E104" s="75"/>
    </row>
    <row r="105" spans="2:5" x14ac:dyDescent="0.25">
      <c r="B105" s="24" t="str">
        <f t="shared" si="2"/>
        <v/>
      </c>
      <c r="C105" s="71" t="str">
        <f t="shared" si="3"/>
        <v/>
      </c>
      <c r="E105" s="75"/>
    </row>
    <row r="106" spans="2:5" x14ac:dyDescent="0.25">
      <c r="B106" s="24" t="str">
        <f t="shared" si="2"/>
        <v/>
      </c>
      <c r="C106" s="71" t="str">
        <f t="shared" si="3"/>
        <v/>
      </c>
      <c r="E106" s="75"/>
    </row>
    <row r="107" spans="2:5" x14ac:dyDescent="0.25">
      <c r="B107" s="24" t="str">
        <f t="shared" si="2"/>
        <v/>
      </c>
      <c r="C107" s="71" t="str">
        <f t="shared" si="3"/>
        <v/>
      </c>
      <c r="E107" s="75"/>
    </row>
    <row r="108" spans="2:5" x14ac:dyDescent="0.25">
      <c r="B108" s="24" t="str">
        <f t="shared" si="2"/>
        <v/>
      </c>
      <c r="C108" s="71" t="str">
        <f t="shared" si="3"/>
        <v/>
      </c>
      <c r="E108" s="75"/>
    </row>
    <row r="109" spans="2:5" x14ac:dyDescent="0.25">
      <c r="B109" s="24" t="str">
        <f t="shared" si="2"/>
        <v/>
      </c>
      <c r="C109" s="71" t="str">
        <f t="shared" si="3"/>
        <v/>
      </c>
      <c r="E109" s="75"/>
    </row>
    <row r="110" spans="2:5" x14ac:dyDescent="0.25">
      <c r="B110" s="24" t="str">
        <f t="shared" si="2"/>
        <v/>
      </c>
      <c r="C110" s="71" t="str">
        <f t="shared" si="3"/>
        <v/>
      </c>
      <c r="E110" s="75"/>
    </row>
    <row r="111" spans="2:5" x14ac:dyDescent="0.25">
      <c r="B111" s="24" t="str">
        <f t="shared" si="2"/>
        <v/>
      </c>
      <c r="C111" s="71" t="str">
        <f t="shared" si="3"/>
        <v/>
      </c>
      <c r="E111" s="75"/>
    </row>
    <row r="112" spans="2:5" x14ac:dyDescent="0.25">
      <c r="B112" s="24" t="str">
        <f t="shared" si="2"/>
        <v/>
      </c>
      <c r="C112" s="71" t="str">
        <f t="shared" si="3"/>
        <v/>
      </c>
      <c r="E112" s="75"/>
    </row>
    <row r="113" spans="2:5" x14ac:dyDescent="0.25">
      <c r="B113" s="24" t="str">
        <f t="shared" si="2"/>
        <v/>
      </c>
      <c r="C113" s="71" t="str">
        <f t="shared" si="3"/>
        <v/>
      </c>
      <c r="E113" s="75"/>
    </row>
    <row r="114" spans="2:5" x14ac:dyDescent="0.25">
      <c r="B114" s="24" t="str">
        <f t="shared" si="2"/>
        <v/>
      </c>
      <c r="C114" s="71" t="str">
        <f t="shared" si="3"/>
        <v/>
      </c>
      <c r="E114" s="75"/>
    </row>
    <row r="115" spans="2:5" x14ac:dyDescent="0.25">
      <c r="B115" s="24" t="str">
        <f t="shared" si="2"/>
        <v/>
      </c>
      <c r="C115" s="71" t="str">
        <f t="shared" si="3"/>
        <v/>
      </c>
      <c r="E115" s="75"/>
    </row>
    <row r="116" spans="2:5" x14ac:dyDescent="0.25">
      <c r="B116" s="24" t="str">
        <f t="shared" si="2"/>
        <v/>
      </c>
      <c r="C116" s="71" t="str">
        <f t="shared" si="3"/>
        <v/>
      </c>
      <c r="E116" s="75"/>
    </row>
    <row r="117" spans="2:5" x14ac:dyDescent="0.25">
      <c r="B117" s="24" t="str">
        <f t="shared" si="2"/>
        <v/>
      </c>
      <c r="C117" s="71" t="str">
        <f t="shared" si="3"/>
        <v/>
      </c>
      <c r="E117" s="75"/>
    </row>
    <row r="118" spans="2:5" x14ac:dyDescent="0.25">
      <c r="B118" s="24" t="str">
        <f t="shared" si="2"/>
        <v/>
      </c>
      <c r="C118" s="71" t="str">
        <f t="shared" si="3"/>
        <v/>
      </c>
      <c r="E118" s="75"/>
    </row>
    <row r="119" spans="2:5" x14ac:dyDescent="0.25">
      <c r="B119" s="24" t="str">
        <f t="shared" si="2"/>
        <v/>
      </c>
      <c r="C119" s="71" t="str">
        <f t="shared" si="3"/>
        <v/>
      </c>
      <c r="E119" s="75"/>
    </row>
    <row r="120" spans="2:5" x14ac:dyDescent="0.25">
      <c r="B120" s="24" t="str">
        <f t="shared" si="2"/>
        <v/>
      </c>
      <c r="C120" s="71" t="str">
        <f t="shared" si="3"/>
        <v/>
      </c>
      <c r="E120" s="75"/>
    </row>
    <row r="121" spans="2:5" x14ac:dyDescent="0.25">
      <c r="B121" s="24" t="str">
        <f t="shared" si="2"/>
        <v/>
      </c>
      <c r="C121" s="71" t="str">
        <f t="shared" si="3"/>
        <v/>
      </c>
      <c r="E121" s="75"/>
    </row>
    <row r="122" spans="2:5" x14ac:dyDescent="0.25">
      <c r="B122" s="24" t="str">
        <f t="shared" si="2"/>
        <v/>
      </c>
      <c r="C122" s="71" t="str">
        <f t="shared" si="3"/>
        <v/>
      </c>
      <c r="E122" s="75"/>
    </row>
    <row r="123" spans="2:5" x14ac:dyDescent="0.25">
      <c r="B123" s="24" t="str">
        <f t="shared" si="2"/>
        <v/>
      </c>
      <c r="C123" s="71" t="str">
        <f t="shared" si="3"/>
        <v/>
      </c>
      <c r="E123" s="75"/>
    </row>
    <row r="124" spans="2:5" x14ac:dyDescent="0.25">
      <c r="B124" s="24" t="str">
        <f t="shared" si="2"/>
        <v/>
      </c>
      <c r="C124" s="71" t="str">
        <f t="shared" si="3"/>
        <v/>
      </c>
      <c r="E124" s="75"/>
    </row>
    <row r="125" spans="2:5" x14ac:dyDescent="0.25">
      <c r="B125" s="24" t="str">
        <f t="shared" si="2"/>
        <v/>
      </c>
      <c r="C125" s="71" t="str">
        <f t="shared" si="3"/>
        <v/>
      </c>
      <c r="E125" s="75"/>
    </row>
    <row r="126" spans="2:5" x14ac:dyDescent="0.25">
      <c r="B126" s="24" t="str">
        <f t="shared" si="2"/>
        <v/>
      </c>
      <c r="C126" s="71" t="str">
        <f t="shared" si="3"/>
        <v/>
      </c>
      <c r="E126" s="75"/>
    </row>
    <row r="127" spans="2:5" x14ac:dyDescent="0.25">
      <c r="B127" s="24" t="str">
        <f t="shared" si="2"/>
        <v/>
      </c>
      <c r="C127" s="71" t="str">
        <f t="shared" si="3"/>
        <v/>
      </c>
      <c r="E127" s="75"/>
    </row>
    <row r="128" spans="2:5" x14ac:dyDescent="0.25">
      <c r="B128" s="24" t="str">
        <f t="shared" si="2"/>
        <v/>
      </c>
      <c r="C128" s="71" t="str">
        <f t="shared" si="3"/>
        <v/>
      </c>
      <c r="E128" s="75"/>
    </row>
    <row r="129" spans="2:5" x14ac:dyDescent="0.25">
      <c r="B129" s="24" t="str">
        <f t="shared" si="2"/>
        <v/>
      </c>
      <c r="C129" s="71" t="str">
        <f t="shared" si="3"/>
        <v/>
      </c>
      <c r="E129" s="75"/>
    </row>
    <row r="130" spans="2:5" x14ac:dyDescent="0.25">
      <c r="B130" s="24" t="str">
        <f t="shared" si="2"/>
        <v/>
      </c>
      <c r="C130" s="71" t="str">
        <f t="shared" si="3"/>
        <v/>
      </c>
      <c r="E130" s="75"/>
    </row>
    <row r="131" spans="2:5" x14ac:dyDescent="0.25">
      <c r="B131" s="24" t="str">
        <f t="shared" si="2"/>
        <v/>
      </c>
      <c r="C131" s="71" t="str">
        <f t="shared" si="3"/>
        <v/>
      </c>
      <c r="E131" s="75"/>
    </row>
    <row r="132" spans="2:5" x14ac:dyDescent="0.25">
      <c r="B132" s="24" t="str">
        <f t="shared" si="2"/>
        <v/>
      </c>
      <c r="C132" s="71" t="str">
        <f t="shared" si="3"/>
        <v/>
      </c>
      <c r="E132" s="75"/>
    </row>
    <row r="133" spans="2:5" x14ac:dyDescent="0.25">
      <c r="B133" s="24" t="str">
        <f t="shared" si="2"/>
        <v/>
      </c>
      <c r="C133" s="71" t="str">
        <f t="shared" si="3"/>
        <v/>
      </c>
      <c r="E133" s="75"/>
    </row>
    <row r="134" spans="2:5" x14ac:dyDescent="0.25">
      <c r="B134" s="24" t="str">
        <f t="shared" si="2"/>
        <v/>
      </c>
      <c r="C134" s="71" t="str">
        <f t="shared" si="3"/>
        <v/>
      </c>
      <c r="E134" s="75"/>
    </row>
    <row r="135" spans="2:5" x14ac:dyDescent="0.25">
      <c r="B135" s="24" t="str">
        <f t="shared" ref="B135:B198" si="4">IF(ROW()&lt;comau+7,ROW()-6,"")</f>
        <v/>
      </c>
      <c r="C135" s="71" t="str">
        <f t="shared" si="3"/>
        <v/>
      </c>
      <c r="E135" s="75"/>
    </row>
    <row r="136" spans="2:5" x14ac:dyDescent="0.25">
      <c r="B136" s="24" t="str">
        <f t="shared" si="4"/>
        <v/>
      </c>
      <c r="C136" s="71" t="str">
        <f t="shared" ref="C136:C199" si="5">IF(B136&lt;&gt;"",xuatphat+khoangcach*B135,"")</f>
        <v/>
      </c>
      <c r="E136" s="75"/>
    </row>
    <row r="137" spans="2:5" x14ac:dyDescent="0.25">
      <c r="B137" s="24" t="str">
        <f t="shared" si="4"/>
        <v/>
      </c>
      <c r="C137" s="71" t="str">
        <f t="shared" si="5"/>
        <v/>
      </c>
      <c r="E137" s="75"/>
    </row>
    <row r="138" spans="2:5" x14ac:dyDescent="0.25">
      <c r="B138" s="24" t="str">
        <f t="shared" si="4"/>
        <v/>
      </c>
      <c r="C138" s="71" t="str">
        <f t="shared" si="5"/>
        <v/>
      </c>
      <c r="E138" s="75"/>
    </row>
    <row r="139" spans="2:5" x14ac:dyDescent="0.25">
      <c r="B139" s="24" t="str">
        <f t="shared" si="4"/>
        <v/>
      </c>
      <c r="C139" s="71" t="str">
        <f t="shared" si="5"/>
        <v/>
      </c>
      <c r="E139" s="75"/>
    </row>
    <row r="140" spans="2:5" x14ac:dyDescent="0.25">
      <c r="B140" s="24" t="str">
        <f t="shared" si="4"/>
        <v/>
      </c>
      <c r="C140" s="71" t="str">
        <f t="shared" si="5"/>
        <v/>
      </c>
      <c r="E140" s="75"/>
    </row>
    <row r="141" spans="2:5" x14ac:dyDescent="0.25">
      <c r="B141" s="24" t="str">
        <f t="shared" si="4"/>
        <v/>
      </c>
      <c r="C141" s="71" t="str">
        <f t="shared" si="5"/>
        <v/>
      </c>
      <c r="E141" s="75"/>
    </row>
    <row r="142" spans="2:5" x14ac:dyDescent="0.25">
      <c r="B142" s="24" t="str">
        <f t="shared" si="4"/>
        <v/>
      </c>
      <c r="C142" s="71" t="str">
        <f t="shared" si="5"/>
        <v/>
      </c>
      <c r="E142" s="75"/>
    </row>
    <row r="143" spans="2:5" x14ac:dyDescent="0.25">
      <c r="B143" s="24" t="str">
        <f t="shared" si="4"/>
        <v/>
      </c>
      <c r="C143" s="71" t="str">
        <f t="shared" si="5"/>
        <v/>
      </c>
      <c r="E143" s="75"/>
    </row>
    <row r="144" spans="2:5" x14ac:dyDescent="0.25">
      <c r="B144" s="24" t="str">
        <f t="shared" si="4"/>
        <v/>
      </c>
      <c r="C144" s="71" t="str">
        <f t="shared" si="5"/>
        <v/>
      </c>
      <c r="E144" s="75"/>
    </row>
    <row r="145" spans="2:5" x14ac:dyDescent="0.25">
      <c r="B145" s="24" t="str">
        <f t="shared" si="4"/>
        <v/>
      </c>
      <c r="C145" s="71" t="str">
        <f t="shared" si="5"/>
        <v/>
      </c>
      <c r="E145" s="75"/>
    </row>
    <row r="146" spans="2:5" x14ac:dyDescent="0.25">
      <c r="B146" s="24" t="str">
        <f t="shared" si="4"/>
        <v/>
      </c>
      <c r="C146" s="71" t="str">
        <f t="shared" si="5"/>
        <v/>
      </c>
      <c r="E146" s="75"/>
    </row>
    <row r="147" spans="2:5" x14ac:dyDescent="0.25">
      <c r="B147" s="24" t="str">
        <f t="shared" si="4"/>
        <v/>
      </c>
      <c r="C147" s="71" t="str">
        <f t="shared" si="5"/>
        <v/>
      </c>
      <c r="E147" s="75"/>
    </row>
    <row r="148" spans="2:5" x14ac:dyDescent="0.25">
      <c r="B148" s="24" t="str">
        <f t="shared" si="4"/>
        <v/>
      </c>
      <c r="C148" s="71" t="str">
        <f t="shared" si="5"/>
        <v/>
      </c>
      <c r="E148" s="75"/>
    </row>
    <row r="149" spans="2:5" x14ac:dyDescent="0.25">
      <c r="B149" s="24" t="str">
        <f t="shared" si="4"/>
        <v/>
      </c>
      <c r="C149" s="71" t="str">
        <f t="shared" si="5"/>
        <v/>
      </c>
      <c r="E149" s="75"/>
    </row>
    <row r="150" spans="2:5" x14ac:dyDescent="0.25">
      <c r="B150" s="24" t="str">
        <f t="shared" si="4"/>
        <v/>
      </c>
      <c r="C150" s="71" t="str">
        <f t="shared" si="5"/>
        <v/>
      </c>
      <c r="E150" s="75"/>
    </row>
    <row r="151" spans="2:5" x14ac:dyDescent="0.25">
      <c r="B151" s="24" t="str">
        <f t="shared" si="4"/>
        <v/>
      </c>
      <c r="C151" s="71" t="str">
        <f t="shared" si="5"/>
        <v/>
      </c>
      <c r="E151" s="75"/>
    </row>
    <row r="152" spans="2:5" x14ac:dyDescent="0.25">
      <c r="B152" s="24" t="str">
        <f t="shared" si="4"/>
        <v/>
      </c>
      <c r="C152" s="71" t="str">
        <f t="shared" si="5"/>
        <v/>
      </c>
      <c r="E152" s="75"/>
    </row>
    <row r="153" spans="2:5" x14ac:dyDescent="0.25">
      <c r="B153" s="24" t="str">
        <f t="shared" si="4"/>
        <v/>
      </c>
      <c r="C153" s="71" t="str">
        <f t="shared" si="5"/>
        <v/>
      </c>
      <c r="E153" s="75"/>
    </row>
    <row r="154" spans="2:5" x14ac:dyDescent="0.25">
      <c r="B154" s="24" t="str">
        <f t="shared" si="4"/>
        <v/>
      </c>
      <c r="C154" s="71" t="str">
        <f t="shared" si="5"/>
        <v/>
      </c>
      <c r="E154" s="75"/>
    </row>
    <row r="155" spans="2:5" x14ac:dyDescent="0.25">
      <c r="B155" s="24" t="str">
        <f t="shared" si="4"/>
        <v/>
      </c>
      <c r="C155" s="71" t="str">
        <f t="shared" si="5"/>
        <v/>
      </c>
      <c r="E155" s="75"/>
    </row>
    <row r="156" spans="2:5" x14ac:dyDescent="0.25">
      <c r="B156" s="24" t="str">
        <f t="shared" si="4"/>
        <v/>
      </c>
      <c r="C156" s="71" t="str">
        <f t="shared" si="5"/>
        <v/>
      </c>
      <c r="E156" s="75"/>
    </row>
    <row r="157" spans="2:5" x14ac:dyDescent="0.25">
      <c r="B157" s="24" t="str">
        <f t="shared" si="4"/>
        <v/>
      </c>
      <c r="C157" s="71" t="str">
        <f t="shared" si="5"/>
        <v/>
      </c>
      <c r="E157" s="75"/>
    </row>
    <row r="158" spans="2:5" x14ac:dyDescent="0.25">
      <c r="B158" s="24" t="str">
        <f t="shared" si="4"/>
        <v/>
      </c>
      <c r="C158" s="71" t="str">
        <f t="shared" si="5"/>
        <v/>
      </c>
      <c r="E158" s="75"/>
    </row>
    <row r="159" spans="2:5" x14ac:dyDescent="0.25">
      <c r="B159" s="24" t="str">
        <f t="shared" si="4"/>
        <v/>
      </c>
      <c r="C159" s="71" t="str">
        <f t="shared" si="5"/>
        <v/>
      </c>
      <c r="E159" s="75"/>
    </row>
    <row r="160" spans="2:5" x14ac:dyDescent="0.25">
      <c r="B160" s="24" t="str">
        <f t="shared" si="4"/>
        <v/>
      </c>
      <c r="C160" s="71" t="str">
        <f t="shared" si="5"/>
        <v/>
      </c>
      <c r="E160" s="75"/>
    </row>
    <row r="161" spans="2:5" x14ac:dyDescent="0.25">
      <c r="B161" s="24" t="str">
        <f t="shared" si="4"/>
        <v/>
      </c>
      <c r="C161" s="71" t="str">
        <f t="shared" si="5"/>
        <v/>
      </c>
      <c r="E161" s="75"/>
    </row>
    <row r="162" spans="2:5" x14ac:dyDescent="0.25">
      <c r="B162" s="24" t="str">
        <f t="shared" si="4"/>
        <v/>
      </c>
      <c r="C162" s="71" t="str">
        <f t="shared" si="5"/>
        <v/>
      </c>
      <c r="E162" s="75"/>
    </row>
    <row r="163" spans="2:5" x14ac:dyDescent="0.25">
      <c r="B163" s="24" t="str">
        <f t="shared" si="4"/>
        <v/>
      </c>
      <c r="C163" s="71" t="str">
        <f t="shared" si="5"/>
        <v/>
      </c>
      <c r="E163" s="75"/>
    </row>
    <row r="164" spans="2:5" x14ac:dyDescent="0.25">
      <c r="B164" s="24" t="str">
        <f t="shared" si="4"/>
        <v/>
      </c>
      <c r="C164" s="71" t="str">
        <f t="shared" si="5"/>
        <v/>
      </c>
      <c r="E164" s="75"/>
    </row>
    <row r="165" spans="2:5" x14ac:dyDescent="0.25">
      <c r="B165" s="24" t="str">
        <f t="shared" si="4"/>
        <v/>
      </c>
      <c r="C165" s="71" t="str">
        <f t="shared" si="5"/>
        <v/>
      </c>
      <c r="E165" s="75"/>
    </row>
    <row r="166" spans="2:5" x14ac:dyDescent="0.25">
      <c r="B166" s="24" t="str">
        <f t="shared" si="4"/>
        <v/>
      </c>
      <c r="C166" s="71" t="str">
        <f t="shared" si="5"/>
        <v/>
      </c>
      <c r="E166" s="75"/>
    </row>
    <row r="167" spans="2:5" x14ac:dyDescent="0.25">
      <c r="B167" s="24" t="str">
        <f t="shared" si="4"/>
        <v/>
      </c>
      <c r="C167" s="71" t="str">
        <f t="shared" si="5"/>
        <v/>
      </c>
      <c r="E167" s="75"/>
    </row>
    <row r="168" spans="2:5" x14ac:dyDescent="0.25">
      <c r="B168" s="24" t="str">
        <f t="shared" si="4"/>
        <v/>
      </c>
      <c r="C168" s="71" t="str">
        <f t="shared" si="5"/>
        <v/>
      </c>
      <c r="E168" s="75"/>
    </row>
    <row r="169" spans="2:5" x14ac:dyDescent="0.25">
      <c r="B169" s="24" t="str">
        <f t="shared" si="4"/>
        <v/>
      </c>
      <c r="C169" s="71" t="str">
        <f t="shared" si="5"/>
        <v/>
      </c>
      <c r="E169" s="75"/>
    </row>
    <row r="170" spans="2:5" x14ac:dyDescent="0.25">
      <c r="B170" s="24" t="str">
        <f t="shared" si="4"/>
        <v/>
      </c>
      <c r="C170" s="71" t="str">
        <f t="shared" si="5"/>
        <v/>
      </c>
      <c r="E170" s="75"/>
    </row>
    <row r="171" spans="2:5" x14ac:dyDescent="0.25">
      <c r="B171" s="24" t="str">
        <f t="shared" si="4"/>
        <v/>
      </c>
      <c r="C171" s="71" t="str">
        <f t="shared" si="5"/>
        <v/>
      </c>
      <c r="E171" s="75"/>
    </row>
    <row r="172" spans="2:5" x14ac:dyDescent="0.25">
      <c r="B172" s="24" t="str">
        <f t="shared" si="4"/>
        <v/>
      </c>
      <c r="C172" s="71" t="str">
        <f t="shared" si="5"/>
        <v/>
      </c>
      <c r="E172" s="75"/>
    </row>
    <row r="173" spans="2:5" x14ac:dyDescent="0.25">
      <c r="B173" s="24" t="str">
        <f t="shared" si="4"/>
        <v/>
      </c>
      <c r="C173" s="71" t="str">
        <f t="shared" si="5"/>
        <v/>
      </c>
      <c r="E173" s="75"/>
    </row>
    <row r="174" spans="2:5" x14ac:dyDescent="0.25">
      <c r="B174" s="24" t="str">
        <f t="shared" si="4"/>
        <v/>
      </c>
      <c r="C174" s="71" t="str">
        <f t="shared" si="5"/>
        <v/>
      </c>
      <c r="E174" s="75"/>
    </row>
    <row r="175" spans="2:5" x14ac:dyDescent="0.25">
      <c r="B175" s="24" t="str">
        <f t="shared" si="4"/>
        <v/>
      </c>
      <c r="C175" s="71" t="str">
        <f t="shared" si="5"/>
        <v/>
      </c>
      <c r="E175" s="75"/>
    </row>
    <row r="176" spans="2:5" x14ac:dyDescent="0.25">
      <c r="B176" s="24" t="str">
        <f t="shared" si="4"/>
        <v/>
      </c>
      <c r="C176" s="71" t="str">
        <f t="shared" si="5"/>
        <v/>
      </c>
      <c r="E176" s="75"/>
    </row>
    <row r="177" spans="2:5" x14ac:dyDescent="0.25">
      <c r="B177" s="24" t="str">
        <f t="shared" si="4"/>
        <v/>
      </c>
      <c r="C177" s="71" t="str">
        <f t="shared" si="5"/>
        <v/>
      </c>
      <c r="E177" s="75"/>
    </row>
    <row r="178" spans="2:5" x14ac:dyDescent="0.25">
      <c r="B178" s="24" t="str">
        <f t="shared" si="4"/>
        <v/>
      </c>
      <c r="C178" s="71" t="str">
        <f t="shared" si="5"/>
        <v/>
      </c>
      <c r="E178" s="75"/>
    </row>
    <row r="179" spans="2:5" x14ac:dyDescent="0.25">
      <c r="B179" s="24" t="str">
        <f t="shared" si="4"/>
        <v/>
      </c>
      <c r="C179" s="71" t="str">
        <f t="shared" si="5"/>
        <v/>
      </c>
      <c r="E179" s="75"/>
    </row>
    <row r="180" spans="2:5" x14ac:dyDescent="0.25">
      <c r="B180" s="24" t="str">
        <f t="shared" si="4"/>
        <v/>
      </c>
      <c r="C180" s="71" t="str">
        <f t="shared" si="5"/>
        <v/>
      </c>
      <c r="E180" s="75"/>
    </row>
    <row r="181" spans="2:5" x14ac:dyDescent="0.25">
      <c r="B181" s="24" t="str">
        <f t="shared" si="4"/>
        <v/>
      </c>
      <c r="C181" s="71" t="str">
        <f t="shared" si="5"/>
        <v/>
      </c>
      <c r="E181" s="75"/>
    </row>
    <row r="182" spans="2:5" x14ac:dyDescent="0.25">
      <c r="B182" s="24" t="str">
        <f t="shared" si="4"/>
        <v/>
      </c>
      <c r="C182" s="71" t="str">
        <f t="shared" si="5"/>
        <v/>
      </c>
      <c r="E182" s="75"/>
    </row>
    <row r="183" spans="2:5" x14ac:dyDescent="0.25">
      <c r="B183" s="24" t="str">
        <f t="shared" si="4"/>
        <v/>
      </c>
      <c r="C183" s="71" t="str">
        <f t="shared" si="5"/>
        <v/>
      </c>
      <c r="E183" s="75"/>
    </row>
    <row r="184" spans="2:5" x14ac:dyDescent="0.25">
      <c r="B184" s="24" t="str">
        <f t="shared" si="4"/>
        <v/>
      </c>
      <c r="C184" s="71" t="str">
        <f t="shared" si="5"/>
        <v/>
      </c>
      <c r="E184" s="75"/>
    </row>
    <row r="185" spans="2:5" x14ac:dyDescent="0.25">
      <c r="B185" s="24" t="str">
        <f t="shared" si="4"/>
        <v/>
      </c>
      <c r="C185" s="71" t="str">
        <f t="shared" si="5"/>
        <v/>
      </c>
      <c r="E185" s="75"/>
    </row>
    <row r="186" spans="2:5" x14ac:dyDescent="0.25">
      <c r="B186" s="24" t="str">
        <f t="shared" si="4"/>
        <v/>
      </c>
      <c r="C186" s="71" t="str">
        <f t="shared" si="5"/>
        <v/>
      </c>
      <c r="E186" s="75"/>
    </row>
    <row r="187" spans="2:5" x14ac:dyDescent="0.25">
      <c r="B187" s="24" t="str">
        <f t="shared" si="4"/>
        <v/>
      </c>
      <c r="C187" s="71" t="str">
        <f t="shared" si="5"/>
        <v/>
      </c>
      <c r="E187" s="75"/>
    </row>
    <row r="188" spans="2:5" x14ac:dyDescent="0.25">
      <c r="B188" s="24" t="str">
        <f t="shared" si="4"/>
        <v/>
      </c>
      <c r="C188" s="71" t="str">
        <f t="shared" si="5"/>
        <v/>
      </c>
      <c r="E188" s="75"/>
    </row>
    <row r="189" spans="2:5" x14ac:dyDescent="0.25">
      <c r="B189" s="24" t="str">
        <f t="shared" si="4"/>
        <v/>
      </c>
      <c r="C189" s="71" t="str">
        <f t="shared" si="5"/>
        <v/>
      </c>
      <c r="E189" s="75"/>
    </row>
    <row r="190" spans="2:5" x14ac:dyDescent="0.25">
      <c r="B190" s="24" t="str">
        <f t="shared" si="4"/>
        <v/>
      </c>
      <c r="C190" s="71" t="str">
        <f t="shared" si="5"/>
        <v/>
      </c>
      <c r="E190" s="75"/>
    </row>
    <row r="191" spans="2:5" x14ac:dyDescent="0.25">
      <c r="B191" s="24" t="str">
        <f t="shared" si="4"/>
        <v/>
      </c>
      <c r="C191" s="71" t="str">
        <f t="shared" si="5"/>
        <v/>
      </c>
      <c r="E191" s="75"/>
    </row>
    <row r="192" spans="2:5" x14ac:dyDescent="0.25">
      <c r="B192" s="24" t="str">
        <f t="shared" si="4"/>
        <v/>
      </c>
      <c r="C192" s="71" t="str">
        <f t="shared" si="5"/>
        <v/>
      </c>
      <c r="E192" s="75"/>
    </row>
    <row r="193" spans="2:5" x14ac:dyDescent="0.25">
      <c r="B193" s="24" t="str">
        <f t="shared" si="4"/>
        <v/>
      </c>
      <c r="C193" s="71" t="str">
        <f t="shared" si="5"/>
        <v/>
      </c>
      <c r="E193" s="75"/>
    </row>
    <row r="194" spans="2:5" x14ac:dyDescent="0.25">
      <c r="B194" s="24" t="str">
        <f t="shared" si="4"/>
        <v/>
      </c>
      <c r="C194" s="71" t="str">
        <f t="shared" si="5"/>
        <v/>
      </c>
      <c r="E194" s="75"/>
    </row>
    <row r="195" spans="2:5" x14ac:dyDescent="0.25">
      <c r="B195" s="24" t="str">
        <f t="shared" si="4"/>
        <v/>
      </c>
      <c r="C195" s="71" t="str">
        <f t="shared" si="5"/>
        <v/>
      </c>
      <c r="E195" s="75"/>
    </row>
    <row r="196" spans="2:5" x14ac:dyDescent="0.25">
      <c r="B196" s="24" t="str">
        <f t="shared" si="4"/>
        <v/>
      </c>
      <c r="C196" s="71" t="str">
        <f t="shared" si="5"/>
        <v/>
      </c>
      <c r="E196" s="75"/>
    </row>
    <row r="197" spans="2:5" x14ac:dyDescent="0.25">
      <c r="B197" s="24" t="str">
        <f t="shared" si="4"/>
        <v/>
      </c>
      <c r="C197" s="71" t="str">
        <f t="shared" si="5"/>
        <v/>
      </c>
      <c r="E197" s="75"/>
    </row>
    <row r="198" spans="2:5" x14ac:dyDescent="0.25">
      <c r="B198" s="24" t="str">
        <f t="shared" si="4"/>
        <v/>
      </c>
      <c r="C198" s="71" t="str">
        <f t="shared" si="5"/>
        <v/>
      </c>
      <c r="E198" s="75"/>
    </row>
    <row r="199" spans="2:5" x14ac:dyDescent="0.25">
      <c r="B199" s="24" t="str">
        <f t="shared" ref="B199:B257" si="6">IF(ROW()&lt;comau+7,ROW()-6,"")</f>
        <v/>
      </c>
      <c r="C199" s="71" t="str">
        <f t="shared" si="5"/>
        <v/>
      </c>
      <c r="E199" s="75"/>
    </row>
    <row r="200" spans="2:5" x14ac:dyDescent="0.25">
      <c r="B200" s="24" t="str">
        <f t="shared" si="6"/>
        <v/>
      </c>
      <c r="C200" s="71" t="str">
        <f t="shared" ref="C200:C257" si="7">IF(B200&lt;&gt;"",xuatphat+khoangcach*B199,"")</f>
        <v/>
      </c>
      <c r="E200" s="75"/>
    </row>
    <row r="201" spans="2:5" x14ac:dyDescent="0.25">
      <c r="B201" s="24" t="str">
        <f t="shared" si="6"/>
        <v/>
      </c>
      <c r="C201" s="71" t="str">
        <f t="shared" si="7"/>
        <v/>
      </c>
      <c r="E201" s="75"/>
    </row>
    <row r="202" spans="2:5" x14ac:dyDescent="0.25">
      <c r="B202" s="24" t="str">
        <f t="shared" si="6"/>
        <v/>
      </c>
      <c r="C202" s="71" t="str">
        <f t="shared" si="7"/>
        <v/>
      </c>
      <c r="E202" s="75"/>
    </row>
    <row r="203" spans="2:5" x14ac:dyDescent="0.25">
      <c r="B203" s="24" t="str">
        <f t="shared" si="6"/>
        <v/>
      </c>
      <c r="C203" s="71" t="str">
        <f t="shared" si="7"/>
        <v/>
      </c>
      <c r="E203" s="75"/>
    </row>
    <row r="204" spans="2:5" x14ac:dyDescent="0.25">
      <c r="B204" s="24" t="str">
        <f t="shared" si="6"/>
        <v/>
      </c>
      <c r="C204" s="71" t="str">
        <f t="shared" si="7"/>
        <v/>
      </c>
      <c r="E204" s="75"/>
    </row>
    <row r="205" spans="2:5" x14ac:dyDescent="0.25">
      <c r="B205" s="24" t="str">
        <f t="shared" si="6"/>
        <v/>
      </c>
      <c r="C205" s="71" t="str">
        <f t="shared" si="7"/>
        <v/>
      </c>
      <c r="E205" s="75"/>
    </row>
    <row r="206" spans="2:5" x14ac:dyDescent="0.25">
      <c r="B206" s="24" t="str">
        <f t="shared" si="6"/>
        <v/>
      </c>
      <c r="C206" s="71" t="str">
        <f t="shared" si="7"/>
        <v/>
      </c>
      <c r="E206" s="75"/>
    </row>
    <row r="207" spans="2:5" x14ac:dyDescent="0.25">
      <c r="B207" s="24" t="str">
        <f t="shared" si="6"/>
        <v/>
      </c>
      <c r="C207" s="71" t="str">
        <f t="shared" si="7"/>
        <v/>
      </c>
      <c r="E207" s="75"/>
    </row>
    <row r="208" spans="2:5" x14ac:dyDescent="0.25">
      <c r="B208" s="24" t="str">
        <f t="shared" si="6"/>
        <v/>
      </c>
      <c r="C208" s="71" t="str">
        <f t="shared" si="7"/>
        <v/>
      </c>
      <c r="E208" s="75"/>
    </row>
    <row r="209" spans="2:5" x14ac:dyDescent="0.25">
      <c r="B209" s="24" t="str">
        <f t="shared" si="6"/>
        <v/>
      </c>
      <c r="C209" s="71" t="str">
        <f t="shared" si="7"/>
        <v/>
      </c>
      <c r="E209" s="75"/>
    </row>
    <row r="210" spans="2:5" x14ac:dyDescent="0.25">
      <c r="B210" s="24" t="str">
        <f t="shared" si="6"/>
        <v/>
      </c>
      <c r="C210" s="71" t="str">
        <f t="shared" si="7"/>
        <v/>
      </c>
      <c r="E210" s="75"/>
    </row>
    <row r="211" spans="2:5" x14ac:dyDescent="0.25">
      <c r="B211" s="24" t="str">
        <f t="shared" si="6"/>
        <v/>
      </c>
      <c r="C211" s="71" t="str">
        <f t="shared" si="7"/>
        <v/>
      </c>
      <c r="E211" s="75"/>
    </row>
    <row r="212" spans="2:5" x14ac:dyDescent="0.25">
      <c r="B212" s="24" t="str">
        <f t="shared" si="6"/>
        <v/>
      </c>
      <c r="C212" s="71" t="str">
        <f t="shared" si="7"/>
        <v/>
      </c>
      <c r="E212" s="75"/>
    </row>
    <row r="213" spans="2:5" x14ac:dyDescent="0.25">
      <c r="B213" s="24" t="str">
        <f t="shared" si="6"/>
        <v/>
      </c>
      <c r="C213" s="71" t="str">
        <f t="shared" si="7"/>
        <v/>
      </c>
      <c r="E213" s="75"/>
    </row>
    <row r="214" spans="2:5" x14ac:dyDescent="0.25">
      <c r="B214" s="24" t="str">
        <f t="shared" si="6"/>
        <v/>
      </c>
      <c r="C214" s="71" t="str">
        <f t="shared" si="7"/>
        <v/>
      </c>
      <c r="E214" s="75"/>
    </row>
    <row r="215" spans="2:5" x14ac:dyDescent="0.25">
      <c r="B215" s="24" t="str">
        <f t="shared" si="6"/>
        <v/>
      </c>
      <c r="C215" s="71" t="str">
        <f t="shared" si="7"/>
        <v/>
      </c>
      <c r="E215" s="75"/>
    </row>
    <row r="216" spans="2:5" x14ac:dyDescent="0.25">
      <c r="B216" s="24" t="str">
        <f t="shared" si="6"/>
        <v/>
      </c>
      <c r="C216" s="71" t="str">
        <f t="shared" si="7"/>
        <v/>
      </c>
      <c r="E216" s="75"/>
    </row>
    <row r="217" spans="2:5" x14ac:dyDescent="0.25">
      <c r="B217" s="24" t="str">
        <f t="shared" si="6"/>
        <v/>
      </c>
      <c r="C217" s="71" t="str">
        <f t="shared" si="7"/>
        <v/>
      </c>
      <c r="E217" s="75"/>
    </row>
    <row r="218" spans="2:5" x14ac:dyDescent="0.25">
      <c r="B218" s="24" t="str">
        <f t="shared" si="6"/>
        <v/>
      </c>
      <c r="C218" s="71" t="str">
        <f t="shared" si="7"/>
        <v/>
      </c>
      <c r="E218" s="75"/>
    </row>
    <row r="219" spans="2:5" x14ac:dyDescent="0.25">
      <c r="B219" s="24" t="str">
        <f t="shared" si="6"/>
        <v/>
      </c>
      <c r="C219" s="71" t="str">
        <f t="shared" si="7"/>
        <v/>
      </c>
      <c r="E219" s="75"/>
    </row>
    <row r="220" spans="2:5" x14ac:dyDescent="0.25">
      <c r="B220" s="24" t="str">
        <f t="shared" si="6"/>
        <v/>
      </c>
      <c r="C220" s="71" t="str">
        <f t="shared" si="7"/>
        <v/>
      </c>
      <c r="E220" s="75"/>
    </row>
    <row r="221" spans="2:5" x14ac:dyDescent="0.25">
      <c r="B221" s="24" t="str">
        <f t="shared" si="6"/>
        <v/>
      </c>
      <c r="C221" s="71" t="str">
        <f t="shared" si="7"/>
        <v/>
      </c>
      <c r="E221" s="75"/>
    </row>
    <row r="222" spans="2:5" x14ac:dyDescent="0.25">
      <c r="B222" s="24" t="str">
        <f t="shared" si="6"/>
        <v/>
      </c>
      <c r="C222" s="71" t="str">
        <f t="shared" si="7"/>
        <v/>
      </c>
      <c r="E222" s="75"/>
    </row>
    <row r="223" spans="2:5" x14ac:dyDescent="0.25">
      <c r="B223" s="24" t="str">
        <f t="shared" si="6"/>
        <v/>
      </c>
      <c r="C223" s="71" t="str">
        <f t="shared" si="7"/>
        <v/>
      </c>
      <c r="E223" s="75"/>
    </row>
    <row r="224" spans="2:5" x14ac:dyDescent="0.25">
      <c r="B224" s="24" t="str">
        <f t="shared" si="6"/>
        <v/>
      </c>
      <c r="C224" s="71" t="str">
        <f t="shared" si="7"/>
        <v/>
      </c>
      <c r="E224" s="75"/>
    </row>
    <row r="225" spans="2:5" x14ac:dyDescent="0.25">
      <c r="B225" s="24" t="str">
        <f t="shared" si="6"/>
        <v/>
      </c>
      <c r="C225" s="71" t="str">
        <f t="shared" si="7"/>
        <v/>
      </c>
      <c r="E225" s="75"/>
    </row>
    <row r="226" spans="2:5" x14ac:dyDescent="0.25">
      <c r="B226" s="24" t="str">
        <f t="shared" si="6"/>
        <v/>
      </c>
      <c r="C226" s="71" t="str">
        <f t="shared" si="7"/>
        <v/>
      </c>
      <c r="E226" s="75"/>
    </row>
    <row r="227" spans="2:5" x14ac:dyDescent="0.25">
      <c r="B227" s="24" t="str">
        <f t="shared" si="6"/>
        <v/>
      </c>
      <c r="C227" s="71" t="str">
        <f t="shared" si="7"/>
        <v/>
      </c>
      <c r="E227" s="75"/>
    </row>
    <row r="228" spans="2:5" x14ac:dyDescent="0.25">
      <c r="B228" s="24" t="str">
        <f t="shared" si="6"/>
        <v/>
      </c>
      <c r="C228" s="71" t="str">
        <f t="shared" si="7"/>
        <v/>
      </c>
      <c r="E228" s="75"/>
    </row>
    <row r="229" spans="2:5" x14ac:dyDescent="0.25">
      <c r="B229" s="24" t="str">
        <f t="shared" si="6"/>
        <v/>
      </c>
      <c r="C229" s="71" t="str">
        <f t="shared" si="7"/>
        <v/>
      </c>
      <c r="E229" s="75"/>
    </row>
    <row r="230" spans="2:5" x14ac:dyDescent="0.25">
      <c r="B230" s="24" t="str">
        <f t="shared" si="6"/>
        <v/>
      </c>
      <c r="C230" s="71" t="str">
        <f t="shared" si="7"/>
        <v/>
      </c>
      <c r="E230" s="75"/>
    </row>
    <row r="231" spans="2:5" x14ac:dyDescent="0.25">
      <c r="B231" s="24" t="str">
        <f t="shared" si="6"/>
        <v/>
      </c>
      <c r="C231" s="71" t="str">
        <f t="shared" si="7"/>
        <v/>
      </c>
      <c r="E231" s="75"/>
    </row>
    <row r="232" spans="2:5" x14ac:dyDescent="0.25">
      <c r="B232" s="24" t="str">
        <f t="shared" si="6"/>
        <v/>
      </c>
      <c r="C232" s="71" t="str">
        <f t="shared" si="7"/>
        <v/>
      </c>
      <c r="E232" s="75"/>
    </row>
    <row r="233" spans="2:5" x14ac:dyDescent="0.25">
      <c r="B233" s="24" t="str">
        <f t="shared" si="6"/>
        <v/>
      </c>
      <c r="C233" s="71" t="str">
        <f t="shared" si="7"/>
        <v/>
      </c>
      <c r="E233" s="75"/>
    </row>
    <row r="234" spans="2:5" x14ac:dyDescent="0.25">
      <c r="B234" s="24" t="str">
        <f t="shared" si="6"/>
        <v/>
      </c>
      <c r="C234" s="71" t="str">
        <f t="shared" si="7"/>
        <v/>
      </c>
      <c r="E234" s="75"/>
    </row>
    <row r="235" spans="2:5" x14ac:dyDescent="0.25">
      <c r="B235" s="24" t="str">
        <f t="shared" si="6"/>
        <v/>
      </c>
      <c r="C235" s="71" t="str">
        <f t="shared" si="7"/>
        <v/>
      </c>
      <c r="E235" s="75"/>
    </row>
    <row r="236" spans="2:5" x14ac:dyDescent="0.25">
      <c r="B236" s="24" t="str">
        <f t="shared" si="6"/>
        <v/>
      </c>
      <c r="C236" s="71" t="str">
        <f t="shared" si="7"/>
        <v/>
      </c>
      <c r="E236" s="75"/>
    </row>
    <row r="237" spans="2:5" x14ac:dyDescent="0.25">
      <c r="B237" s="24" t="str">
        <f t="shared" si="6"/>
        <v/>
      </c>
      <c r="C237" s="71" t="str">
        <f t="shared" si="7"/>
        <v/>
      </c>
      <c r="E237" s="75"/>
    </row>
    <row r="238" spans="2:5" x14ac:dyDescent="0.25">
      <c r="B238" s="24" t="str">
        <f t="shared" si="6"/>
        <v/>
      </c>
      <c r="C238" s="71" t="str">
        <f t="shared" si="7"/>
        <v/>
      </c>
      <c r="E238" s="75"/>
    </row>
    <row r="239" spans="2:5" x14ac:dyDescent="0.25">
      <c r="B239" s="24" t="str">
        <f t="shared" si="6"/>
        <v/>
      </c>
      <c r="C239" s="71" t="str">
        <f t="shared" si="7"/>
        <v/>
      </c>
      <c r="E239" s="75"/>
    </row>
    <row r="240" spans="2:5" x14ac:dyDescent="0.25">
      <c r="B240" s="24" t="str">
        <f t="shared" si="6"/>
        <v/>
      </c>
      <c r="C240" s="71" t="str">
        <f t="shared" si="7"/>
        <v/>
      </c>
      <c r="E240" s="75"/>
    </row>
    <row r="241" spans="2:5" x14ac:dyDescent="0.25">
      <c r="B241" s="24" t="str">
        <f t="shared" si="6"/>
        <v/>
      </c>
      <c r="C241" s="71" t="str">
        <f t="shared" si="7"/>
        <v/>
      </c>
      <c r="E241" s="75"/>
    </row>
    <row r="242" spans="2:5" x14ac:dyDescent="0.25">
      <c r="B242" s="24" t="str">
        <f t="shared" si="6"/>
        <v/>
      </c>
      <c r="C242" s="71" t="str">
        <f t="shared" si="7"/>
        <v/>
      </c>
      <c r="E242" s="75"/>
    </row>
    <row r="243" spans="2:5" x14ac:dyDescent="0.25">
      <c r="B243" s="24" t="str">
        <f t="shared" si="6"/>
        <v/>
      </c>
      <c r="C243" s="71" t="str">
        <f t="shared" si="7"/>
        <v/>
      </c>
      <c r="E243" s="75"/>
    </row>
    <row r="244" spans="2:5" x14ac:dyDescent="0.25">
      <c r="B244" s="24" t="str">
        <f t="shared" si="6"/>
        <v/>
      </c>
      <c r="C244" s="71" t="str">
        <f t="shared" si="7"/>
        <v/>
      </c>
      <c r="E244" s="75"/>
    </row>
    <row r="245" spans="2:5" x14ac:dyDescent="0.25">
      <c r="B245" s="24" t="str">
        <f t="shared" si="6"/>
        <v/>
      </c>
      <c r="C245" s="71" t="str">
        <f t="shared" si="7"/>
        <v/>
      </c>
      <c r="E245" s="75"/>
    </row>
    <row r="246" spans="2:5" x14ac:dyDescent="0.25">
      <c r="B246" s="24" t="str">
        <f t="shared" si="6"/>
        <v/>
      </c>
      <c r="C246" s="71" t="str">
        <f t="shared" si="7"/>
        <v/>
      </c>
      <c r="E246" s="75"/>
    </row>
    <row r="247" spans="2:5" x14ac:dyDescent="0.25">
      <c r="B247" s="24" t="str">
        <f t="shared" si="6"/>
        <v/>
      </c>
      <c r="C247" s="71" t="str">
        <f t="shared" si="7"/>
        <v/>
      </c>
      <c r="E247" s="75"/>
    </row>
    <row r="248" spans="2:5" x14ac:dyDescent="0.25">
      <c r="B248" s="24" t="str">
        <f t="shared" si="6"/>
        <v/>
      </c>
      <c r="C248" s="71" t="str">
        <f t="shared" si="7"/>
        <v/>
      </c>
      <c r="E248" s="75"/>
    </row>
    <row r="249" spans="2:5" x14ac:dyDescent="0.25">
      <c r="B249" s="24" t="str">
        <f t="shared" si="6"/>
        <v/>
      </c>
      <c r="C249" s="71" t="str">
        <f t="shared" si="7"/>
        <v/>
      </c>
      <c r="E249" s="75"/>
    </row>
    <row r="250" spans="2:5" x14ac:dyDescent="0.25">
      <c r="B250" s="24" t="str">
        <f t="shared" si="6"/>
        <v/>
      </c>
      <c r="C250" s="71" t="str">
        <f t="shared" si="7"/>
        <v/>
      </c>
      <c r="E250" s="75"/>
    </row>
    <row r="251" spans="2:5" x14ac:dyDescent="0.25">
      <c r="B251" s="24" t="str">
        <f t="shared" si="6"/>
        <v/>
      </c>
      <c r="C251" s="71" t="str">
        <f t="shared" si="7"/>
        <v/>
      </c>
      <c r="E251" s="75"/>
    </row>
    <row r="252" spans="2:5" x14ac:dyDescent="0.25">
      <c r="B252" s="24" t="str">
        <f t="shared" si="6"/>
        <v/>
      </c>
      <c r="C252" s="71" t="str">
        <f t="shared" si="7"/>
        <v/>
      </c>
      <c r="E252" s="75"/>
    </row>
    <row r="253" spans="2:5" x14ac:dyDescent="0.25">
      <c r="B253" s="24" t="str">
        <f t="shared" si="6"/>
        <v/>
      </c>
      <c r="C253" s="71" t="str">
        <f t="shared" si="7"/>
        <v/>
      </c>
      <c r="E253" s="75"/>
    </row>
    <row r="254" spans="2:5" x14ac:dyDescent="0.25">
      <c r="B254" s="24" t="str">
        <f t="shared" si="6"/>
        <v/>
      </c>
      <c r="C254" s="71" t="str">
        <f t="shared" si="7"/>
        <v/>
      </c>
      <c r="E254" s="75"/>
    </row>
    <row r="255" spans="2:5" x14ac:dyDescent="0.25">
      <c r="B255" s="24" t="str">
        <f t="shared" si="6"/>
        <v/>
      </c>
      <c r="C255" s="71" t="str">
        <f t="shared" si="7"/>
        <v/>
      </c>
      <c r="E255" s="75"/>
    </row>
    <row r="256" spans="2:5" x14ac:dyDescent="0.25">
      <c r="B256" s="24" t="str">
        <f t="shared" si="6"/>
        <v/>
      </c>
      <c r="C256" s="71" t="str">
        <f t="shared" si="7"/>
        <v/>
      </c>
      <c r="E256" s="75"/>
    </row>
    <row r="257" spans="2:5" x14ac:dyDescent="0.25">
      <c r="B257" s="24" t="str">
        <f t="shared" si="6"/>
        <v/>
      </c>
      <c r="C257" s="71" t="str">
        <f t="shared" si="7"/>
        <v/>
      </c>
      <c r="E257" s="75"/>
    </row>
    <row r="258" spans="2:5" s="28" customFormat="1" x14ac:dyDescent="0.25">
      <c r="D258" s="59"/>
      <c r="E258" s="59"/>
    </row>
  </sheetData>
  <protectedRanges>
    <protectedRange sqref="D7:E8 D10:E257 E9" name="Range1"/>
  </protectedRanges>
  <dataValidations count="1">
    <dataValidation type="list" allowBlank="1" showInputMessage="1" showErrorMessage="1" sqref="E7:E257">
      <formula1>$A$6:$A$7</formula1>
    </dataValidation>
  </dataValidations>
  <pageMargins left="0.7" right="0.7" top="0.75" bottom="0.75" header="0.3" footer="0.3"/>
  <pageSetup paperSize="9" scale="76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nh_gia">
                <anchor moveWithCells="1" sizeWithCells="1">
                  <from>
                    <xdr:col>5</xdr:col>
                    <xdr:colOff>209550</xdr:colOff>
                    <xdr:row>1</xdr:row>
                    <xdr:rowOff>9525</xdr:rowOff>
                  </from>
                  <to>
                    <xdr:col>5</xdr:col>
                    <xdr:colOff>1571625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2:W1002"/>
  <sheetViews>
    <sheetView workbookViewId="0">
      <selection activeCell="M500" sqref="M500"/>
    </sheetView>
  </sheetViews>
  <sheetFormatPr defaultRowHeight="15" x14ac:dyDescent="0.25"/>
  <cols>
    <col min="1" max="1" width="4.7109375" customWidth="1"/>
    <col min="2" max="22" width="6.5703125" bestFit="1" customWidth="1"/>
    <col min="23" max="23" width="6" bestFit="1" customWidth="1"/>
  </cols>
  <sheetData>
    <row r="2" spans="1:23" x14ac:dyDescent="0.25">
      <c r="A2" s="38" t="s">
        <v>16</v>
      </c>
      <c r="B2" s="38">
        <v>0</v>
      </c>
      <c r="C2" s="38">
        <v>1</v>
      </c>
      <c r="D2" s="38">
        <v>2</v>
      </c>
      <c r="E2" s="38">
        <v>3</v>
      </c>
      <c r="F2" s="38">
        <v>4</v>
      </c>
      <c r="G2" s="38">
        <v>5</v>
      </c>
      <c r="H2" s="38">
        <v>6</v>
      </c>
      <c r="I2" s="38">
        <v>7</v>
      </c>
      <c r="J2" s="38">
        <v>8</v>
      </c>
      <c r="K2" s="38">
        <v>9</v>
      </c>
      <c r="L2" s="38">
        <v>10</v>
      </c>
      <c r="M2" s="38">
        <v>11</v>
      </c>
      <c r="N2" s="38">
        <v>12</v>
      </c>
      <c r="O2" s="38">
        <v>13</v>
      </c>
      <c r="P2" s="38">
        <v>14</v>
      </c>
      <c r="Q2" s="38">
        <v>15</v>
      </c>
      <c r="R2" s="38">
        <v>16</v>
      </c>
      <c r="S2" s="38">
        <v>17</v>
      </c>
      <c r="T2" s="38">
        <v>18</v>
      </c>
      <c r="U2" s="38">
        <v>19</v>
      </c>
      <c r="V2" s="38">
        <v>20</v>
      </c>
      <c r="W2" s="37" t="s">
        <v>18</v>
      </c>
    </row>
    <row r="3" spans="1:23" x14ac:dyDescent="0.25">
      <c r="A3" s="40" t="s">
        <v>17</v>
      </c>
      <c r="B3" s="39">
        <f t="shared" ref="B3:K12" si="0">_xlfn.HYPGEOM.DIST(B$2,comau,tongtheN*$W3,tongtheN,TRUE)</f>
        <v>0</v>
      </c>
      <c r="C3" s="39">
        <f t="shared" si="0"/>
        <v>0</v>
      </c>
      <c r="D3" s="39">
        <f t="shared" si="0"/>
        <v>0</v>
      </c>
      <c r="E3" s="39">
        <f t="shared" si="0"/>
        <v>0</v>
      </c>
      <c r="F3" s="39">
        <f t="shared" si="0"/>
        <v>0</v>
      </c>
      <c r="G3" s="39">
        <f t="shared" si="0"/>
        <v>0</v>
      </c>
      <c r="H3" s="39">
        <f t="shared" si="0"/>
        <v>0</v>
      </c>
      <c r="I3" s="39">
        <f t="shared" si="0"/>
        <v>0</v>
      </c>
      <c r="J3" s="39">
        <f t="shared" si="0"/>
        <v>0</v>
      </c>
      <c r="K3" s="39">
        <f t="shared" si="0"/>
        <v>0</v>
      </c>
      <c r="L3" s="39">
        <f t="shared" ref="L3:V12" si="1">_xlfn.HYPGEOM.DIST(L$2,comau,tongtheN*$W3,tongtheN,TRUE)</f>
        <v>0</v>
      </c>
      <c r="M3" s="39">
        <f t="shared" si="1"/>
        <v>0</v>
      </c>
      <c r="N3" s="39">
        <f t="shared" si="1"/>
        <v>0</v>
      </c>
      <c r="O3" s="39">
        <f t="shared" si="1"/>
        <v>0</v>
      </c>
      <c r="P3" s="39">
        <f t="shared" si="1"/>
        <v>0</v>
      </c>
      <c r="Q3" s="39">
        <f t="shared" si="1"/>
        <v>0</v>
      </c>
      <c r="R3" s="39">
        <f t="shared" si="1"/>
        <v>0</v>
      </c>
      <c r="S3" s="39">
        <f t="shared" si="1"/>
        <v>0</v>
      </c>
      <c r="T3" s="39">
        <f t="shared" si="1"/>
        <v>0</v>
      </c>
      <c r="U3" s="39">
        <f t="shared" si="1"/>
        <v>0</v>
      </c>
      <c r="V3" s="39">
        <f t="shared" si="1"/>
        <v>0</v>
      </c>
      <c r="W3" s="37">
        <v>1</v>
      </c>
    </row>
    <row r="4" spans="1:23" x14ac:dyDescent="0.25">
      <c r="B4" s="39">
        <f t="shared" si="0"/>
        <v>0</v>
      </c>
      <c r="C4" s="39">
        <f t="shared" si="0"/>
        <v>0</v>
      </c>
      <c r="D4" s="39">
        <f t="shared" si="0"/>
        <v>0</v>
      </c>
      <c r="E4" s="39">
        <f t="shared" si="0"/>
        <v>0</v>
      </c>
      <c r="F4" s="39">
        <f t="shared" si="0"/>
        <v>0</v>
      </c>
      <c r="G4" s="39">
        <f t="shared" si="0"/>
        <v>0</v>
      </c>
      <c r="H4" s="39">
        <f t="shared" si="0"/>
        <v>0</v>
      </c>
      <c r="I4" s="39">
        <f t="shared" si="0"/>
        <v>0</v>
      </c>
      <c r="J4" s="39">
        <f t="shared" si="0"/>
        <v>0</v>
      </c>
      <c r="K4" s="39">
        <f t="shared" si="0"/>
        <v>0</v>
      </c>
      <c r="L4" s="39">
        <f t="shared" si="1"/>
        <v>0</v>
      </c>
      <c r="M4" s="39">
        <f t="shared" si="1"/>
        <v>0</v>
      </c>
      <c r="N4" s="39">
        <f t="shared" si="1"/>
        <v>0</v>
      </c>
      <c r="O4" s="39">
        <f t="shared" si="1"/>
        <v>0</v>
      </c>
      <c r="P4" s="39">
        <f t="shared" si="1"/>
        <v>0</v>
      </c>
      <c r="Q4" s="39">
        <f t="shared" si="1"/>
        <v>0</v>
      </c>
      <c r="R4" s="39">
        <f t="shared" si="1"/>
        <v>0</v>
      </c>
      <c r="S4" s="39">
        <f t="shared" si="1"/>
        <v>0</v>
      </c>
      <c r="T4" s="39">
        <f t="shared" si="1"/>
        <v>0</v>
      </c>
      <c r="U4" s="39">
        <f t="shared" si="1"/>
        <v>0</v>
      </c>
      <c r="V4" s="39">
        <f t="shared" si="1"/>
        <v>0</v>
      </c>
      <c r="W4" s="37">
        <v>0.999</v>
      </c>
    </row>
    <row r="5" spans="1:23" x14ac:dyDescent="0.25">
      <c r="B5" s="39">
        <f t="shared" si="0"/>
        <v>0</v>
      </c>
      <c r="C5" s="39">
        <f t="shared" si="0"/>
        <v>0</v>
      </c>
      <c r="D5" s="39">
        <f t="shared" si="0"/>
        <v>0</v>
      </c>
      <c r="E5" s="39">
        <f t="shared" si="0"/>
        <v>0</v>
      </c>
      <c r="F5" s="39">
        <f t="shared" si="0"/>
        <v>0</v>
      </c>
      <c r="G5" s="39">
        <f t="shared" si="0"/>
        <v>0</v>
      </c>
      <c r="H5" s="39">
        <f t="shared" si="0"/>
        <v>0</v>
      </c>
      <c r="I5" s="39">
        <f t="shared" si="0"/>
        <v>0</v>
      </c>
      <c r="J5" s="39">
        <f t="shared" si="0"/>
        <v>0</v>
      </c>
      <c r="K5" s="39">
        <f t="shared" si="0"/>
        <v>0</v>
      </c>
      <c r="L5" s="39">
        <f t="shared" si="1"/>
        <v>0</v>
      </c>
      <c r="M5" s="39">
        <f t="shared" si="1"/>
        <v>0</v>
      </c>
      <c r="N5" s="39">
        <f t="shared" si="1"/>
        <v>0</v>
      </c>
      <c r="O5" s="39">
        <f t="shared" si="1"/>
        <v>0</v>
      </c>
      <c r="P5" s="39">
        <f t="shared" si="1"/>
        <v>0</v>
      </c>
      <c r="Q5" s="39">
        <f t="shared" si="1"/>
        <v>0</v>
      </c>
      <c r="R5" s="39">
        <f t="shared" si="1"/>
        <v>0</v>
      </c>
      <c r="S5" s="39">
        <f t="shared" si="1"/>
        <v>0</v>
      </c>
      <c r="T5" s="39">
        <f t="shared" si="1"/>
        <v>0</v>
      </c>
      <c r="U5" s="39">
        <f t="shared" si="1"/>
        <v>0</v>
      </c>
      <c r="V5" s="39">
        <f t="shared" si="1"/>
        <v>0</v>
      </c>
      <c r="W5" s="37">
        <v>0.998</v>
      </c>
    </row>
    <row r="6" spans="1:23" x14ac:dyDescent="0.25">
      <c r="B6" s="39">
        <f t="shared" si="0"/>
        <v>0</v>
      </c>
      <c r="C6" s="39">
        <f t="shared" si="0"/>
        <v>0</v>
      </c>
      <c r="D6" s="39">
        <f t="shared" si="0"/>
        <v>0</v>
      </c>
      <c r="E6" s="39">
        <f t="shared" si="0"/>
        <v>0</v>
      </c>
      <c r="F6" s="39">
        <f t="shared" si="0"/>
        <v>0</v>
      </c>
      <c r="G6" s="39">
        <f t="shared" si="0"/>
        <v>0</v>
      </c>
      <c r="H6" s="39">
        <f t="shared" si="0"/>
        <v>0</v>
      </c>
      <c r="I6" s="39">
        <f t="shared" si="0"/>
        <v>0</v>
      </c>
      <c r="J6" s="39">
        <f t="shared" si="0"/>
        <v>0</v>
      </c>
      <c r="K6" s="39">
        <f t="shared" si="0"/>
        <v>0</v>
      </c>
      <c r="L6" s="39">
        <f t="shared" si="1"/>
        <v>0</v>
      </c>
      <c r="M6" s="39">
        <f t="shared" si="1"/>
        <v>0</v>
      </c>
      <c r="N6" s="39">
        <f t="shared" si="1"/>
        <v>0</v>
      </c>
      <c r="O6" s="39">
        <f t="shared" si="1"/>
        <v>0</v>
      </c>
      <c r="P6" s="39">
        <f t="shared" si="1"/>
        <v>0</v>
      </c>
      <c r="Q6" s="39">
        <f t="shared" si="1"/>
        <v>0</v>
      </c>
      <c r="R6" s="39">
        <f t="shared" si="1"/>
        <v>0</v>
      </c>
      <c r="S6" s="39">
        <f t="shared" si="1"/>
        <v>0</v>
      </c>
      <c r="T6" s="39">
        <f t="shared" si="1"/>
        <v>0</v>
      </c>
      <c r="U6" s="39">
        <f t="shared" si="1"/>
        <v>0</v>
      </c>
      <c r="V6" s="39">
        <f t="shared" si="1"/>
        <v>0</v>
      </c>
      <c r="W6" s="37">
        <v>0.997</v>
      </c>
    </row>
    <row r="7" spans="1:23" x14ac:dyDescent="0.25">
      <c r="B7" s="39">
        <f t="shared" si="0"/>
        <v>0</v>
      </c>
      <c r="C7" s="39">
        <f t="shared" si="0"/>
        <v>0</v>
      </c>
      <c r="D7" s="39">
        <f t="shared" si="0"/>
        <v>0</v>
      </c>
      <c r="E7" s="39">
        <f t="shared" si="0"/>
        <v>0</v>
      </c>
      <c r="F7" s="39">
        <f t="shared" si="0"/>
        <v>0</v>
      </c>
      <c r="G7" s="39">
        <f t="shared" si="0"/>
        <v>0</v>
      </c>
      <c r="H7" s="39">
        <f t="shared" si="0"/>
        <v>0</v>
      </c>
      <c r="I7" s="39">
        <f t="shared" si="0"/>
        <v>0</v>
      </c>
      <c r="J7" s="39">
        <f t="shared" si="0"/>
        <v>0</v>
      </c>
      <c r="K7" s="39">
        <f t="shared" si="0"/>
        <v>0</v>
      </c>
      <c r="L7" s="39">
        <f t="shared" si="1"/>
        <v>0</v>
      </c>
      <c r="M7" s="39">
        <f t="shared" si="1"/>
        <v>0</v>
      </c>
      <c r="N7" s="39">
        <f t="shared" si="1"/>
        <v>0</v>
      </c>
      <c r="O7" s="39">
        <f t="shared" si="1"/>
        <v>0</v>
      </c>
      <c r="P7" s="39">
        <f t="shared" si="1"/>
        <v>0</v>
      </c>
      <c r="Q7" s="39">
        <f t="shared" si="1"/>
        <v>0</v>
      </c>
      <c r="R7" s="39">
        <f t="shared" si="1"/>
        <v>0</v>
      </c>
      <c r="S7" s="39">
        <f t="shared" si="1"/>
        <v>0</v>
      </c>
      <c r="T7" s="39">
        <f t="shared" si="1"/>
        <v>0</v>
      </c>
      <c r="U7" s="39">
        <f t="shared" si="1"/>
        <v>0</v>
      </c>
      <c r="V7" s="39">
        <f t="shared" si="1"/>
        <v>0</v>
      </c>
      <c r="W7" s="37">
        <v>0.996</v>
      </c>
    </row>
    <row r="8" spans="1:23" x14ac:dyDescent="0.25">
      <c r="B8" s="39">
        <f t="shared" si="0"/>
        <v>0</v>
      </c>
      <c r="C8" s="39">
        <f t="shared" si="0"/>
        <v>0</v>
      </c>
      <c r="D8" s="39">
        <f t="shared" si="0"/>
        <v>0</v>
      </c>
      <c r="E8" s="39">
        <f t="shared" si="0"/>
        <v>0</v>
      </c>
      <c r="F8" s="39">
        <f t="shared" si="0"/>
        <v>0</v>
      </c>
      <c r="G8" s="39">
        <f t="shared" si="0"/>
        <v>0</v>
      </c>
      <c r="H8" s="39">
        <f t="shared" si="0"/>
        <v>0</v>
      </c>
      <c r="I8" s="39">
        <f t="shared" si="0"/>
        <v>0</v>
      </c>
      <c r="J8" s="39">
        <f t="shared" si="0"/>
        <v>0</v>
      </c>
      <c r="K8" s="39">
        <f t="shared" si="0"/>
        <v>0</v>
      </c>
      <c r="L8" s="39">
        <f t="shared" si="1"/>
        <v>0</v>
      </c>
      <c r="M8" s="39">
        <f t="shared" si="1"/>
        <v>0</v>
      </c>
      <c r="N8" s="39">
        <f t="shared" si="1"/>
        <v>0</v>
      </c>
      <c r="O8" s="39">
        <f t="shared" si="1"/>
        <v>0</v>
      </c>
      <c r="P8" s="39">
        <f t="shared" si="1"/>
        <v>0</v>
      </c>
      <c r="Q8" s="39">
        <f t="shared" si="1"/>
        <v>0</v>
      </c>
      <c r="R8" s="39">
        <f t="shared" si="1"/>
        <v>0</v>
      </c>
      <c r="S8" s="39">
        <f t="shared" si="1"/>
        <v>0</v>
      </c>
      <c r="T8" s="39">
        <f t="shared" si="1"/>
        <v>0</v>
      </c>
      <c r="U8" s="39">
        <f t="shared" si="1"/>
        <v>0</v>
      </c>
      <c r="V8" s="39">
        <f t="shared" si="1"/>
        <v>0</v>
      </c>
      <c r="W8" s="37">
        <v>0.995</v>
      </c>
    </row>
    <row r="9" spans="1:23" x14ac:dyDescent="0.25">
      <c r="B9" s="39">
        <f t="shared" si="0"/>
        <v>0</v>
      </c>
      <c r="C9" s="39">
        <f t="shared" si="0"/>
        <v>0</v>
      </c>
      <c r="D9" s="39">
        <f t="shared" si="0"/>
        <v>0</v>
      </c>
      <c r="E9" s="39">
        <f t="shared" si="0"/>
        <v>0</v>
      </c>
      <c r="F9" s="39">
        <f t="shared" si="0"/>
        <v>0</v>
      </c>
      <c r="G9" s="39">
        <f t="shared" si="0"/>
        <v>0</v>
      </c>
      <c r="H9" s="39">
        <f t="shared" si="0"/>
        <v>0</v>
      </c>
      <c r="I9" s="39">
        <f t="shared" si="0"/>
        <v>0</v>
      </c>
      <c r="J9" s="39">
        <f t="shared" si="0"/>
        <v>0</v>
      </c>
      <c r="K9" s="39">
        <f t="shared" si="0"/>
        <v>0</v>
      </c>
      <c r="L9" s="39">
        <f t="shared" si="1"/>
        <v>0</v>
      </c>
      <c r="M9" s="39">
        <f t="shared" si="1"/>
        <v>0</v>
      </c>
      <c r="N9" s="39">
        <f t="shared" si="1"/>
        <v>0</v>
      </c>
      <c r="O9" s="39">
        <f t="shared" si="1"/>
        <v>0</v>
      </c>
      <c r="P9" s="39">
        <f t="shared" si="1"/>
        <v>0</v>
      </c>
      <c r="Q9" s="39">
        <f t="shared" si="1"/>
        <v>6.111626892177525E-80</v>
      </c>
      <c r="R9" s="39">
        <f t="shared" si="1"/>
        <v>7.6397628012303368E-76</v>
      </c>
      <c r="S9" s="39">
        <f t="shared" si="1"/>
        <v>4.365011307378738E-72</v>
      </c>
      <c r="T9" s="39">
        <f t="shared" si="1"/>
        <v>1.5238497695061452E-68</v>
      </c>
      <c r="U9" s="39">
        <f t="shared" si="1"/>
        <v>3.6647715026925112E-65</v>
      </c>
      <c r="V9" s="39">
        <f t="shared" si="1"/>
        <v>6.4879794419417945E-62</v>
      </c>
      <c r="W9" s="37">
        <v>0.99399999999999999</v>
      </c>
    </row>
    <row r="10" spans="1:23" x14ac:dyDescent="0.25">
      <c r="B10" s="39">
        <f t="shared" si="0"/>
        <v>0</v>
      </c>
      <c r="C10" s="39">
        <f t="shared" si="0"/>
        <v>0</v>
      </c>
      <c r="D10" s="39">
        <f t="shared" si="0"/>
        <v>0</v>
      </c>
      <c r="E10" s="39">
        <f t="shared" si="0"/>
        <v>0</v>
      </c>
      <c r="F10" s="39">
        <f t="shared" si="0"/>
        <v>0</v>
      </c>
      <c r="G10" s="39">
        <f t="shared" si="0"/>
        <v>0</v>
      </c>
      <c r="H10" s="39">
        <f t="shared" si="0"/>
        <v>0</v>
      </c>
      <c r="I10" s="39">
        <f t="shared" si="0"/>
        <v>0</v>
      </c>
      <c r="J10" s="39">
        <f t="shared" si="0"/>
        <v>0</v>
      </c>
      <c r="K10" s="39">
        <f t="shared" si="0"/>
        <v>6.2453666094948405E-96</v>
      </c>
      <c r="L10" s="39">
        <f t="shared" si="1"/>
        <v>1.4631894707389069E-91</v>
      </c>
      <c r="M10" s="39">
        <f t="shared" si="1"/>
        <v>1.5199362550446925E-87</v>
      </c>
      <c r="N10" s="39">
        <f t="shared" si="1"/>
        <v>9.4059800608272202E-84</v>
      </c>
      <c r="O10" s="39">
        <f t="shared" si="1"/>
        <v>3.925819688995212E-80</v>
      </c>
      <c r="P10" s="39">
        <f t="shared" si="1"/>
        <v>1.1849771613307344E-76</v>
      </c>
      <c r="Q10" s="39">
        <f t="shared" si="1"/>
        <v>2.7063023225920472E-73</v>
      </c>
      <c r="R10" s="39">
        <f t="shared" si="1"/>
        <v>4.8279593672345126E-70</v>
      </c>
      <c r="S10" s="39">
        <f t="shared" si="1"/>
        <v>6.88925776973018E-67</v>
      </c>
      <c r="T10" s="39">
        <f t="shared" si="1"/>
        <v>8.0088915073483819E-64</v>
      </c>
      <c r="U10" s="39">
        <f t="shared" si="1"/>
        <v>7.6966695793129465E-61</v>
      </c>
      <c r="V10" s="39">
        <f t="shared" si="1"/>
        <v>6.1874227489455524E-58</v>
      </c>
      <c r="W10" s="37">
        <v>0.99299999999999999</v>
      </c>
    </row>
    <row r="11" spans="1:23" x14ac:dyDescent="0.25">
      <c r="B11" s="39">
        <f t="shared" si="0"/>
        <v>0</v>
      </c>
      <c r="C11" s="39">
        <f t="shared" si="0"/>
        <v>0</v>
      </c>
      <c r="D11" s="39">
        <f t="shared" si="0"/>
        <v>0</v>
      </c>
      <c r="E11" s="39">
        <f t="shared" si="0"/>
        <v>1.0778687875128582E-113</v>
      </c>
      <c r="F11" s="39">
        <f t="shared" si="0"/>
        <v>7.2368649328005757E-109</v>
      </c>
      <c r="G11" s="39">
        <f t="shared" si="0"/>
        <v>1.9018776730832823E-104</v>
      </c>
      <c r="H11" s="39">
        <f t="shared" si="0"/>
        <v>2.7159681624991968E-100</v>
      </c>
      <c r="I11" s="39">
        <f t="shared" si="0"/>
        <v>2.437527141825123E-96</v>
      </c>
      <c r="J11" s="39">
        <f t="shared" si="0"/>
        <v>1.4962921376292991E-92</v>
      </c>
      <c r="K11" s="39">
        <f t="shared" si="0"/>
        <v>6.6444498039557074E-89</v>
      </c>
      <c r="L11" s="39">
        <f t="shared" si="1"/>
        <v>2.2215746227857635E-85</v>
      </c>
      <c r="M11" s="39">
        <f t="shared" si="1"/>
        <v>5.7634644767750463E-82</v>
      </c>
      <c r="N11" s="39">
        <f t="shared" si="1"/>
        <v>1.1876804464361585E-78</v>
      </c>
      <c r="O11" s="39">
        <f t="shared" si="1"/>
        <v>1.9808207407272679E-75</v>
      </c>
      <c r="P11" s="39">
        <f t="shared" si="1"/>
        <v>2.7149522370143934E-72</v>
      </c>
      <c r="Q11" s="39">
        <f t="shared" si="1"/>
        <v>3.0971301496388324E-69</v>
      </c>
      <c r="R11" s="39">
        <f t="shared" si="1"/>
        <v>2.9720992500797089E-66</v>
      </c>
      <c r="S11" s="39">
        <f t="shared" si="1"/>
        <v>2.4210122543531762E-63</v>
      </c>
      <c r="T11" s="39">
        <f t="shared" si="1"/>
        <v>1.6869889869761505E-60</v>
      </c>
      <c r="U11" s="39">
        <f t="shared" si="1"/>
        <v>1.0122504508753496E-57</v>
      </c>
      <c r="V11" s="39">
        <f t="shared" si="1"/>
        <v>5.2602374686570344E-55</v>
      </c>
      <c r="W11" s="37">
        <v>0.99199999999999999</v>
      </c>
    </row>
    <row r="12" spans="1:23" x14ac:dyDescent="0.25">
      <c r="B12" s="39">
        <f t="shared" si="0"/>
        <v>4.5918112037858151E-121</v>
      </c>
      <c r="C12" s="39">
        <f t="shared" si="0"/>
        <v>4.3714501841161988E-116</v>
      </c>
      <c r="D12" s="39">
        <f t="shared" si="0"/>
        <v>1.5291554624946914E-111</v>
      </c>
      <c r="E12" s="39">
        <f t="shared" si="0"/>
        <v>2.7941459014788771E-107</v>
      </c>
      <c r="F12" s="39">
        <f t="shared" si="0"/>
        <v>3.1239984977752648E-103</v>
      </c>
      <c r="G12" s="39">
        <f t="shared" si="0"/>
        <v>2.3437086062318661E-99</v>
      </c>
      <c r="H12" s="39">
        <f t="shared" si="0"/>
        <v>1.2540245724064454E-95</v>
      </c>
      <c r="I12" s="39">
        <f t="shared" si="0"/>
        <v>4.9977870906184335E-92</v>
      </c>
      <c r="J12" s="39">
        <f t="shared" si="0"/>
        <v>1.5326554150804548E-88</v>
      </c>
      <c r="K12" s="39">
        <f t="shared" si="0"/>
        <v>3.7091635795991469E-85</v>
      </c>
      <c r="L12" s="39">
        <f t="shared" si="1"/>
        <v>7.2281207101253207E-82</v>
      </c>
      <c r="M12" s="39">
        <f t="shared" si="1"/>
        <v>1.1529911935648037E-78</v>
      </c>
      <c r="N12" s="39">
        <f t="shared" si="1"/>
        <v>1.5261184654373385E-75</v>
      </c>
      <c r="O12" s="39">
        <f t="shared" si="1"/>
        <v>1.6954108452407931E-72</v>
      </c>
      <c r="P12" s="39">
        <f t="shared" si="1"/>
        <v>1.5962383355864784E-69</v>
      </c>
      <c r="Q12" s="39">
        <f t="shared" si="1"/>
        <v>1.2842840856544713E-66</v>
      </c>
      <c r="R12" s="39">
        <f t="shared" si="1"/>
        <v>8.8934519837784519E-64</v>
      </c>
      <c r="S12" s="39">
        <f t="shared" si="1"/>
        <v>5.3335197338873279E-61</v>
      </c>
      <c r="T12" s="39">
        <f t="shared" si="1"/>
        <v>2.7850102983159532E-58</v>
      </c>
      <c r="U12" s="39">
        <f t="shared" si="1"/>
        <v>1.2721568059671921E-55</v>
      </c>
      <c r="V12" s="39">
        <f t="shared" si="1"/>
        <v>5.1041429911284898E-53</v>
      </c>
      <c r="W12" s="37">
        <v>0.99099999999999999</v>
      </c>
    </row>
    <row r="13" spans="1:23" x14ac:dyDescent="0.25">
      <c r="B13" s="39">
        <f t="shared" ref="B13:K22" si="2">_xlfn.HYPGEOM.DIST(B$2,comau,tongtheN*$W13,tongtheN,TRUE)</f>
        <v>6.6376857979156276E-115</v>
      </c>
      <c r="C13" s="39">
        <f t="shared" si="2"/>
        <v>2.1042127747972751E-110</v>
      </c>
      <c r="D13" s="39">
        <f t="shared" si="2"/>
        <v>2.9412284453371129E-106</v>
      </c>
      <c r="E13" s="39">
        <f t="shared" si="2"/>
        <v>2.4403765678243458E-102</v>
      </c>
      <c r="F13" s="39">
        <f t="shared" si="2"/>
        <v>1.3628318264793931E-98</v>
      </c>
      <c r="G13" s="39">
        <f t="shared" si="2"/>
        <v>5.4997609288396772E-95</v>
      </c>
      <c r="H13" s="39">
        <f t="shared" si="2"/>
        <v>1.6798196663288947E-91</v>
      </c>
      <c r="I13" s="39">
        <f t="shared" si="2"/>
        <v>4.0127354226300512E-88</v>
      </c>
      <c r="J13" s="39">
        <f t="shared" si="2"/>
        <v>7.683210023668544E-85</v>
      </c>
      <c r="K13" s="39">
        <f t="shared" si="2"/>
        <v>1.2019152348807218E-81</v>
      </c>
      <c r="L13" s="39">
        <f t="shared" ref="L13:V22" si="3">_xlfn.HYPGEOM.DIST(L$2,comau,tongtheN*$W13,tongtheN,TRUE)</f>
        <v>1.5598702080291473E-78</v>
      </c>
      <c r="M13" s="39">
        <f t="shared" si="3"/>
        <v>1.7007320416445869E-75</v>
      </c>
      <c r="N13" s="39">
        <f t="shared" si="3"/>
        <v>1.5741783784455121E-72</v>
      </c>
      <c r="O13" s="39">
        <f t="shared" si="3"/>
        <v>1.2478750329853505E-69</v>
      </c>
      <c r="P13" s="39">
        <f t="shared" si="3"/>
        <v>8.5359222021237764E-67</v>
      </c>
      <c r="Q13" s="39">
        <f t="shared" si="3"/>
        <v>5.0710166311702468E-64</v>
      </c>
      <c r="R13" s="39">
        <f t="shared" si="3"/>
        <v>2.6310351312557191E-61</v>
      </c>
      <c r="S13" s="39">
        <f t="shared" si="3"/>
        <v>1.1979699001083106E-58</v>
      </c>
      <c r="T13" s="39">
        <f t="shared" si="3"/>
        <v>4.8070509061421921E-56</v>
      </c>
      <c r="U13" s="39">
        <f t="shared" si="3"/>
        <v>1.7061319648223447E-53</v>
      </c>
      <c r="V13" s="39">
        <f t="shared" si="3"/>
        <v>5.3731055758745568E-51</v>
      </c>
      <c r="W13" s="37">
        <v>0.99</v>
      </c>
    </row>
    <row r="14" spans="1:23" x14ac:dyDescent="0.25">
      <c r="B14" s="39">
        <f t="shared" si="2"/>
        <v>1.6571971284758278E-110</v>
      </c>
      <c r="C14" s="39">
        <f t="shared" si="2"/>
        <v>3.1488402638171521E-106</v>
      </c>
      <c r="D14" s="39">
        <f t="shared" si="2"/>
        <v>2.7480352437626947E-102</v>
      </c>
      <c r="E14" s="39">
        <f t="shared" si="2"/>
        <v>1.4738287432681424E-98</v>
      </c>
      <c r="F14" s="39">
        <f t="shared" si="2"/>
        <v>5.4814367364078583E-95</v>
      </c>
      <c r="G14" s="39">
        <f t="shared" si="2"/>
        <v>1.5119565238995906E-91</v>
      </c>
      <c r="H14" s="39">
        <f t="shared" si="2"/>
        <v>3.2293134785441298E-88</v>
      </c>
      <c r="I14" s="39">
        <f t="shared" si="2"/>
        <v>5.5044570830079821E-85</v>
      </c>
      <c r="J14" s="39">
        <f t="shared" si="2"/>
        <v>7.6571809159069439E-82</v>
      </c>
      <c r="K14" s="39">
        <f t="shared" si="2"/>
        <v>8.8445672338256647E-79</v>
      </c>
      <c r="L14" s="39">
        <f t="shared" si="3"/>
        <v>8.6001989820482449E-76</v>
      </c>
      <c r="M14" s="39">
        <f t="shared" si="3"/>
        <v>7.1191175255702375E-73</v>
      </c>
      <c r="N14" s="39">
        <f t="shared" si="3"/>
        <v>5.0635857513956573E-70</v>
      </c>
      <c r="O14" s="39">
        <f t="shared" si="3"/>
        <v>3.1188098082903034E-67</v>
      </c>
      <c r="P14" s="39">
        <f t="shared" si="3"/>
        <v>1.6745253567482292E-64</v>
      </c>
      <c r="Q14" s="39">
        <f t="shared" si="3"/>
        <v>7.881808116381499E-62</v>
      </c>
      <c r="R14" s="39">
        <f t="shared" si="3"/>
        <v>3.2681961479673676E-59</v>
      </c>
      <c r="S14" s="39">
        <f t="shared" si="3"/>
        <v>1.1988570160003941E-56</v>
      </c>
      <c r="T14" s="39">
        <f t="shared" si="3"/>
        <v>3.9046887730471992E-54</v>
      </c>
      <c r="U14" s="39">
        <f t="shared" si="3"/>
        <v>1.1327504968907228E-51</v>
      </c>
      <c r="V14" s="39">
        <f t="shared" si="3"/>
        <v>2.9348887419307746E-49</v>
      </c>
      <c r="W14" s="37">
        <v>0.98899999999999999</v>
      </c>
    </row>
    <row r="15" spans="1:23" x14ac:dyDescent="0.25">
      <c r="B15" s="39">
        <f t="shared" si="2"/>
        <v>5.6059090257816764E-107</v>
      </c>
      <c r="C15" s="39">
        <f t="shared" si="2"/>
        <v>7.6005715415693354E-103</v>
      </c>
      <c r="D15" s="39">
        <f t="shared" si="2"/>
        <v>4.8191151816204444E-99</v>
      </c>
      <c r="E15" s="39">
        <f t="shared" si="2"/>
        <v>1.9083829458459513E-95</v>
      </c>
      <c r="F15" s="39">
        <f t="shared" si="2"/>
        <v>5.3177380179341719E-92</v>
      </c>
      <c r="G15" s="39">
        <f t="shared" si="2"/>
        <v>1.1136239727312861E-88</v>
      </c>
      <c r="H15" s="39">
        <f t="shared" si="2"/>
        <v>1.8277621392736852E-85</v>
      </c>
      <c r="I15" s="39">
        <f t="shared" si="2"/>
        <v>2.4206583294482196E-82</v>
      </c>
      <c r="J15" s="39">
        <f t="shared" si="2"/>
        <v>2.6430601483308922E-79</v>
      </c>
      <c r="K15" s="39">
        <f t="shared" si="2"/>
        <v>2.4187978413215317E-76</v>
      </c>
      <c r="L15" s="39">
        <f t="shared" si="3"/>
        <v>1.8796502550738479E-73</v>
      </c>
      <c r="M15" s="39">
        <f t="shared" si="3"/>
        <v>1.2535140904790375E-70</v>
      </c>
      <c r="N15" s="39">
        <f t="shared" si="3"/>
        <v>7.23671489163193E-68</v>
      </c>
      <c r="O15" s="39">
        <f t="shared" si="3"/>
        <v>3.6431714353066783E-65</v>
      </c>
      <c r="P15" s="39">
        <f t="shared" si="3"/>
        <v>1.609236806786315E-62</v>
      </c>
      <c r="Q15" s="39">
        <f t="shared" si="3"/>
        <v>6.2696502072405796E-60</v>
      </c>
      <c r="R15" s="39">
        <f t="shared" si="3"/>
        <v>2.1642356639280305E-57</v>
      </c>
      <c r="S15" s="39">
        <f t="shared" si="3"/>
        <v>6.6448483165887872E-55</v>
      </c>
      <c r="T15" s="39">
        <f t="shared" si="3"/>
        <v>1.820677052619029E-52</v>
      </c>
      <c r="U15" s="39">
        <f t="shared" si="3"/>
        <v>4.4647155064487683E-50</v>
      </c>
      <c r="V15" s="39">
        <f t="shared" si="3"/>
        <v>9.8227977721543654E-48</v>
      </c>
      <c r="W15" s="37">
        <v>0.98799999999999999</v>
      </c>
    </row>
    <row r="16" spans="1:23" x14ac:dyDescent="0.25">
      <c r="B16" s="39">
        <f t="shared" si="2"/>
        <v>1.8210911007054751E-104</v>
      </c>
      <c r="C16" s="39">
        <f t="shared" si="2"/>
        <v>1.9925258152472394E-100</v>
      </c>
      <c r="D16" s="39">
        <f t="shared" si="2"/>
        <v>1.0285142507757726E-96</v>
      </c>
      <c r="E16" s="39">
        <f t="shared" si="2"/>
        <v>3.3427584540969696E-93</v>
      </c>
      <c r="F16" s="39">
        <f t="shared" si="2"/>
        <v>7.7020547634918563E-90</v>
      </c>
      <c r="G16" s="39">
        <f t="shared" si="2"/>
        <v>1.3429636564346604E-86</v>
      </c>
      <c r="H16" s="39">
        <f t="shared" si="2"/>
        <v>1.8470754415387537E-83</v>
      </c>
      <c r="I16" s="39">
        <f t="shared" si="2"/>
        <v>2.0622448324031523E-80</v>
      </c>
      <c r="J16" s="39">
        <f t="shared" si="2"/>
        <v>1.9089135416788134E-77</v>
      </c>
      <c r="K16" s="39">
        <f t="shared" si="2"/>
        <v>1.48876686494731E-74</v>
      </c>
      <c r="L16" s="39">
        <f t="shared" si="3"/>
        <v>9.9080156607449577E-72</v>
      </c>
      <c r="M16" s="39">
        <f t="shared" si="3"/>
        <v>5.6849659820354749E-69</v>
      </c>
      <c r="N16" s="39">
        <f t="shared" si="3"/>
        <v>2.8360817817251689E-66</v>
      </c>
      <c r="O16" s="39">
        <f t="shared" si="3"/>
        <v>1.2388485989335936E-63</v>
      </c>
      <c r="P16" s="39">
        <f t="shared" si="3"/>
        <v>4.7665544338299615E-61</v>
      </c>
      <c r="Q16" s="39">
        <f t="shared" si="3"/>
        <v>1.6235600596735275E-58</v>
      </c>
      <c r="R16" s="39">
        <f t="shared" si="3"/>
        <v>4.9167874634863297E-56</v>
      </c>
      <c r="S16" s="39">
        <f t="shared" si="3"/>
        <v>1.3287658692812497E-53</v>
      </c>
      <c r="T16" s="39">
        <f t="shared" si="3"/>
        <v>3.2147447095754706E-51</v>
      </c>
      <c r="U16" s="39">
        <f t="shared" si="3"/>
        <v>6.9816069439590517E-49</v>
      </c>
      <c r="V16" s="39">
        <f t="shared" si="3"/>
        <v>1.3642110466813433E-46</v>
      </c>
      <c r="W16" s="37">
        <v>0.98699999999999999</v>
      </c>
    </row>
    <row r="17" spans="2:23" x14ac:dyDescent="0.25">
      <c r="B17" s="39">
        <f t="shared" si="2"/>
        <v>8.0270616677418173E-102</v>
      </c>
      <c r="C17" s="39">
        <f t="shared" si="2"/>
        <v>7.1285826214443145E-98</v>
      </c>
      <c r="D17" s="39">
        <f t="shared" si="2"/>
        <v>3.0075344165223411E-94</v>
      </c>
      <c r="E17" s="39">
        <f t="shared" si="2"/>
        <v>8.0414796626405037E-91</v>
      </c>
      <c r="F17" s="39">
        <f t="shared" si="2"/>
        <v>1.5336259475023984E-87</v>
      </c>
      <c r="G17" s="39">
        <f t="shared" si="2"/>
        <v>2.226117903614413E-84</v>
      </c>
      <c r="H17" s="39">
        <f t="shared" si="2"/>
        <v>2.5626023736994245E-81</v>
      </c>
      <c r="I17" s="39">
        <f t="shared" si="2"/>
        <v>2.4068906632109122E-78</v>
      </c>
      <c r="J17" s="39">
        <f t="shared" si="2"/>
        <v>1.8832387533313395E-75</v>
      </c>
      <c r="K17" s="39">
        <f t="shared" si="2"/>
        <v>1.2471506678281606E-72</v>
      </c>
      <c r="L17" s="39">
        <f t="shared" si="3"/>
        <v>7.0781188992489592E-70</v>
      </c>
      <c r="M17" s="39">
        <f t="shared" si="3"/>
        <v>3.4775038901592525E-67</v>
      </c>
      <c r="N17" s="39">
        <f t="shared" si="3"/>
        <v>1.4912409612716672E-64</v>
      </c>
      <c r="O17" s="39">
        <f t="shared" si="3"/>
        <v>5.6199832057455788E-62</v>
      </c>
      <c r="P17" s="39">
        <f t="shared" si="3"/>
        <v>1.8721085583180352E-59</v>
      </c>
      <c r="Q17" s="39">
        <f t="shared" si="3"/>
        <v>5.5393073807023254E-57</v>
      </c>
      <c r="R17" s="39">
        <f t="shared" si="3"/>
        <v>1.4618875909254957E-54</v>
      </c>
      <c r="S17" s="39">
        <f t="shared" si="3"/>
        <v>3.4534212604294058E-52</v>
      </c>
      <c r="T17" s="39">
        <f t="shared" si="3"/>
        <v>7.3245613356522448E-50</v>
      </c>
      <c r="U17" s="39">
        <f t="shared" si="3"/>
        <v>1.3984152106683899E-47</v>
      </c>
      <c r="V17" s="39">
        <f t="shared" si="3"/>
        <v>2.4086239616404267E-45</v>
      </c>
      <c r="W17" s="37">
        <v>0.98599999999999999</v>
      </c>
    </row>
    <row r="18" spans="2:23" x14ac:dyDescent="0.25">
      <c r="B18" s="39">
        <f t="shared" si="2"/>
        <v>1.7436100172292224E-99</v>
      </c>
      <c r="C18" s="39">
        <f t="shared" si="2"/>
        <v>1.3026051593977502E-95</v>
      </c>
      <c r="D18" s="39">
        <f t="shared" si="2"/>
        <v>4.6453700843016389E-92</v>
      </c>
      <c r="E18" s="39">
        <f t="shared" si="2"/>
        <v>1.0546678547737606E-88</v>
      </c>
      <c r="F18" s="39">
        <f t="shared" si="2"/>
        <v>1.7152792555073328E-85</v>
      </c>
      <c r="G18" s="39">
        <f t="shared" si="2"/>
        <v>2.1319087075633058E-82</v>
      </c>
      <c r="H18" s="39">
        <f t="shared" si="2"/>
        <v>2.1095372212707262E-79</v>
      </c>
      <c r="I18" s="39">
        <f t="shared" si="2"/>
        <v>1.7094088982992032E-76</v>
      </c>
      <c r="J18" s="39">
        <f t="shared" si="2"/>
        <v>1.1579779011882969E-73</v>
      </c>
      <c r="K18" s="39">
        <f t="shared" si="2"/>
        <v>6.6614642108300907E-71</v>
      </c>
      <c r="L18" s="39">
        <f t="shared" si="3"/>
        <v>3.2946473011074943E-68</v>
      </c>
      <c r="M18" s="39">
        <f t="shared" si="3"/>
        <v>1.4148867486414421E-65</v>
      </c>
      <c r="N18" s="39">
        <f t="shared" si="3"/>
        <v>5.3189984083295624E-63</v>
      </c>
      <c r="O18" s="39">
        <f t="shared" si="3"/>
        <v>1.7622035532657043E-60</v>
      </c>
      <c r="P18" s="39">
        <f t="shared" si="3"/>
        <v>5.1742996600754242E-58</v>
      </c>
      <c r="Q18" s="39">
        <f t="shared" si="3"/>
        <v>1.3529711637117207E-55</v>
      </c>
      <c r="R18" s="39">
        <f t="shared" si="3"/>
        <v>3.1632101898106347E-53</v>
      </c>
      <c r="S18" s="39">
        <f t="shared" si="3"/>
        <v>6.6354621711352211E-51</v>
      </c>
      <c r="T18" s="39">
        <f t="shared" si="3"/>
        <v>1.2525580685672152E-48</v>
      </c>
      <c r="U18" s="39">
        <f t="shared" si="3"/>
        <v>2.1330296497369362E-46</v>
      </c>
      <c r="V18" s="39">
        <f t="shared" si="3"/>
        <v>3.283893214948703E-44</v>
      </c>
      <c r="W18" s="37">
        <v>0.98499999999999999</v>
      </c>
    </row>
    <row r="19" spans="2:23" x14ac:dyDescent="0.25">
      <c r="B19" s="39">
        <f t="shared" si="2"/>
        <v>2.1800523082599941E-97</v>
      </c>
      <c r="C19" s="39">
        <f t="shared" si="2"/>
        <v>1.4051130779742885E-93</v>
      </c>
      <c r="D19" s="39">
        <f t="shared" si="2"/>
        <v>4.3383162026372598E-90</v>
      </c>
      <c r="E19" s="39">
        <f t="shared" si="2"/>
        <v>8.5559727394064408E-87</v>
      </c>
      <c r="F19" s="39">
        <f t="shared" si="2"/>
        <v>1.2126221950418935E-83</v>
      </c>
      <c r="G19" s="39">
        <f t="shared" si="2"/>
        <v>1.3174032065256028E-80</v>
      </c>
      <c r="H19" s="39">
        <f t="shared" si="2"/>
        <v>1.1427769722091587E-77</v>
      </c>
      <c r="I19" s="39">
        <f t="shared" si="2"/>
        <v>8.140576688853786E-75</v>
      </c>
      <c r="J19" s="39">
        <f t="shared" si="2"/>
        <v>4.8607642961799672E-72</v>
      </c>
      <c r="K19" s="39">
        <f t="shared" si="2"/>
        <v>2.4710512369158804E-69</v>
      </c>
      <c r="L19" s="39">
        <f t="shared" si="3"/>
        <v>1.0826717846234975E-66</v>
      </c>
      <c r="M19" s="39">
        <f t="shared" si="3"/>
        <v>4.1286828469382515E-64</v>
      </c>
      <c r="N19" s="39">
        <f t="shared" si="3"/>
        <v>1.3813643827495903E-61</v>
      </c>
      <c r="O19" s="39">
        <f t="shared" si="3"/>
        <v>4.0819938550701133E-59</v>
      </c>
      <c r="P19" s="39">
        <f t="shared" si="3"/>
        <v>1.0713216611517666E-56</v>
      </c>
      <c r="Q19" s="39">
        <f t="shared" si="3"/>
        <v>2.5089372709140616E-54</v>
      </c>
      <c r="R19" s="39">
        <f t="shared" si="3"/>
        <v>5.2639499001427108E-52</v>
      </c>
      <c r="S19" s="39">
        <f t="shared" si="3"/>
        <v>9.9278915932135797E-50</v>
      </c>
      <c r="T19" s="39">
        <f t="shared" si="3"/>
        <v>1.6880192269686908E-47</v>
      </c>
      <c r="U19" s="39">
        <f t="shared" si="3"/>
        <v>2.5937902958696658E-45</v>
      </c>
      <c r="V19" s="39">
        <f t="shared" si="3"/>
        <v>3.6093154670219451E-43</v>
      </c>
      <c r="W19" s="37">
        <v>0.98399999999999999</v>
      </c>
    </row>
    <row r="20" spans="2:23" x14ac:dyDescent="0.25">
      <c r="B20" s="39">
        <f t="shared" si="2"/>
        <v>8.6462004304805367E-96</v>
      </c>
      <c r="C20" s="39">
        <f t="shared" si="2"/>
        <v>4.9997800934208874E-92</v>
      </c>
      <c r="D20" s="39">
        <f t="shared" si="2"/>
        <v>1.3881239296869552E-88</v>
      </c>
      <c r="E20" s="39">
        <f t="shared" si="2"/>
        <v>2.4671142611224677E-85</v>
      </c>
      <c r="F20" s="39">
        <f t="shared" si="2"/>
        <v>3.1576600681136755E-82</v>
      </c>
      <c r="G20" s="39">
        <f t="shared" si="2"/>
        <v>3.1042003589995598E-79</v>
      </c>
      <c r="H20" s="39">
        <f t="shared" si="2"/>
        <v>2.441299022393784E-76</v>
      </c>
      <c r="I20" s="39">
        <f t="shared" si="2"/>
        <v>1.5796050353329633E-73</v>
      </c>
      <c r="J20" s="39">
        <f t="shared" si="2"/>
        <v>8.5823650705007587E-71</v>
      </c>
      <c r="K20" s="39">
        <f t="shared" si="2"/>
        <v>3.9768576002979326E-68</v>
      </c>
      <c r="L20" s="39">
        <f t="shared" si="3"/>
        <v>1.5908559148984704E-65</v>
      </c>
      <c r="M20" s="39">
        <f t="shared" si="3"/>
        <v>5.5477347212930449E-63</v>
      </c>
      <c r="N20" s="39">
        <f t="shared" si="3"/>
        <v>1.7000152360130565E-60</v>
      </c>
      <c r="O20" s="39">
        <f t="shared" si="3"/>
        <v>4.6079173224425697E-58</v>
      </c>
      <c r="P20" s="39">
        <f t="shared" si="3"/>
        <v>1.1108761502851103E-55</v>
      </c>
      <c r="Q20" s="39">
        <f t="shared" si="3"/>
        <v>2.393062305390494E-53</v>
      </c>
      <c r="R20" s="39">
        <f t="shared" si="3"/>
        <v>4.6246599363137815E-51</v>
      </c>
      <c r="S20" s="39">
        <f t="shared" si="3"/>
        <v>8.0444375593382331E-49</v>
      </c>
      <c r="T20" s="39">
        <f t="shared" si="3"/>
        <v>1.2630939023620331E-46</v>
      </c>
      <c r="U20" s="39">
        <f t="shared" si="3"/>
        <v>1.7945054093346094E-44</v>
      </c>
      <c r="V20" s="39">
        <f t="shared" si="3"/>
        <v>2.3115450478376875E-42</v>
      </c>
      <c r="W20" s="37">
        <v>0.98299999999999998</v>
      </c>
    </row>
    <row r="21" spans="2:23" x14ac:dyDescent="0.25">
      <c r="B21" s="39">
        <f t="shared" si="2"/>
        <v>5.0797620529387622E-94</v>
      </c>
      <c r="C21" s="39">
        <f t="shared" si="2"/>
        <v>2.6142764507174696E-90</v>
      </c>
      <c r="D21" s="39">
        <f t="shared" si="2"/>
        <v>6.4738149377540463E-87</v>
      </c>
      <c r="E21" s="39">
        <f t="shared" si="2"/>
        <v>1.0284102823120961E-83</v>
      </c>
      <c r="F21" s="39">
        <f t="shared" si="2"/>
        <v>1.178875704707616E-80</v>
      </c>
      <c r="G21" s="39">
        <f t="shared" si="2"/>
        <v>1.0399842915501611E-77</v>
      </c>
      <c r="H21" s="39">
        <f t="shared" si="2"/>
        <v>7.3534556261727483E-75</v>
      </c>
      <c r="I21" s="39">
        <f t="shared" si="2"/>
        <v>4.2855174966932033E-72</v>
      </c>
      <c r="J21" s="39">
        <f t="shared" si="2"/>
        <v>2.1009222855179522E-69</v>
      </c>
      <c r="K21" s="39">
        <f t="shared" si="2"/>
        <v>8.7989284916374751E-67</v>
      </c>
      <c r="L21" s="39">
        <f t="shared" si="3"/>
        <v>3.186556574278363E-64</v>
      </c>
      <c r="M21" s="39">
        <f t="shared" si="3"/>
        <v>1.0076246376201457E-61</v>
      </c>
      <c r="N21" s="39">
        <f t="shared" si="3"/>
        <v>2.8041262220491235E-59</v>
      </c>
      <c r="O21" s="39">
        <f t="shared" si="3"/>
        <v>6.9128883572701027E-57</v>
      </c>
      <c r="P21" s="39">
        <f t="shared" si="3"/>
        <v>1.5179560261646041E-54</v>
      </c>
      <c r="Q21" s="39">
        <f t="shared" si="3"/>
        <v>2.9826054928043668E-52</v>
      </c>
      <c r="R21" s="39">
        <f t="shared" si="3"/>
        <v>5.264550864054018E-50</v>
      </c>
      <c r="S21" s="39">
        <f t="shared" si="3"/>
        <v>8.3751206699665838E-48</v>
      </c>
      <c r="T21" s="39">
        <f t="shared" si="3"/>
        <v>1.2042107704130186E-45</v>
      </c>
      <c r="U21" s="39">
        <f t="shared" si="3"/>
        <v>1.5686459400559878E-43</v>
      </c>
      <c r="V21" s="39">
        <f t="shared" si="3"/>
        <v>1.8549085456654585E-41</v>
      </c>
      <c r="W21" s="37">
        <v>0.98199999999999998</v>
      </c>
    </row>
    <row r="22" spans="2:23" x14ac:dyDescent="0.25">
      <c r="B22" s="39">
        <f t="shared" si="2"/>
        <v>2.1732436648908211E-92</v>
      </c>
      <c r="C22" s="39">
        <f t="shared" si="2"/>
        <v>1.0073910687346998E-88</v>
      </c>
      <c r="D22" s="39">
        <f t="shared" si="2"/>
        <v>2.2508792109781954E-85</v>
      </c>
      <c r="E22" s="39">
        <f t="shared" si="2"/>
        <v>3.2317811715609811E-82</v>
      </c>
      <c r="F22" s="39">
        <f t="shared" si="2"/>
        <v>3.3538316134265598E-79</v>
      </c>
      <c r="G22" s="39">
        <f t="shared" si="2"/>
        <v>2.6828027436228499E-76</v>
      </c>
      <c r="H22" s="39">
        <f t="shared" si="2"/>
        <v>1.722706314555194E-73</v>
      </c>
      <c r="I22" s="39">
        <f t="shared" si="2"/>
        <v>9.1312245677786987E-71</v>
      </c>
      <c r="J22" s="39">
        <f t="shared" si="2"/>
        <v>4.0772745849952484E-68</v>
      </c>
      <c r="K22" s="39">
        <f t="shared" si="2"/>
        <v>1.5575184522740565E-65</v>
      </c>
      <c r="L22" s="39">
        <f t="shared" si="3"/>
        <v>5.151806518383458E-63</v>
      </c>
      <c r="M22" s="39">
        <f t="shared" si="3"/>
        <v>1.4898580625137435E-60</v>
      </c>
      <c r="N22" s="39">
        <f t="shared" si="3"/>
        <v>3.7967237970683832E-58</v>
      </c>
      <c r="O22" s="39">
        <f t="shared" si="3"/>
        <v>8.5817838776391446E-56</v>
      </c>
      <c r="P22" s="39">
        <f t="shared" si="3"/>
        <v>1.7298557004623071E-53</v>
      </c>
      <c r="Q22" s="39">
        <f t="shared" si="3"/>
        <v>3.1238537216566324E-51</v>
      </c>
      <c r="R22" s="39">
        <f t="shared" si="3"/>
        <v>5.0733870575416598E-49</v>
      </c>
      <c r="S22" s="39">
        <f t="shared" si="3"/>
        <v>7.434534742677525E-47</v>
      </c>
      <c r="T22" s="39">
        <f t="shared" si="3"/>
        <v>9.8574081823934011E-45</v>
      </c>
      <c r="U22" s="39">
        <f t="shared" si="3"/>
        <v>1.1853370540264486E-42</v>
      </c>
      <c r="V22" s="39">
        <f t="shared" si="3"/>
        <v>1.2952200076294229E-40</v>
      </c>
      <c r="W22" s="37">
        <v>0.98099999999999998</v>
      </c>
    </row>
    <row r="23" spans="2:23" x14ac:dyDescent="0.25">
      <c r="B23" s="39">
        <f t="shared" ref="B23:K32" si="4">_xlfn.HYPGEOM.DIST(B$2,comau,tongtheN*$W23,tongtheN,TRUE)</f>
        <v>7.0972353666020306E-91</v>
      </c>
      <c r="C23" s="39">
        <f t="shared" si="4"/>
        <v>2.9921414661165007E-87</v>
      </c>
      <c r="D23" s="39">
        <f t="shared" si="4"/>
        <v>6.0893019757824828E-84</v>
      </c>
      <c r="E23" s="39">
        <f t="shared" si="4"/>
        <v>7.974391985929718E-81</v>
      </c>
      <c r="F23" s="39">
        <f t="shared" si="4"/>
        <v>7.5583680583905329E-78</v>
      </c>
      <c r="G23" s="39">
        <f t="shared" si="4"/>
        <v>5.5294271152319902E-75</v>
      </c>
      <c r="H23" s="39">
        <f t="shared" si="4"/>
        <v>3.2513529000631362E-72</v>
      </c>
      <c r="I23" s="39">
        <f t="shared" si="4"/>
        <v>1.5800990740592485E-69</v>
      </c>
      <c r="J23" s="39">
        <f t="shared" si="4"/>
        <v>6.4766948047193155E-67</v>
      </c>
      <c r="K23" s="39">
        <f t="shared" si="4"/>
        <v>2.2738196972570358E-64</v>
      </c>
      <c r="L23" s="39">
        <f t="shared" ref="L23:V32" si="5">_xlfn.HYPGEOM.DIST(L$2,comau,tongtheN*$W23,tongtheN,TRUE)</f>
        <v>6.9202044446563738E-62</v>
      </c>
      <c r="M23" s="39">
        <f t="shared" si="5"/>
        <v>1.8434214891880336E-59</v>
      </c>
      <c r="N23" s="39">
        <f t="shared" si="5"/>
        <v>4.3319166074328134E-57</v>
      </c>
      <c r="O23" s="39">
        <f t="shared" si="5"/>
        <v>9.0385469854096927E-55</v>
      </c>
      <c r="P23" s="39">
        <f t="shared" si="5"/>
        <v>1.6835564257285335E-52</v>
      </c>
      <c r="Q23" s="39">
        <f t="shared" si="5"/>
        <v>2.812164076505814E-50</v>
      </c>
      <c r="R23" s="39">
        <f t="shared" si="5"/>
        <v>4.228677988572606E-48</v>
      </c>
      <c r="S23" s="39">
        <f t="shared" si="5"/>
        <v>5.7428972258742995E-46</v>
      </c>
      <c r="T23" s="39">
        <f t="shared" si="5"/>
        <v>7.0634113459685799E-44</v>
      </c>
      <c r="U23" s="39">
        <f t="shared" si="5"/>
        <v>7.886100271029788E-42</v>
      </c>
      <c r="V23" s="39">
        <f t="shared" si="5"/>
        <v>8.0078786133486771E-40</v>
      </c>
      <c r="W23" s="37">
        <v>0.98</v>
      </c>
    </row>
    <row r="24" spans="2:23" x14ac:dyDescent="0.25">
      <c r="B24" s="39">
        <f t="shared" si="4"/>
        <v>1.8361526940966741E-89</v>
      </c>
      <c r="C24" s="39">
        <f t="shared" si="4"/>
        <v>7.0974344404291885E-86</v>
      </c>
      <c r="D24" s="39">
        <f t="shared" si="4"/>
        <v>1.3259038158188288E-82</v>
      </c>
      <c r="E24" s="39">
        <f t="shared" si="4"/>
        <v>1.5957994116971859E-79</v>
      </c>
      <c r="F24" s="39">
        <f t="shared" si="4"/>
        <v>1.3916882244587357E-76</v>
      </c>
      <c r="G24" s="39">
        <f t="shared" si="4"/>
        <v>9.3780127329223014E-74</v>
      </c>
      <c r="H24" s="39">
        <f t="shared" si="4"/>
        <v>5.0848980425668482E-71</v>
      </c>
      <c r="I24" s="39">
        <f t="shared" si="4"/>
        <v>2.2811206287447555E-68</v>
      </c>
      <c r="J24" s="39">
        <f t="shared" si="4"/>
        <v>8.6399180457843884E-66</v>
      </c>
      <c r="K24" s="39">
        <f t="shared" si="4"/>
        <v>2.8056889677253794E-63</v>
      </c>
      <c r="L24" s="39">
        <f t="shared" si="5"/>
        <v>7.9059455381000397E-61</v>
      </c>
      <c r="M24" s="39">
        <f t="shared" si="5"/>
        <v>1.9517512409561569E-58</v>
      </c>
      <c r="N24" s="39">
        <f t="shared" si="5"/>
        <v>4.2544968921858938E-56</v>
      </c>
      <c r="O24" s="39">
        <f t="shared" si="5"/>
        <v>8.2419249554319962E-54</v>
      </c>
      <c r="P24" s="39">
        <f t="shared" si="5"/>
        <v>1.4266052704125848E-51</v>
      </c>
      <c r="Q24" s="39">
        <f t="shared" si="5"/>
        <v>2.2163485101476172E-49</v>
      </c>
      <c r="R24" s="39">
        <f t="shared" si="5"/>
        <v>3.1023419622407185E-47</v>
      </c>
      <c r="S24" s="39">
        <f t="shared" si="5"/>
        <v>3.9251996246528677E-45</v>
      </c>
      <c r="T24" s="39">
        <f t="shared" si="5"/>
        <v>4.5013288978439534E-43</v>
      </c>
      <c r="U24" s="39">
        <f t="shared" si="5"/>
        <v>4.6894959716082052E-41</v>
      </c>
      <c r="V24" s="39">
        <f t="shared" si="5"/>
        <v>4.4468607741576917E-39</v>
      </c>
      <c r="W24" s="37">
        <v>0.97899999999999998</v>
      </c>
    </row>
    <row r="25" spans="2:23" x14ac:dyDescent="0.25">
      <c r="B25" s="39">
        <f t="shared" si="4"/>
        <v>2.3626517334595884E-88</v>
      </c>
      <c r="C25" s="39">
        <f t="shared" si="4"/>
        <v>8.5397138193690122E-85</v>
      </c>
      <c r="D25" s="39">
        <f t="shared" si="4"/>
        <v>1.4930748877483895E-81</v>
      </c>
      <c r="E25" s="39">
        <f t="shared" si="4"/>
        <v>1.6832260476326446E-78</v>
      </c>
      <c r="F25" s="39">
        <f t="shared" si="4"/>
        <v>1.3761262128282456E-75</v>
      </c>
      <c r="G25" s="39">
        <f t="shared" si="4"/>
        <v>8.7001738925823925E-73</v>
      </c>
      <c r="H25" s="39">
        <f t="shared" si="4"/>
        <v>4.4293516137766468E-70</v>
      </c>
      <c r="I25" s="39">
        <f t="shared" si="4"/>
        <v>1.8671475205788322E-67</v>
      </c>
      <c r="J25" s="39">
        <f t="shared" si="4"/>
        <v>6.6502220858639006E-65</v>
      </c>
      <c r="K25" s="39">
        <f t="shared" si="4"/>
        <v>2.032254785742876E-62</v>
      </c>
      <c r="L25" s="39">
        <f t="shared" si="5"/>
        <v>5.3927846381418729E-60</v>
      </c>
      <c r="M25" s="39">
        <f t="shared" si="5"/>
        <v>1.2546012219121032E-57</v>
      </c>
      <c r="N25" s="39">
        <f t="shared" si="5"/>
        <v>2.5789675483242863E-55</v>
      </c>
      <c r="O25" s="39">
        <f t="shared" si="5"/>
        <v>4.7144444049061355E-53</v>
      </c>
      <c r="P25" s="39">
        <f t="shared" si="5"/>
        <v>7.705329572276202E-51</v>
      </c>
      <c r="Q25" s="39">
        <f t="shared" si="5"/>
        <v>1.1310611985119787E-48</v>
      </c>
      <c r="R25" s="39">
        <f t="shared" si="5"/>
        <v>1.4968128588349859E-46</v>
      </c>
      <c r="S25" s="39">
        <f t="shared" si="5"/>
        <v>1.7915656029592339E-44</v>
      </c>
      <c r="T25" s="39">
        <f t="shared" si="5"/>
        <v>1.9447447063034215E-42</v>
      </c>
      <c r="U25" s="39">
        <f t="shared" si="5"/>
        <v>1.9188952424119396E-40</v>
      </c>
      <c r="V25" s="39">
        <f t="shared" si="5"/>
        <v>1.7243643603744863E-38</v>
      </c>
      <c r="W25" s="37">
        <v>0.97799999999999998</v>
      </c>
    </row>
    <row r="26" spans="2:23" x14ac:dyDescent="0.25">
      <c r="B26" s="39">
        <f t="shared" si="4"/>
        <v>4.2919135408752654E-87</v>
      </c>
      <c r="C26" s="39">
        <f t="shared" si="4"/>
        <v>1.4389866406796087E-83</v>
      </c>
      <c r="D26" s="39">
        <f t="shared" si="4"/>
        <v>2.3358792427903068E-80</v>
      </c>
      <c r="E26" s="39">
        <f t="shared" si="4"/>
        <v>2.4470920098225648E-77</v>
      </c>
      <c r="F26" s="39">
        <f t="shared" si="4"/>
        <v>1.8607146570570593E-74</v>
      </c>
      <c r="G26" s="39">
        <f t="shared" si="4"/>
        <v>1.0950372898205377E-71</v>
      </c>
      <c r="H26" s="39">
        <f t="shared" si="4"/>
        <v>5.1937127986312863E-69</v>
      </c>
      <c r="I26" s="39">
        <f t="shared" si="4"/>
        <v>2.0412789514794419E-66</v>
      </c>
      <c r="J26" s="39">
        <f t="shared" si="4"/>
        <v>6.7840194576557706E-64</v>
      </c>
      <c r="K26" s="39">
        <f t="shared" si="4"/>
        <v>1.9359312807960498E-61</v>
      </c>
      <c r="L26" s="39">
        <f t="shared" si="5"/>
        <v>4.8007819153136231E-59</v>
      </c>
      <c r="M26" s="39">
        <f t="shared" si="5"/>
        <v>1.0445058669708231E-56</v>
      </c>
      <c r="N26" s="39">
        <f t="shared" si="5"/>
        <v>2.0094148879895658E-54</v>
      </c>
      <c r="O26" s="39">
        <f t="shared" si="5"/>
        <v>3.4401585390724755E-52</v>
      </c>
      <c r="P26" s="39">
        <f t="shared" si="5"/>
        <v>5.2694170826791456E-50</v>
      </c>
      <c r="Q26" s="39">
        <f t="shared" si="5"/>
        <v>7.2539387540763566E-48</v>
      </c>
      <c r="R26" s="39">
        <f t="shared" si="5"/>
        <v>9.0086292567547817E-46</v>
      </c>
      <c r="S26" s="39">
        <f t="shared" si="5"/>
        <v>1.0125315215694909E-43</v>
      </c>
      <c r="T26" s="39">
        <f t="shared" si="5"/>
        <v>1.0327581979200124E-41</v>
      </c>
      <c r="U26" s="39">
        <f t="shared" si="5"/>
        <v>9.5811513543544719E-40</v>
      </c>
      <c r="V26" s="39">
        <f t="shared" si="5"/>
        <v>8.1001074480041708E-38</v>
      </c>
      <c r="W26" s="37">
        <v>0.97699999999999998</v>
      </c>
    </row>
    <row r="27" spans="2:23" x14ac:dyDescent="0.25">
      <c r="B27" s="39">
        <f t="shared" si="4"/>
        <v>6.6321493760553976E-86</v>
      </c>
      <c r="C27" s="39">
        <f t="shared" si="4"/>
        <v>2.0732098949548675E-82</v>
      </c>
      <c r="D27" s="39">
        <f t="shared" si="4"/>
        <v>3.1402277367764956E-79</v>
      </c>
      <c r="E27" s="39">
        <f t="shared" si="4"/>
        <v>3.0719824720245734E-76</v>
      </c>
      <c r="F27" s="39">
        <f t="shared" si="4"/>
        <v>2.1828904275718646E-73</v>
      </c>
      <c r="G27" s="39">
        <f t="shared" si="4"/>
        <v>1.2013891373970974E-70</v>
      </c>
      <c r="H27" s="39">
        <f t="shared" si="4"/>
        <v>5.3327026608229065E-68</v>
      </c>
      <c r="I27" s="39">
        <f t="shared" si="4"/>
        <v>1.9628711083208082E-65</v>
      </c>
      <c r="J27" s="39">
        <f t="shared" si="4"/>
        <v>6.1135769431567594E-63</v>
      </c>
      <c r="K27" s="39">
        <f t="shared" si="4"/>
        <v>1.6360996350172839E-60</v>
      </c>
      <c r="L27" s="39">
        <f t="shared" si="5"/>
        <v>3.8074122063291969E-58</v>
      </c>
      <c r="M27" s="39">
        <f t="shared" si="5"/>
        <v>7.7787114108023594E-56</v>
      </c>
      <c r="N27" s="39">
        <f t="shared" si="5"/>
        <v>1.4061133416255138E-53</v>
      </c>
      <c r="O27" s="39">
        <f t="shared" si="5"/>
        <v>2.2633551501358216E-51</v>
      </c>
      <c r="P27" s="39">
        <f t="shared" si="5"/>
        <v>3.2615545418461778E-49</v>
      </c>
      <c r="Q27" s="39">
        <f t="shared" si="5"/>
        <v>4.2265199323780543E-47</v>
      </c>
      <c r="R27" s="39">
        <f t="shared" si="5"/>
        <v>4.9438909515827602E-45</v>
      </c>
      <c r="S27" s="39">
        <f t="shared" si="5"/>
        <v>5.2368386914819057E-43</v>
      </c>
      <c r="T27" s="39">
        <f t="shared" si="5"/>
        <v>5.0367970123029433E-41</v>
      </c>
      <c r="U27" s="39">
        <f t="shared" si="5"/>
        <v>4.4086824032695423E-39</v>
      </c>
      <c r="V27" s="39">
        <f t="shared" si="5"/>
        <v>3.5184631179721367E-37</v>
      </c>
      <c r="W27" s="37">
        <v>0.97599999999999998</v>
      </c>
    </row>
    <row r="28" spans="2:23" x14ac:dyDescent="0.25">
      <c r="B28" s="39">
        <f t="shared" si="4"/>
        <v>8.8705426274910639E-85</v>
      </c>
      <c r="C28" s="39">
        <f t="shared" si="4"/>
        <v>2.5969067950894418E-81</v>
      </c>
      <c r="D28" s="39">
        <f t="shared" si="4"/>
        <v>3.6862953928478527E-78</v>
      </c>
      <c r="E28" s="39">
        <f t="shared" si="4"/>
        <v>3.3818633396636932E-75</v>
      </c>
      <c r="F28" s="39">
        <f t="shared" si="4"/>
        <v>2.2550904168481132E-72</v>
      </c>
      <c r="G28" s="39">
        <f t="shared" si="4"/>
        <v>1.1654426949882781E-69</v>
      </c>
      <c r="H28" s="39">
        <f t="shared" si="4"/>
        <v>4.860764732937911E-67</v>
      </c>
      <c r="I28" s="39">
        <f t="shared" si="4"/>
        <v>1.6821639446915684E-64</v>
      </c>
      <c r="J28" s="39">
        <f t="shared" si="4"/>
        <v>4.9289587046763339E-62</v>
      </c>
      <c r="K28" s="39">
        <f t="shared" si="4"/>
        <v>1.2416854171086478E-59</v>
      </c>
      <c r="L28" s="39">
        <f t="shared" si="5"/>
        <v>2.7216202160519381E-57</v>
      </c>
      <c r="M28" s="39">
        <f t="shared" si="5"/>
        <v>5.2402253468570413E-55</v>
      </c>
      <c r="N28" s="39">
        <f t="shared" si="5"/>
        <v>8.9320568956399422E-53</v>
      </c>
      <c r="O28" s="39">
        <f t="shared" si="5"/>
        <v>1.3564765697082733E-50</v>
      </c>
      <c r="P28" s="39">
        <f t="shared" si="5"/>
        <v>1.8452186184927254E-48</v>
      </c>
      <c r="Q28" s="39">
        <f t="shared" si="5"/>
        <v>2.2583983341673874E-46</v>
      </c>
      <c r="R28" s="39">
        <f t="shared" si="5"/>
        <v>2.4963623474480235E-44</v>
      </c>
      <c r="S28" s="39">
        <f t="shared" si="5"/>
        <v>2.5000672259901787E-42</v>
      </c>
      <c r="T28" s="39">
        <f t="shared" si="5"/>
        <v>2.2745704981333716E-40</v>
      </c>
      <c r="U28" s="39">
        <f t="shared" si="5"/>
        <v>1.8842179996763704E-38</v>
      </c>
      <c r="V28" s="39">
        <f t="shared" si="5"/>
        <v>1.4238490946013785E-36</v>
      </c>
      <c r="W28" s="37">
        <v>0.97499999999999998</v>
      </c>
    </row>
    <row r="29" spans="2:23" x14ac:dyDescent="0.25">
      <c r="B29" s="39">
        <f t="shared" si="4"/>
        <v>6.9703627965695518E-84</v>
      </c>
      <c r="C29" s="39">
        <f t="shared" si="4"/>
        <v>1.9379057857817219E-80</v>
      </c>
      <c r="D29" s="39">
        <f t="shared" si="4"/>
        <v>2.613722625574018E-77</v>
      </c>
      <c r="E29" s="39">
        <f t="shared" si="4"/>
        <v>2.2794814270840304E-74</v>
      </c>
      <c r="F29" s="39">
        <f t="shared" si="4"/>
        <v>1.4456658285825789E-71</v>
      </c>
      <c r="G29" s="39">
        <f t="shared" si="4"/>
        <v>7.1093191487039625E-69</v>
      </c>
      <c r="H29" s="39">
        <f t="shared" si="4"/>
        <v>2.8227992042020762E-66</v>
      </c>
      <c r="I29" s="39">
        <f t="shared" si="4"/>
        <v>9.3042908827857456E-64</v>
      </c>
      <c r="J29" s="39">
        <f t="shared" si="4"/>
        <v>2.5978089656757644E-61</v>
      </c>
      <c r="K29" s="39">
        <f t="shared" si="4"/>
        <v>6.2387059458175677E-59</v>
      </c>
      <c r="L29" s="39">
        <f t="shared" si="5"/>
        <v>1.3041622741140288E-56</v>
      </c>
      <c r="M29" s="39">
        <f t="shared" si="5"/>
        <v>2.395863465825332E-54</v>
      </c>
      <c r="N29" s="39">
        <f t="shared" si="5"/>
        <v>3.8981184611853189E-52</v>
      </c>
      <c r="O29" s="39">
        <f t="shared" si="5"/>
        <v>5.6531108458219033E-50</v>
      </c>
      <c r="P29" s="39">
        <f t="shared" si="5"/>
        <v>7.3463518390358511E-48</v>
      </c>
      <c r="Q29" s="39">
        <f t="shared" si="5"/>
        <v>8.5930453113437691E-46</v>
      </c>
      <c r="R29" s="39">
        <f t="shared" si="5"/>
        <v>9.0812960029848991E-44</v>
      </c>
      <c r="S29" s="39">
        <f t="shared" si="5"/>
        <v>8.6986858400606976E-42</v>
      </c>
      <c r="T29" s="39">
        <f t="shared" si="5"/>
        <v>7.5723104403900048E-40</v>
      </c>
      <c r="U29" s="39">
        <f t="shared" si="5"/>
        <v>6.0041258663411674E-38</v>
      </c>
      <c r="V29" s="39">
        <f t="shared" si="5"/>
        <v>4.3444238296809236E-36</v>
      </c>
      <c r="W29" s="37">
        <v>0.97399999999999998</v>
      </c>
    </row>
    <row r="30" spans="2:23" x14ac:dyDescent="0.25">
      <c r="B30" s="39">
        <f t="shared" si="4"/>
        <v>7.4209087702261766E-83</v>
      </c>
      <c r="C30" s="39">
        <f t="shared" si="4"/>
        <v>1.9454363144017575E-79</v>
      </c>
      <c r="D30" s="39">
        <f t="shared" si="4"/>
        <v>2.4755154597117702E-76</v>
      </c>
      <c r="E30" s="39">
        <f t="shared" si="4"/>
        <v>2.0379740183831184E-73</v>
      </c>
      <c r="F30" s="39">
        <f t="shared" si="4"/>
        <v>1.2207233106493615E-70</v>
      </c>
      <c r="G30" s="39">
        <f t="shared" si="4"/>
        <v>5.6727041847837033E-68</v>
      </c>
      <c r="H30" s="39">
        <f t="shared" si="4"/>
        <v>2.1294962144691966E-65</v>
      </c>
      <c r="I30" s="39">
        <f t="shared" si="4"/>
        <v>6.6394619583896932E-63</v>
      </c>
      <c r="J30" s="39">
        <f t="shared" si="4"/>
        <v>1.7543798061213784E-60</v>
      </c>
      <c r="K30" s="39">
        <f t="shared" si="4"/>
        <v>3.9892204062461548E-58</v>
      </c>
      <c r="L30" s="39">
        <f t="shared" si="5"/>
        <v>7.8996690187032142E-56</v>
      </c>
      <c r="M30" s="39">
        <f t="shared" si="5"/>
        <v>1.3753909078177355E-53</v>
      </c>
      <c r="N30" s="39">
        <f t="shared" si="5"/>
        <v>2.1218053926852862E-51</v>
      </c>
      <c r="O30" s="39">
        <f t="shared" si="5"/>
        <v>2.9189099213223109E-49</v>
      </c>
      <c r="P30" s="39">
        <f t="shared" si="5"/>
        <v>3.5998181583137043E-47</v>
      </c>
      <c r="Q30" s="39">
        <f t="shared" si="5"/>
        <v>3.9978029333070622E-45</v>
      </c>
      <c r="R30" s="39">
        <f t="shared" si="5"/>
        <v>4.01304713370655E-43</v>
      </c>
      <c r="S30" s="39">
        <f t="shared" si="5"/>
        <v>3.6527162325820199E-41</v>
      </c>
      <c r="T30" s="39">
        <f t="shared" si="5"/>
        <v>3.0227857228410352E-39</v>
      </c>
      <c r="U30" s="39">
        <f t="shared" si="5"/>
        <v>2.2794149364071701E-37</v>
      </c>
      <c r="V30" s="39">
        <f t="shared" si="5"/>
        <v>1.5691905944094624E-35</v>
      </c>
      <c r="W30" s="37">
        <v>0.97299999999999998</v>
      </c>
    </row>
    <row r="31" spans="2:23" x14ac:dyDescent="0.25">
      <c r="B31" s="39">
        <f t="shared" si="4"/>
        <v>7.0909449170892052E-82</v>
      </c>
      <c r="C31" s="39">
        <f t="shared" si="4"/>
        <v>1.7583849097808026E-78</v>
      </c>
      <c r="D31" s="39">
        <f t="shared" si="4"/>
        <v>2.1175143929373599E-75</v>
      </c>
      <c r="E31" s="39">
        <f t="shared" si="4"/>
        <v>1.6505674128213512E-72</v>
      </c>
      <c r="F31" s="39">
        <f t="shared" si="4"/>
        <v>9.3655258491527392E-70</v>
      </c>
      <c r="G31" s="39">
        <f t="shared" si="4"/>
        <v>4.1246603758152995E-67</v>
      </c>
      <c r="H31" s="39">
        <f t="shared" si="4"/>
        <v>1.4681059278711637E-64</v>
      </c>
      <c r="I31" s="39">
        <f t="shared" si="4"/>
        <v>4.3420198780995476E-62</v>
      </c>
      <c r="J31" s="39">
        <f t="shared" si="4"/>
        <v>1.0888136966760618E-59</v>
      </c>
      <c r="K31" s="39">
        <f t="shared" si="4"/>
        <v>2.3505984355922947E-57</v>
      </c>
      <c r="L31" s="39">
        <f t="shared" si="5"/>
        <v>4.4212599819684495E-55</v>
      </c>
      <c r="M31" s="39">
        <f t="shared" si="5"/>
        <v>7.3146458162715511E-53</v>
      </c>
      <c r="N31" s="39">
        <f t="shared" si="5"/>
        <v>1.0727116165247116E-50</v>
      </c>
      <c r="O31" s="39">
        <f t="shared" si="5"/>
        <v>1.4034140362752945E-48</v>
      </c>
      <c r="P31" s="39">
        <f t="shared" si="5"/>
        <v>1.6466753323713724E-46</v>
      </c>
      <c r="Q31" s="39">
        <f t="shared" si="5"/>
        <v>1.7405358520848057E-44</v>
      </c>
      <c r="R31" s="39">
        <f t="shared" si="5"/>
        <v>1.6635630338979759E-42</v>
      </c>
      <c r="S31" s="39">
        <f t="shared" si="5"/>
        <v>1.442284742688854E-40</v>
      </c>
      <c r="T31" s="39">
        <f t="shared" si="5"/>
        <v>1.1373042989296559E-38</v>
      </c>
      <c r="U31" s="39">
        <f t="shared" si="5"/>
        <v>8.1750177262418014E-37</v>
      </c>
      <c r="V31" s="39">
        <f t="shared" si="5"/>
        <v>5.3665652387813429E-35</v>
      </c>
      <c r="W31" s="37">
        <v>0.97199999999999998</v>
      </c>
    </row>
    <row r="32" spans="2:23" x14ac:dyDescent="0.25">
      <c r="B32" s="39">
        <f t="shared" si="4"/>
        <v>6.1396887590308406E-81</v>
      </c>
      <c r="C32" s="39">
        <f t="shared" si="4"/>
        <v>1.444214737595906E-77</v>
      </c>
      <c r="D32" s="39">
        <f t="shared" si="4"/>
        <v>1.650487417856091E-74</v>
      </c>
      <c r="E32" s="39">
        <f t="shared" si="4"/>
        <v>1.2214518333015042E-71</v>
      </c>
      <c r="F32" s="39">
        <f t="shared" si="4"/>
        <v>6.5829194280414605E-69</v>
      </c>
      <c r="G32" s="39">
        <f t="shared" si="4"/>
        <v>2.7548683915160444E-66</v>
      </c>
      <c r="H32" s="39">
        <f t="shared" si="4"/>
        <v>9.3212971160386312E-64</v>
      </c>
      <c r="I32" s="39">
        <f t="shared" si="4"/>
        <v>2.6217674278190159E-61</v>
      </c>
      <c r="J32" s="39">
        <f t="shared" si="4"/>
        <v>6.2548024089354985E-59</v>
      </c>
      <c r="K32" s="39">
        <f t="shared" si="4"/>
        <v>1.2851908679252001E-56</v>
      </c>
      <c r="L32" s="39">
        <f t="shared" si="5"/>
        <v>2.3016179064888051E-54</v>
      </c>
      <c r="M32" s="39">
        <f t="shared" si="5"/>
        <v>3.6269758305839839E-52</v>
      </c>
      <c r="N32" s="39">
        <f t="shared" si="5"/>
        <v>5.0682984217395666E-50</v>
      </c>
      <c r="O32" s="39">
        <f t="shared" si="5"/>
        <v>6.3205375124105446E-48</v>
      </c>
      <c r="P32" s="39">
        <f t="shared" si="5"/>
        <v>7.0717016940818414E-46</v>
      </c>
      <c r="Q32" s="39">
        <f t="shared" si="5"/>
        <v>7.1302225421901765E-44</v>
      </c>
      <c r="R32" s="39">
        <f t="shared" si="5"/>
        <v>6.5030583437731013E-42</v>
      </c>
      <c r="S32" s="39">
        <f t="shared" si="5"/>
        <v>5.3819489746082216E-40</v>
      </c>
      <c r="T32" s="39">
        <f t="shared" si="5"/>
        <v>4.0525200381252696E-38</v>
      </c>
      <c r="U32" s="39">
        <f t="shared" si="5"/>
        <v>2.7825615164914777E-36</v>
      </c>
      <c r="V32" s="39">
        <f t="shared" si="5"/>
        <v>1.7454431245248803E-34</v>
      </c>
      <c r="W32" s="37">
        <v>0.97099999999999997</v>
      </c>
    </row>
    <row r="33" spans="2:23" x14ac:dyDescent="0.25">
      <c r="B33" s="39">
        <f t="shared" ref="B33:K42" si="6">_xlfn.HYPGEOM.DIST(B$2,comau,tongtheN*$W33,tongtheN,TRUE)</f>
        <v>3.4615780030949363E-80</v>
      </c>
      <c r="C33" s="39">
        <f t="shared" si="6"/>
        <v>7.80736585836751E-77</v>
      </c>
      <c r="D33" s="39">
        <f t="shared" si="6"/>
        <v>8.5580770515971521E-74</v>
      </c>
      <c r="E33" s="39">
        <f t="shared" si="6"/>
        <v>6.0768066197300772E-71</v>
      </c>
      <c r="F33" s="39">
        <f t="shared" si="6"/>
        <v>3.1433613031844795E-68</v>
      </c>
      <c r="G33" s="39">
        <f t="shared" si="6"/>
        <v>1.2629689709690211E-65</v>
      </c>
      <c r="H33" s="39">
        <f t="shared" si="6"/>
        <v>4.1041330941243053E-63</v>
      </c>
      <c r="I33" s="39">
        <f t="shared" si="6"/>
        <v>1.1089898985895913E-60</v>
      </c>
      <c r="J33" s="39">
        <f t="shared" si="6"/>
        <v>2.5425434383431104E-58</v>
      </c>
      <c r="K33" s="39">
        <f t="shared" si="6"/>
        <v>5.0219777460814761E-56</v>
      </c>
      <c r="L33" s="39">
        <f t="shared" ref="L33:V42" si="7">_xlfn.HYPGEOM.DIST(L$2,comau,tongtheN*$W33,tongtheN,TRUE)</f>
        <v>8.6481216959558062E-54</v>
      </c>
      <c r="M33" s="39">
        <f t="shared" si="7"/>
        <v>1.3108161164618286E-51</v>
      </c>
      <c r="N33" s="39">
        <f t="shared" si="7"/>
        <v>1.7623538341334141E-49</v>
      </c>
      <c r="O33" s="39">
        <f t="shared" si="7"/>
        <v>2.1151551059924914E-47</v>
      </c>
      <c r="P33" s="39">
        <f t="shared" si="7"/>
        <v>2.2781961293772437E-45</v>
      </c>
      <c r="Q33" s="39">
        <f t="shared" si="7"/>
        <v>2.2119189375155867E-43</v>
      </c>
      <c r="R33" s="39">
        <f t="shared" si="7"/>
        <v>1.943126258976989E-41</v>
      </c>
      <c r="S33" s="39">
        <f t="shared" si="7"/>
        <v>1.5493761787369329E-39</v>
      </c>
      <c r="T33" s="39">
        <f t="shared" si="7"/>
        <v>1.1243240524333323E-37</v>
      </c>
      <c r="U33" s="39">
        <f t="shared" si="7"/>
        <v>7.4417266495961523E-36</v>
      </c>
      <c r="V33" s="39">
        <f t="shared" si="7"/>
        <v>4.5010034672496589E-34</v>
      </c>
      <c r="W33" s="37">
        <v>0.97</v>
      </c>
    </row>
    <row r="34" spans="2:23" x14ac:dyDescent="0.25">
      <c r="B34" s="39">
        <f t="shared" si="6"/>
        <v>2.554551971476734E-79</v>
      </c>
      <c r="C34" s="39">
        <f t="shared" si="6"/>
        <v>5.489928690701499E-76</v>
      </c>
      <c r="D34" s="39">
        <f t="shared" si="6"/>
        <v>5.7361516170216717E-73</v>
      </c>
      <c r="E34" s="39">
        <f t="shared" si="6"/>
        <v>3.8838312068839773E-70</v>
      </c>
      <c r="F34" s="39">
        <f t="shared" si="6"/>
        <v>1.9163532863375289E-67</v>
      </c>
      <c r="G34" s="39">
        <f t="shared" si="6"/>
        <v>7.3472326871597701E-65</v>
      </c>
      <c r="H34" s="39">
        <f t="shared" si="6"/>
        <v>2.2790486705191258E-62</v>
      </c>
      <c r="I34" s="39">
        <f t="shared" si="6"/>
        <v>5.8804394589030861E-60</v>
      </c>
      <c r="J34" s="39">
        <f t="shared" si="6"/>
        <v>1.2877969874310627E-57</v>
      </c>
      <c r="K34" s="39">
        <f t="shared" si="6"/>
        <v>2.4304982653470942E-55</v>
      </c>
      <c r="L34" s="39">
        <f t="shared" si="7"/>
        <v>4.0006120435872188E-53</v>
      </c>
      <c r="M34" s="39">
        <f t="shared" si="7"/>
        <v>5.7979053060736922E-51</v>
      </c>
      <c r="N34" s="39">
        <f t="shared" si="7"/>
        <v>7.455654421672318E-49</v>
      </c>
      <c r="O34" s="39">
        <f t="shared" si="7"/>
        <v>8.5612049922792859E-47</v>
      </c>
      <c r="P34" s="39">
        <f t="shared" si="7"/>
        <v>8.8250795356688364E-45</v>
      </c>
      <c r="Q34" s="39">
        <f t="shared" si="7"/>
        <v>8.202846355871979E-43</v>
      </c>
      <c r="R34" s="39">
        <f t="shared" si="7"/>
        <v>6.900737103741652E-41</v>
      </c>
      <c r="S34" s="39">
        <f t="shared" si="7"/>
        <v>5.2708414007879926E-39</v>
      </c>
      <c r="T34" s="39">
        <f t="shared" si="7"/>
        <v>3.6649752014701208E-37</v>
      </c>
      <c r="U34" s="39">
        <f t="shared" si="7"/>
        <v>2.3250695762880081E-35</v>
      </c>
      <c r="V34" s="39">
        <f t="shared" si="7"/>
        <v>1.3482764910617588E-33</v>
      </c>
      <c r="W34" s="37">
        <v>0.96899999999999997</v>
      </c>
    </row>
    <row r="35" spans="2:23" x14ac:dyDescent="0.25">
      <c r="B35" s="39">
        <f t="shared" si="6"/>
        <v>1.7446128412563995E-78</v>
      </c>
      <c r="C35" s="39">
        <f t="shared" si="6"/>
        <v>3.5801251427563717E-75</v>
      </c>
      <c r="D35" s="39">
        <f t="shared" si="6"/>
        <v>3.5731061222138288E-72</v>
      </c>
      <c r="E35" s="39">
        <f t="shared" si="6"/>
        <v>2.3116596551848058E-69</v>
      </c>
      <c r="F35" s="39">
        <f t="shared" si="6"/>
        <v>1.0902340662845852E-66</v>
      </c>
      <c r="G35" s="39">
        <f t="shared" si="6"/>
        <v>3.9965837860930085E-64</v>
      </c>
      <c r="H35" s="39">
        <f t="shared" si="6"/>
        <v>1.1857087314896725E-61</v>
      </c>
      <c r="I35" s="39">
        <f t="shared" si="6"/>
        <v>2.927048225772555E-59</v>
      </c>
      <c r="J35" s="39">
        <f t="shared" si="6"/>
        <v>6.1347611816450674E-57</v>
      </c>
      <c r="K35" s="39">
        <f t="shared" si="6"/>
        <v>1.108430227866861E-54</v>
      </c>
      <c r="L35" s="39">
        <f t="shared" si="7"/>
        <v>1.747161652119365E-52</v>
      </c>
      <c r="M35" s="39">
        <f t="shared" si="7"/>
        <v>2.4254952183301457E-50</v>
      </c>
      <c r="N35" s="39">
        <f t="shared" si="7"/>
        <v>2.988581149348939E-48</v>
      </c>
      <c r="O35" s="39">
        <f t="shared" si="7"/>
        <v>3.2891963608988494E-46</v>
      </c>
      <c r="P35" s="39">
        <f t="shared" si="7"/>
        <v>3.2506720842496947E-44</v>
      </c>
      <c r="Q35" s="39">
        <f t="shared" si="7"/>
        <v>2.8976181402609335E-42</v>
      </c>
      <c r="R35" s="39">
        <f t="shared" si="7"/>
        <v>2.338379318064613E-40</v>
      </c>
      <c r="S35" s="39">
        <f t="shared" si="7"/>
        <v>1.7138061154504844E-38</v>
      </c>
      <c r="T35" s="39">
        <f t="shared" si="7"/>
        <v>1.1437548206437557E-36</v>
      </c>
      <c r="U35" s="39">
        <f t="shared" si="7"/>
        <v>6.9661767665700865E-35</v>
      </c>
      <c r="V35" s="39">
        <f t="shared" si="7"/>
        <v>3.8792632818507732E-33</v>
      </c>
      <c r="W35" s="37">
        <v>0.96799999999999997</v>
      </c>
    </row>
    <row r="36" spans="2:23" x14ac:dyDescent="0.25">
      <c r="B36" s="39">
        <f t="shared" si="6"/>
        <v>1.1090719631555322E-77</v>
      </c>
      <c r="C36" s="39">
        <f t="shared" si="6"/>
        <v>2.1774675405074771E-74</v>
      </c>
      <c r="D36" s="39">
        <f t="shared" si="6"/>
        <v>2.0798236212108611E-71</v>
      </c>
      <c r="E36" s="39">
        <f t="shared" si="6"/>
        <v>1.2881427927431401E-68</v>
      </c>
      <c r="F36" s="39">
        <f t="shared" si="6"/>
        <v>5.8176818535556757E-66</v>
      </c>
      <c r="G36" s="39">
        <f t="shared" si="6"/>
        <v>2.042857331490359E-63</v>
      </c>
      <c r="H36" s="39">
        <f t="shared" si="6"/>
        <v>5.8072840677933029E-61</v>
      </c>
      <c r="I36" s="39">
        <f t="shared" si="6"/>
        <v>1.3740299478337332E-58</v>
      </c>
      <c r="J36" s="39">
        <f t="shared" si="6"/>
        <v>2.7609523456227428E-56</v>
      </c>
      <c r="K36" s="39">
        <f t="shared" si="6"/>
        <v>4.7839493126808232E-54</v>
      </c>
      <c r="L36" s="39">
        <f t="shared" si="7"/>
        <v>7.2335034539023284E-52</v>
      </c>
      <c r="M36" s="39">
        <f t="shared" si="7"/>
        <v>9.6354567124800235E-50</v>
      </c>
      <c r="N36" s="39">
        <f t="shared" si="7"/>
        <v>1.1394901561327308E-47</v>
      </c>
      <c r="O36" s="39">
        <f t="shared" si="7"/>
        <v>1.2039954778455059E-45</v>
      </c>
      <c r="P36" s="39">
        <f t="shared" si="7"/>
        <v>1.1426472845166345E-43</v>
      </c>
      <c r="Q36" s="39">
        <f t="shared" si="7"/>
        <v>9.783566491550741E-42</v>
      </c>
      <c r="R36" s="39">
        <f t="shared" si="7"/>
        <v>7.585770664818472E-40</v>
      </c>
      <c r="S36" s="39">
        <f t="shared" si="7"/>
        <v>5.3430038831622553E-38</v>
      </c>
      <c r="T36" s="39">
        <f t="shared" si="7"/>
        <v>3.427716262351964E-36</v>
      </c>
      <c r="U36" s="39">
        <f t="shared" si="7"/>
        <v>2.0073466333241062E-34</v>
      </c>
      <c r="V36" s="39">
        <f t="shared" si="7"/>
        <v>1.075077388843799E-32</v>
      </c>
      <c r="W36" s="37">
        <v>0.96699999999999997</v>
      </c>
    </row>
    <row r="37" spans="2:23" x14ac:dyDescent="0.25">
      <c r="B37" s="39">
        <f t="shared" si="6"/>
        <v>4.9226951863464968E-77</v>
      </c>
      <c r="C37" s="39">
        <f t="shared" si="6"/>
        <v>9.3279045991241997E-74</v>
      </c>
      <c r="D37" s="39">
        <f t="shared" si="6"/>
        <v>8.6010541637272217E-71</v>
      </c>
      <c r="E37" s="39">
        <f t="shared" si="6"/>
        <v>5.1438008778745517E-68</v>
      </c>
      <c r="F37" s="39">
        <f t="shared" si="6"/>
        <v>2.243705784029037E-65</v>
      </c>
      <c r="G37" s="39">
        <f t="shared" si="6"/>
        <v>7.6111325308951038E-63</v>
      </c>
      <c r="H37" s="39">
        <f t="shared" si="6"/>
        <v>2.0906331514422717E-60</v>
      </c>
      <c r="I37" s="39">
        <f t="shared" si="6"/>
        <v>4.7806991666604802E-58</v>
      </c>
      <c r="J37" s="39">
        <f t="shared" si="6"/>
        <v>9.2862480802918012E-56</v>
      </c>
      <c r="K37" s="39">
        <f t="shared" si="6"/>
        <v>1.5557814187008556E-53</v>
      </c>
      <c r="L37" s="39">
        <f t="shared" si="7"/>
        <v>2.2750169987554542E-51</v>
      </c>
      <c r="M37" s="39">
        <f t="shared" si="7"/>
        <v>2.9313950218303973E-49</v>
      </c>
      <c r="N37" s="39">
        <f t="shared" si="7"/>
        <v>3.3540514936040384E-47</v>
      </c>
      <c r="O37" s="39">
        <f t="shared" si="7"/>
        <v>3.4295017537359483E-45</v>
      </c>
      <c r="P37" s="39">
        <f t="shared" si="7"/>
        <v>3.1503168622550468E-43</v>
      </c>
      <c r="Q37" s="39">
        <f t="shared" si="7"/>
        <v>2.6113370059733046E-41</v>
      </c>
      <c r="R37" s="39">
        <f t="shared" si="7"/>
        <v>1.9605408602538109E-39</v>
      </c>
      <c r="S37" s="39">
        <f t="shared" si="7"/>
        <v>1.3373896325973399E-37</v>
      </c>
      <c r="T37" s="39">
        <f t="shared" si="7"/>
        <v>8.3110989735592265E-36</v>
      </c>
      <c r="U37" s="39">
        <f t="shared" si="7"/>
        <v>4.7156441247569055E-34</v>
      </c>
      <c r="V37" s="39">
        <f t="shared" si="7"/>
        <v>2.4474086019500672E-32</v>
      </c>
      <c r="W37" s="37">
        <v>0.96599999999999997</v>
      </c>
    </row>
    <row r="38" spans="2:23" x14ac:dyDescent="0.25">
      <c r="B38" s="39">
        <f t="shared" si="6"/>
        <v>2.7802749551551884E-76</v>
      </c>
      <c r="C38" s="39">
        <f t="shared" si="6"/>
        <v>5.056338869913916E-73</v>
      </c>
      <c r="D38" s="39">
        <f t="shared" si="6"/>
        <v>4.4759625985507391E-70</v>
      </c>
      <c r="E38" s="39">
        <f t="shared" si="6"/>
        <v>2.5704877100901616E-67</v>
      </c>
      <c r="F38" s="39">
        <f t="shared" si="6"/>
        <v>1.0769768776177501E-64</v>
      </c>
      <c r="G38" s="39">
        <f t="shared" si="6"/>
        <v>3.5100224171190178E-62</v>
      </c>
      <c r="H38" s="39">
        <f t="shared" si="6"/>
        <v>9.2654864426083486E-60</v>
      </c>
      <c r="I38" s="39">
        <f t="shared" si="6"/>
        <v>2.0366663278658239E-57</v>
      </c>
      <c r="J38" s="39">
        <f t="shared" si="6"/>
        <v>3.8037658975486797E-55</v>
      </c>
      <c r="K38" s="39">
        <f t="shared" si="6"/>
        <v>6.1287621074204753E-53</v>
      </c>
      <c r="L38" s="39">
        <f t="shared" si="7"/>
        <v>8.6211240862027233E-51</v>
      </c>
      <c r="M38" s="39">
        <f t="shared" si="7"/>
        <v>1.0688377901072638E-48</v>
      </c>
      <c r="N38" s="39">
        <f t="shared" si="7"/>
        <v>1.1769751960424943E-46</v>
      </c>
      <c r="O38" s="39">
        <f t="shared" si="7"/>
        <v>1.1584825256015747E-44</v>
      </c>
      <c r="P38" s="39">
        <f t="shared" si="7"/>
        <v>1.0246443764375572E-42</v>
      </c>
      <c r="Q38" s="39">
        <f t="shared" si="7"/>
        <v>8.179764159734849E-41</v>
      </c>
      <c r="R38" s="39">
        <f t="shared" si="7"/>
        <v>5.9157535736857994E-39</v>
      </c>
      <c r="S38" s="39">
        <f t="shared" si="7"/>
        <v>3.8881657723478618E-37</v>
      </c>
      <c r="T38" s="39">
        <f t="shared" si="7"/>
        <v>2.3285910439204168E-35</v>
      </c>
      <c r="U38" s="39">
        <f t="shared" si="7"/>
        <v>1.2735560328966346E-33</v>
      </c>
      <c r="V38" s="39">
        <f t="shared" si="7"/>
        <v>6.3726365902731331E-32</v>
      </c>
      <c r="W38" s="37">
        <v>0.96499999999999997</v>
      </c>
    </row>
    <row r="39" spans="2:23" x14ac:dyDescent="0.25">
      <c r="B39" s="39">
        <f t="shared" si="6"/>
        <v>1.4813017203451039E-75</v>
      </c>
      <c r="C39" s="39">
        <f t="shared" si="6"/>
        <v>2.5895669489648198E-72</v>
      </c>
      <c r="D39" s="39">
        <f t="shared" si="6"/>
        <v>2.2040394817980936E-69</v>
      </c>
      <c r="E39" s="39">
        <f t="shared" si="6"/>
        <v>1.217295003662824E-66</v>
      </c>
      <c r="F39" s="39">
        <f t="shared" si="6"/>
        <v>4.90612057090969E-64</v>
      </c>
      <c r="G39" s="39">
        <f t="shared" si="6"/>
        <v>1.5384951644850237E-61</v>
      </c>
      <c r="H39" s="39">
        <f t="shared" si="6"/>
        <v>3.9085036023005263E-59</v>
      </c>
      <c r="I39" s="39">
        <f t="shared" si="6"/>
        <v>8.2702501831238569E-57</v>
      </c>
      <c r="J39" s="39">
        <f t="shared" si="6"/>
        <v>1.4871961705553374E-54</v>
      </c>
      <c r="K39" s="39">
        <f t="shared" si="6"/>
        <v>2.3077089694331233E-52</v>
      </c>
      <c r="L39" s="39">
        <f t="shared" si="7"/>
        <v>3.126964245387458E-50</v>
      </c>
      <c r="M39" s="39">
        <f t="shared" si="7"/>
        <v>3.7352305172196447E-48</v>
      </c>
      <c r="N39" s="39">
        <f t="shared" si="7"/>
        <v>3.9638231824883005E-46</v>
      </c>
      <c r="O39" s="39">
        <f t="shared" si="7"/>
        <v>3.7607244786352214E-44</v>
      </c>
      <c r="P39" s="39">
        <f t="shared" si="7"/>
        <v>3.2068817441409139E-42</v>
      </c>
      <c r="Q39" s="39">
        <f t="shared" si="7"/>
        <v>2.4687096417775219E-40</v>
      </c>
      <c r="R39" s="39">
        <f t="shared" si="7"/>
        <v>1.7220647482411717E-38</v>
      </c>
      <c r="S39" s="39">
        <f t="shared" si="7"/>
        <v>1.0919031836082958E-36</v>
      </c>
      <c r="T39" s="39">
        <f t="shared" si="7"/>
        <v>6.3098846596122861E-35</v>
      </c>
      <c r="U39" s="39">
        <f t="shared" si="7"/>
        <v>3.3306047888476509E-33</v>
      </c>
      <c r="V39" s="39">
        <f t="shared" si="7"/>
        <v>1.608748723365019E-31</v>
      </c>
      <c r="W39" s="37">
        <v>0.96399999999999997</v>
      </c>
    </row>
    <row r="40" spans="2:23" x14ac:dyDescent="0.25">
      <c r="B40" s="39">
        <f t="shared" si="6"/>
        <v>7.4736258323523139E-75</v>
      </c>
      <c r="C40" s="39">
        <f t="shared" si="6"/>
        <v>1.2576753434788186E-71</v>
      </c>
      <c r="D40" s="39">
        <f t="shared" si="6"/>
        <v>1.0306551902034095E-68</v>
      </c>
      <c r="E40" s="39">
        <f t="shared" si="6"/>
        <v>5.4820166476557282E-66</v>
      </c>
      <c r="F40" s="39">
        <f t="shared" si="6"/>
        <v>2.128285688305144E-63</v>
      </c>
      <c r="G40" s="39">
        <f t="shared" si="6"/>
        <v>6.4302909219548384E-61</v>
      </c>
      <c r="H40" s="39">
        <f t="shared" si="6"/>
        <v>1.5742810138994608E-58</v>
      </c>
      <c r="I40" s="39">
        <f t="shared" si="6"/>
        <v>3.2108575466489383E-56</v>
      </c>
      <c r="J40" s="39">
        <f t="shared" si="6"/>
        <v>5.5666463831147785E-54</v>
      </c>
      <c r="K40" s="39">
        <f t="shared" si="6"/>
        <v>8.3295338900318916E-52</v>
      </c>
      <c r="L40" s="39">
        <f t="shared" si="7"/>
        <v>1.0885970486898525E-49</v>
      </c>
      <c r="M40" s="39">
        <f t="shared" si="7"/>
        <v>1.2544562628486885E-47</v>
      </c>
      <c r="N40" s="39">
        <f t="shared" si="7"/>
        <v>1.2845014666355171E-45</v>
      </c>
      <c r="O40" s="39">
        <f t="shared" si="7"/>
        <v>1.1761466170429655E-43</v>
      </c>
      <c r="P40" s="39">
        <f t="shared" si="7"/>
        <v>9.6811955596692912E-42</v>
      </c>
      <c r="Q40" s="39">
        <f t="shared" si="7"/>
        <v>7.1954466618941264E-40</v>
      </c>
      <c r="R40" s="39">
        <f t="shared" si="7"/>
        <v>4.8468954682768552E-38</v>
      </c>
      <c r="S40" s="39">
        <f t="shared" si="7"/>
        <v>2.968305805862306E-36</v>
      </c>
      <c r="T40" s="39">
        <f t="shared" si="7"/>
        <v>1.6570642876679334E-34</v>
      </c>
      <c r="U40" s="39">
        <f t="shared" si="7"/>
        <v>8.4511690341841235E-33</v>
      </c>
      <c r="V40" s="39">
        <f t="shared" si="7"/>
        <v>3.9449293636773179E-31</v>
      </c>
      <c r="W40" s="37">
        <v>0.96299999999999997</v>
      </c>
    </row>
    <row r="41" spans="2:23" x14ac:dyDescent="0.25">
      <c r="B41" s="39">
        <f t="shared" si="6"/>
        <v>3.5830525206548637E-74</v>
      </c>
      <c r="C41" s="39">
        <f t="shared" si="6"/>
        <v>5.8118997702138356E-71</v>
      </c>
      <c r="D41" s="39">
        <f t="shared" si="6"/>
        <v>4.5917987565798707E-68</v>
      </c>
      <c r="E41" s="39">
        <f t="shared" si="6"/>
        <v>2.3551618945196636E-65</v>
      </c>
      <c r="F41" s="39">
        <f t="shared" si="6"/>
        <v>8.818837801837535E-63</v>
      </c>
      <c r="G41" s="39">
        <f t="shared" si="6"/>
        <v>2.5704082444855602E-60</v>
      </c>
      <c r="H41" s="39">
        <f t="shared" si="6"/>
        <v>6.0720011237607572E-58</v>
      </c>
      <c r="I41" s="39">
        <f t="shared" si="6"/>
        <v>1.1951868458788329E-55</v>
      </c>
      <c r="J41" s="39">
        <f t="shared" si="6"/>
        <v>2.000136857943195E-53</v>
      </c>
      <c r="K41" s="39">
        <f t="shared" si="6"/>
        <v>2.889503964948024E-51</v>
      </c>
      <c r="L41" s="39">
        <f t="shared" si="7"/>
        <v>3.6466204380212898E-49</v>
      </c>
      <c r="M41" s="39">
        <f t="shared" si="7"/>
        <v>4.0586645679342262E-47</v>
      </c>
      <c r="N41" s="39">
        <f t="shared" si="7"/>
        <v>4.0146622788121205E-45</v>
      </c>
      <c r="O41" s="39">
        <f t="shared" si="7"/>
        <v>3.5517661406302825E-43</v>
      </c>
      <c r="P41" s="39">
        <f t="shared" si="7"/>
        <v>2.8252785289057015E-41</v>
      </c>
      <c r="Q41" s="39">
        <f t="shared" si="7"/>
        <v>2.0296423114215933E-39</v>
      </c>
      <c r="R41" s="39">
        <f t="shared" si="7"/>
        <v>1.3217039975414279E-37</v>
      </c>
      <c r="S41" s="39">
        <f t="shared" si="7"/>
        <v>7.8264817061003643E-36</v>
      </c>
      <c r="T41" s="39">
        <f t="shared" si="7"/>
        <v>4.2253485448262355E-34</v>
      </c>
      <c r="U41" s="39">
        <f t="shared" si="7"/>
        <v>2.0844063947999835E-32</v>
      </c>
      <c r="V41" s="39">
        <f t="shared" si="7"/>
        <v>9.4129074697222894E-31</v>
      </c>
      <c r="W41" s="37">
        <v>0.96199999999999997</v>
      </c>
    </row>
    <row r="42" spans="2:23" x14ac:dyDescent="0.25">
      <c r="B42" s="39">
        <f t="shared" si="6"/>
        <v>1.2751928364766488E-73</v>
      </c>
      <c r="C42" s="39">
        <f t="shared" si="6"/>
        <v>2.0078925568262215E-70</v>
      </c>
      <c r="D42" s="39">
        <f t="shared" si="6"/>
        <v>1.54019913867829E-67</v>
      </c>
      <c r="E42" s="39">
        <f t="shared" si="6"/>
        <v>7.671100804667392E-65</v>
      </c>
      <c r="F42" s="39">
        <f t="shared" si="6"/>
        <v>2.7897263879905686E-62</v>
      </c>
      <c r="G42" s="39">
        <f t="shared" si="6"/>
        <v>7.8983316713287506E-60</v>
      </c>
      <c r="H42" s="39">
        <f t="shared" si="6"/>
        <v>1.8126628625064289E-57</v>
      </c>
      <c r="I42" s="39">
        <f t="shared" si="6"/>
        <v>3.4668984854608196E-55</v>
      </c>
      <c r="J42" s="39">
        <f t="shared" si="6"/>
        <v>5.638357879777215E-53</v>
      </c>
      <c r="K42" s="39">
        <f t="shared" si="6"/>
        <v>7.9171815115775188E-51</v>
      </c>
      <c r="L42" s="39">
        <f t="shared" si="7"/>
        <v>9.7131108167327975E-49</v>
      </c>
      <c r="M42" s="39">
        <f t="shared" si="7"/>
        <v>1.0510825876484145E-46</v>
      </c>
      <c r="N42" s="39">
        <f t="shared" si="7"/>
        <v>1.0110051585373356E-44</v>
      </c>
      <c r="O42" s="39">
        <f t="shared" si="7"/>
        <v>8.69888376918531E-43</v>
      </c>
      <c r="P42" s="39">
        <f t="shared" si="7"/>
        <v>6.7306772713380042E-41</v>
      </c>
      <c r="Q42" s="39">
        <f t="shared" si="7"/>
        <v>4.7039019637736608E-39</v>
      </c>
      <c r="R42" s="39">
        <f t="shared" si="7"/>
        <v>2.9804137390080873E-37</v>
      </c>
      <c r="S42" s="39">
        <f t="shared" si="7"/>
        <v>1.7174112806278495E-35</v>
      </c>
      <c r="T42" s="39">
        <f t="shared" si="7"/>
        <v>9.023954694086042E-34</v>
      </c>
      <c r="U42" s="39">
        <f t="shared" si="7"/>
        <v>4.3331540209953165E-32</v>
      </c>
      <c r="V42" s="39">
        <f t="shared" si="7"/>
        <v>1.9049918602104505E-30</v>
      </c>
      <c r="W42" s="37">
        <v>0.96099999999999997</v>
      </c>
    </row>
    <row r="43" spans="2:23" x14ac:dyDescent="0.25">
      <c r="B43" s="39">
        <f t="shared" ref="B43:K52" si="8">_xlfn.HYPGEOM.DIST(B$2,comau,tongtheN*$W43,tongtheN,TRUE)</f>
        <v>5.6119043276404349E-73</v>
      </c>
      <c r="C43" s="39">
        <f t="shared" si="8"/>
        <v>8.5360148287328309E-70</v>
      </c>
      <c r="D43" s="39">
        <f t="shared" si="8"/>
        <v>6.3263482003824751E-67</v>
      </c>
      <c r="E43" s="39">
        <f t="shared" si="8"/>
        <v>3.0449193219654116E-64</v>
      </c>
      <c r="F43" s="39">
        <f t="shared" si="8"/>
        <v>1.0702891082561063E-61</v>
      </c>
      <c r="G43" s="39">
        <f t="shared" si="8"/>
        <v>2.9293747571941117E-59</v>
      </c>
      <c r="H43" s="39">
        <f t="shared" si="8"/>
        <v>6.5003170400310556E-57</v>
      </c>
      <c r="I43" s="39">
        <f t="shared" si="8"/>
        <v>1.2023021502061188E-54</v>
      </c>
      <c r="J43" s="39">
        <f t="shared" si="8"/>
        <v>1.8912825452670295E-52</v>
      </c>
      <c r="K43" s="39">
        <f t="shared" si="8"/>
        <v>2.569100968666952E-50</v>
      </c>
      <c r="L43" s="39">
        <f t="shared" ref="L43:V52" si="9">_xlfn.HYPGEOM.DIST(L$2,comau,tongtheN*$W43,tongtheN,TRUE)</f>
        <v>3.0496533731827787E-48</v>
      </c>
      <c r="M43" s="39">
        <f t="shared" si="9"/>
        <v>3.1936298923661336E-46</v>
      </c>
      <c r="N43" s="39">
        <f t="shared" si="9"/>
        <v>2.9732405901532206E-44</v>
      </c>
      <c r="O43" s="39">
        <f t="shared" si="9"/>
        <v>2.4765197084049844E-42</v>
      </c>
      <c r="P43" s="39">
        <f t="shared" si="9"/>
        <v>1.8552847526272941E-40</v>
      </c>
      <c r="Q43" s="39">
        <f t="shared" si="9"/>
        <v>1.2556104916540051E-38</v>
      </c>
      <c r="R43" s="39">
        <f t="shared" si="9"/>
        <v>7.7052863921344287E-37</v>
      </c>
      <c r="S43" s="39">
        <f t="shared" si="9"/>
        <v>4.3010270777760112E-35</v>
      </c>
      <c r="T43" s="39">
        <f t="shared" si="9"/>
        <v>2.18952500611981E-33</v>
      </c>
      <c r="U43" s="39">
        <f t="shared" si="9"/>
        <v>1.0187818829379472E-31</v>
      </c>
      <c r="V43" s="39">
        <f t="shared" si="9"/>
        <v>4.3407294247156535E-30</v>
      </c>
      <c r="W43" s="37">
        <v>0.96</v>
      </c>
    </row>
    <row r="44" spans="2:23" x14ac:dyDescent="0.25">
      <c r="B44" s="39">
        <f t="shared" si="8"/>
        <v>2.3660921419899508E-72</v>
      </c>
      <c r="C44" s="39">
        <f t="shared" si="8"/>
        <v>3.4803956849021745E-69</v>
      </c>
      <c r="D44" s="39">
        <f t="shared" si="8"/>
        <v>2.4949089272987772E-66</v>
      </c>
      <c r="E44" s="39">
        <f t="shared" si="8"/>
        <v>1.1616648152150313E-63</v>
      </c>
      <c r="F44" s="39">
        <f t="shared" si="8"/>
        <v>3.9507915752420189E-61</v>
      </c>
      <c r="G44" s="39">
        <f t="shared" si="8"/>
        <v>1.0464288161863031E-58</v>
      </c>
      <c r="H44" s="39">
        <f t="shared" si="8"/>
        <v>2.2474708886419928E-56</v>
      </c>
      <c r="I44" s="39">
        <f t="shared" si="8"/>
        <v>4.0241138209265724E-54</v>
      </c>
      <c r="J44" s="39">
        <f t="shared" si="8"/>
        <v>6.1288889563748381E-52</v>
      </c>
      <c r="K44" s="39">
        <f t="shared" si="8"/>
        <v>8.0620620582434426E-50</v>
      </c>
      <c r="L44" s="39">
        <f t="shared" si="9"/>
        <v>9.2688384892922391E-48</v>
      </c>
      <c r="M44" s="39">
        <f t="shared" si="9"/>
        <v>9.4024033493873482E-46</v>
      </c>
      <c r="N44" s="39">
        <f t="shared" si="9"/>
        <v>8.4807205243727392E-44</v>
      </c>
      <c r="O44" s="39">
        <f t="shared" si="9"/>
        <v>6.8448071421416611E-42</v>
      </c>
      <c r="P44" s="39">
        <f t="shared" si="9"/>
        <v>4.9695200939020957E-40</v>
      </c>
      <c r="Q44" s="39">
        <f t="shared" si="9"/>
        <v>3.259945901129371E-38</v>
      </c>
      <c r="R44" s="39">
        <f t="shared" si="9"/>
        <v>1.9393776766243432E-36</v>
      </c>
      <c r="S44" s="39">
        <f t="shared" si="9"/>
        <v>1.049614831400138E-34</v>
      </c>
      <c r="T44" s="39">
        <f t="shared" si="9"/>
        <v>5.1815223060148937E-33</v>
      </c>
      <c r="U44" s="39">
        <f t="shared" si="9"/>
        <v>2.3383168948612571E-31</v>
      </c>
      <c r="V44" s="39">
        <f t="shared" si="9"/>
        <v>9.6641598889233732E-30</v>
      </c>
      <c r="W44" s="37">
        <v>0.95899999999999996</v>
      </c>
    </row>
    <row r="45" spans="2:23" x14ac:dyDescent="0.25">
      <c r="B45" s="39">
        <f t="shared" si="8"/>
        <v>9.580568397533163E-72</v>
      </c>
      <c r="C45" s="39">
        <f t="shared" si="8"/>
        <v>1.3642136785608893E-68</v>
      </c>
      <c r="D45" s="39">
        <f t="shared" si="8"/>
        <v>9.4683442025071185E-66</v>
      </c>
      <c r="E45" s="39">
        <f t="shared" si="8"/>
        <v>4.2691010544650647E-63</v>
      </c>
      <c r="F45" s="39">
        <f t="shared" si="8"/>
        <v>1.4061963915059606E-60</v>
      </c>
      <c r="G45" s="39">
        <f t="shared" si="8"/>
        <v>3.6078388490196652E-58</v>
      </c>
      <c r="H45" s="39">
        <f t="shared" si="8"/>
        <v>7.5071612898357066E-56</v>
      </c>
      <c r="I45" s="39">
        <f t="shared" si="8"/>
        <v>1.3024592876044778E-53</v>
      </c>
      <c r="J45" s="39">
        <f t="shared" si="8"/>
        <v>1.9224508307706831E-51</v>
      </c>
      <c r="K45" s="39">
        <f t="shared" si="8"/>
        <v>2.4511277408685751E-49</v>
      </c>
      <c r="L45" s="39">
        <f t="shared" si="9"/>
        <v>2.7318545056494289E-47</v>
      </c>
      <c r="M45" s="39">
        <f t="shared" si="9"/>
        <v>2.6868851280931005E-45</v>
      </c>
      <c r="N45" s="39">
        <f t="shared" si="9"/>
        <v>2.3500975627798002E-43</v>
      </c>
      <c r="O45" s="39">
        <f t="shared" si="9"/>
        <v>1.8395926295583119E-41</v>
      </c>
      <c r="P45" s="39">
        <f t="shared" si="9"/>
        <v>1.2955257216869668E-39</v>
      </c>
      <c r="Q45" s="39">
        <f t="shared" si="9"/>
        <v>8.244730014346083E-38</v>
      </c>
      <c r="R45" s="39">
        <f t="shared" si="9"/>
        <v>4.7591095156996361E-36</v>
      </c>
      <c r="S45" s="39">
        <f t="shared" si="9"/>
        <v>2.4994982853129114E-34</v>
      </c>
      <c r="T45" s="39">
        <f t="shared" si="9"/>
        <v>1.1975721465245433E-32</v>
      </c>
      <c r="U45" s="39">
        <f t="shared" si="9"/>
        <v>5.2460270312829864E-31</v>
      </c>
      <c r="V45" s="39">
        <f t="shared" si="9"/>
        <v>2.1049176235150641E-29</v>
      </c>
      <c r="W45" s="37">
        <v>0.95799999999999996</v>
      </c>
    </row>
    <row r="46" spans="2:23" x14ac:dyDescent="0.25">
      <c r="B46" s="39">
        <f t="shared" si="8"/>
        <v>2.9840568900378677E-71</v>
      </c>
      <c r="C46" s="39">
        <f t="shared" si="8"/>
        <v>4.1386769728318295E-68</v>
      </c>
      <c r="D46" s="39">
        <f t="shared" si="8"/>
        <v>2.7981611148217081E-65</v>
      </c>
      <c r="E46" s="39">
        <f t="shared" si="8"/>
        <v>1.2291655021933387E-62</v>
      </c>
      <c r="F46" s="39">
        <f t="shared" si="8"/>
        <v>3.9450301217818315E-60</v>
      </c>
      <c r="G46" s="39">
        <f t="shared" si="8"/>
        <v>9.8636247221427913E-58</v>
      </c>
      <c r="H46" s="39">
        <f t="shared" si="8"/>
        <v>2.0003424936087479E-55</v>
      </c>
      <c r="I46" s="39">
        <f t="shared" si="8"/>
        <v>3.3828723933881899E-53</v>
      </c>
      <c r="J46" s="39">
        <f t="shared" si="8"/>
        <v>4.8676875912258823E-51</v>
      </c>
      <c r="K46" s="39">
        <f t="shared" si="8"/>
        <v>6.0510685824279688E-49</v>
      </c>
      <c r="L46" s="39">
        <f t="shared" si="9"/>
        <v>6.5761934562042476E-47</v>
      </c>
      <c r="M46" s="39">
        <f t="shared" si="9"/>
        <v>6.30766699479906E-45</v>
      </c>
      <c r="N46" s="39">
        <f t="shared" si="9"/>
        <v>5.3809568560891713E-43</v>
      </c>
      <c r="O46" s="39">
        <f t="shared" si="9"/>
        <v>4.1086592830771554E-41</v>
      </c>
      <c r="P46" s="39">
        <f t="shared" si="9"/>
        <v>2.8227982007229023E-39</v>
      </c>
      <c r="Q46" s="39">
        <f t="shared" si="9"/>
        <v>1.7527324627534247E-37</v>
      </c>
      <c r="R46" s="39">
        <f t="shared" si="9"/>
        <v>9.8723372124100994E-36</v>
      </c>
      <c r="S46" s="39">
        <f t="shared" si="9"/>
        <v>5.0600119129373783E-34</v>
      </c>
      <c r="T46" s="39">
        <f t="shared" si="9"/>
        <v>2.3662126387686714E-32</v>
      </c>
      <c r="U46" s="39">
        <f t="shared" si="9"/>
        <v>1.0117766164562295E-30</v>
      </c>
      <c r="V46" s="39">
        <f t="shared" si="9"/>
        <v>3.9631415586436025E-29</v>
      </c>
      <c r="W46" s="37">
        <v>0.95699999999999996</v>
      </c>
    </row>
    <row r="47" spans="2:23" x14ac:dyDescent="0.25">
      <c r="B47" s="39">
        <f t="shared" si="8"/>
        <v>1.1282835338532009E-70</v>
      </c>
      <c r="C47" s="39">
        <f t="shared" si="8"/>
        <v>1.5174312765902328E-67</v>
      </c>
      <c r="D47" s="39">
        <f t="shared" si="8"/>
        <v>9.9499399984124503E-65</v>
      </c>
      <c r="E47" s="39">
        <f t="shared" si="8"/>
        <v>4.2395684440788744E-62</v>
      </c>
      <c r="F47" s="39">
        <f t="shared" si="8"/>
        <v>1.3200423662717566E-59</v>
      </c>
      <c r="G47" s="39">
        <f t="shared" si="8"/>
        <v>3.2023034803382412E-57</v>
      </c>
      <c r="H47" s="39">
        <f t="shared" si="8"/>
        <v>6.3020274373029936E-55</v>
      </c>
      <c r="I47" s="39">
        <f t="shared" si="8"/>
        <v>1.0343620045394196E-52</v>
      </c>
      <c r="J47" s="39">
        <f t="shared" si="8"/>
        <v>1.4447115700553798E-50</v>
      </c>
      <c r="K47" s="39">
        <f t="shared" si="8"/>
        <v>1.7435002370364841E-48</v>
      </c>
      <c r="L47" s="39">
        <f t="shared" si="9"/>
        <v>1.8397357969462559E-46</v>
      </c>
      <c r="M47" s="39">
        <f t="shared" si="9"/>
        <v>1.7135608878074244E-44</v>
      </c>
      <c r="N47" s="39">
        <f t="shared" si="9"/>
        <v>1.4197068502846232E-42</v>
      </c>
      <c r="O47" s="39">
        <f t="shared" si="9"/>
        <v>1.0529450090899788E-40</v>
      </c>
      <c r="P47" s="39">
        <f t="shared" si="9"/>
        <v>7.0276373871500357E-39</v>
      </c>
      <c r="Q47" s="39">
        <f t="shared" si="9"/>
        <v>4.2396129769158731E-37</v>
      </c>
      <c r="R47" s="39">
        <f t="shared" si="9"/>
        <v>2.3204292609638004E-35</v>
      </c>
      <c r="S47" s="39">
        <f t="shared" si="9"/>
        <v>1.1558299960289622E-33</v>
      </c>
      <c r="T47" s="39">
        <f t="shared" si="9"/>
        <v>5.2534691015327385E-32</v>
      </c>
      <c r="U47" s="39">
        <f t="shared" si="9"/>
        <v>2.1836478727419275E-30</v>
      </c>
      <c r="V47" s="39">
        <f t="shared" si="9"/>
        <v>8.3156910575125079E-29</v>
      </c>
      <c r="W47" s="37">
        <v>0.95599999999999996</v>
      </c>
    </row>
    <row r="48" spans="2:23" x14ac:dyDescent="0.25">
      <c r="B48" s="39">
        <f t="shared" si="8"/>
        <v>4.1210130946031661E-70</v>
      </c>
      <c r="C48" s="39">
        <f t="shared" si="8"/>
        <v>5.3790158170510527E-67</v>
      </c>
      <c r="D48" s="39">
        <f t="shared" si="8"/>
        <v>3.4235966082757477E-64</v>
      </c>
      <c r="E48" s="39">
        <f t="shared" si="8"/>
        <v>1.4161584843985048E-61</v>
      </c>
      <c r="F48" s="39">
        <f t="shared" si="8"/>
        <v>4.2811985828989274E-59</v>
      </c>
      <c r="G48" s="39">
        <f t="shared" si="8"/>
        <v>1.0085233944041595E-56</v>
      </c>
      <c r="H48" s="39">
        <f t="shared" si="8"/>
        <v>1.9275601765903271E-54</v>
      </c>
      <c r="I48" s="39">
        <f t="shared" si="8"/>
        <v>3.0729964597345542E-52</v>
      </c>
      <c r="J48" s="39">
        <f t="shared" si="8"/>
        <v>4.1695548093159104E-50</v>
      </c>
      <c r="K48" s="39">
        <f t="shared" si="8"/>
        <v>4.8888453023096309E-48</v>
      </c>
      <c r="L48" s="39">
        <f t="shared" si="9"/>
        <v>5.0127002888240067E-46</v>
      </c>
      <c r="M48" s="39">
        <f t="shared" si="9"/>
        <v>4.537363897316954E-44</v>
      </c>
      <c r="N48" s="39">
        <f t="shared" si="9"/>
        <v>3.6538094429625373E-42</v>
      </c>
      <c r="O48" s="39">
        <f t="shared" si="9"/>
        <v>2.6342135637271961E-40</v>
      </c>
      <c r="P48" s="39">
        <f t="shared" si="9"/>
        <v>1.7092564598426138E-38</v>
      </c>
      <c r="Q48" s="39">
        <f t="shared" si="9"/>
        <v>1.0026071928530451E-36</v>
      </c>
      <c r="R48" s="39">
        <f t="shared" si="9"/>
        <v>5.3362159960313492E-35</v>
      </c>
      <c r="S48" s="39">
        <f t="shared" si="9"/>
        <v>2.5850733986195492E-33</v>
      </c>
      <c r="T48" s="39">
        <f t="shared" si="9"/>
        <v>1.142857278077996E-31</v>
      </c>
      <c r="U48" s="39">
        <f t="shared" si="9"/>
        <v>4.6211285875734207E-30</v>
      </c>
      <c r="V48" s="39">
        <f t="shared" si="9"/>
        <v>1.7121265590501877E-28</v>
      </c>
      <c r="W48" s="37">
        <v>0.95499999999999996</v>
      </c>
    </row>
    <row r="49" spans="2:23" x14ac:dyDescent="0.25">
      <c r="B49" s="39">
        <f t="shared" si="8"/>
        <v>1.4565623336427742E-69</v>
      </c>
      <c r="C49" s="39">
        <f t="shared" si="8"/>
        <v>1.8466592605751239E-66</v>
      </c>
      <c r="D49" s="39">
        <f t="shared" si="8"/>
        <v>1.1417798757272141E-63</v>
      </c>
      <c r="E49" s="39">
        <f t="shared" si="8"/>
        <v>4.5886400509585069E-61</v>
      </c>
      <c r="F49" s="39">
        <f t="shared" si="8"/>
        <v>1.3479253502382195E-58</v>
      </c>
      <c r="G49" s="39">
        <f t="shared" si="8"/>
        <v>3.0858179570802153E-56</v>
      </c>
      <c r="H49" s="39">
        <f t="shared" si="8"/>
        <v>5.732329969690172E-54</v>
      </c>
      <c r="I49" s="39">
        <f t="shared" si="8"/>
        <v>8.8833915581131816E-52</v>
      </c>
      <c r="J49" s="39">
        <f t="shared" si="8"/>
        <v>1.1718016140466236E-49</v>
      </c>
      <c r="K49" s="39">
        <f t="shared" si="8"/>
        <v>1.3358942321473993E-47</v>
      </c>
      <c r="L49" s="39">
        <f t="shared" si="9"/>
        <v>1.3319630716849129E-45</v>
      </c>
      <c r="M49" s="39">
        <f t="shared" si="9"/>
        <v>1.1725506218176311E-43</v>
      </c>
      <c r="N49" s="39">
        <f t="shared" si="9"/>
        <v>9.1840429817223097E-42</v>
      </c>
      <c r="O49" s="39">
        <f t="shared" si="9"/>
        <v>6.440967551116499E-40</v>
      </c>
      <c r="P49" s="39">
        <f t="shared" si="9"/>
        <v>4.0660357737474066E-38</v>
      </c>
      <c r="Q49" s="39">
        <f t="shared" si="9"/>
        <v>2.3206517886702434E-36</v>
      </c>
      <c r="R49" s="39">
        <f t="shared" si="9"/>
        <v>1.2019289197001205E-34</v>
      </c>
      <c r="S49" s="39">
        <f t="shared" si="9"/>
        <v>5.6667647432500522E-33</v>
      </c>
      <c r="T49" s="39">
        <f t="shared" si="9"/>
        <v>2.4384935981840907E-31</v>
      </c>
      <c r="U49" s="39">
        <f t="shared" si="9"/>
        <v>9.5983174163424137E-30</v>
      </c>
      <c r="V49" s="39">
        <f t="shared" si="9"/>
        <v>3.4621845405459529E-28</v>
      </c>
      <c r="W49" s="37">
        <v>0.95399999999999996</v>
      </c>
    </row>
    <row r="50" spans="2:23" x14ac:dyDescent="0.25">
      <c r="B50" s="39">
        <f t="shared" si="8"/>
        <v>4.0727257704004437E-69</v>
      </c>
      <c r="C50" s="39">
        <f t="shared" si="8"/>
        <v>5.042694945772467E-66</v>
      </c>
      <c r="D50" s="39">
        <f t="shared" si="8"/>
        <v>3.0452524446773332E-63</v>
      </c>
      <c r="E50" s="39">
        <f t="shared" si="8"/>
        <v>1.1954589478572892E-60</v>
      </c>
      <c r="F50" s="39">
        <f t="shared" si="8"/>
        <v>3.4306046542264324E-58</v>
      </c>
      <c r="G50" s="39">
        <f t="shared" si="8"/>
        <v>7.6731434752895035E-56</v>
      </c>
      <c r="H50" s="39">
        <f t="shared" si="8"/>
        <v>1.3927592605116158E-53</v>
      </c>
      <c r="I50" s="39">
        <f t="shared" si="8"/>
        <v>2.1091567346091782E-51</v>
      </c>
      <c r="J50" s="39">
        <f t="shared" si="8"/>
        <v>2.7190193192045146E-49</v>
      </c>
      <c r="K50" s="39">
        <f t="shared" si="8"/>
        <v>3.0297100781951108E-47</v>
      </c>
      <c r="L50" s="39">
        <f t="shared" si="9"/>
        <v>2.9528017805378631E-45</v>
      </c>
      <c r="M50" s="39">
        <f t="shared" si="9"/>
        <v>2.5411413656269922E-43</v>
      </c>
      <c r="N50" s="39">
        <f t="shared" si="9"/>
        <v>1.94593326822555E-41</v>
      </c>
      <c r="O50" s="39">
        <f t="shared" si="9"/>
        <v>1.3343917811568674E-39</v>
      </c>
      <c r="P50" s="39">
        <f t="shared" si="9"/>
        <v>8.2372599456751638E-38</v>
      </c>
      <c r="Q50" s="39">
        <f t="shared" si="9"/>
        <v>4.5977116488255096E-36</v>
      </c>
      <c r="R50" s="39">
        <f t="shared" si="9"/>
        <v>2.3290097007062535E-34</v>
      </c>
      <c r="S50" s="39">
        <f t="shared" si="9"/>
        <v>1.074060640180332E-32</v>
      </c>
      <c r="T50" s="39">
        <f t="shared" si="9"/>
        <v>4.5212285492750548E-31</v>
      </c>
      <c r="U50" s="39">
        <f t="shared" si="9"/>
        <v>1.7410493456177782E-29</v>
      </c>
      <c r="V50" s="39">
        <f t="shared" si="9"/>
        <v>6.1445068864469074E-28</v>
      </c>
      <c r="W50" s="37">
        <v>0.95299999999999996</v>
      </c>
    </row>
    <row r="51" spans="2:23" x14ac:dyDescent="0.25">
      <c r="B51" s="39">
        <f t="shared" si="8"/>
        <v>1.3610251710822673E-68</v>
      </c>
      <c r="C51" s="39">
        <f t="shared" si="8"/>
        <v>1.6390682869536379E-65</v>
      </c>
      <c r="D51" s="39">
        <f t="shared" si="8"/>
        <v>9.628588059917487E-63</v>
      </c>
      <c r="E51" s="39">
        <f t="shared" si="8"/>
        <v>3.6773087698414194E-60</v>
      </c>
      <c r="F51" s="39">
        <f t="shared" si="8"/>
        <v>1.0267695506462643E-57</v>
      </c>
      <c r="G51" s="39">
        <f t="shared" si="8"/>
        <v>2.2347701012098173E-55</v>
      </c>
      <c r="H51" s="39">
        <f t="shared" si="8"/>
        <v>3.9476874611191561E-53</v>
      </c>
      <c r="I51" s="39">
        <f t="shared" si="8"/>
        <v>5.8187847983378928E-51</v>
      </c>
      <c r="J51" s="39">
        <f t="shared" si="8"/>
        <v>7.3019969923820162E-49</v>
      </c>
      <c r="K51" s="39">
        <f t="shared" si="8"/>
        <v>7.9210937584867118E-47</v>
      </c>
      <c r="L51" s="39">
        <f t="shared" si="9"/>
        <v>7.5166019787816867E-45</v>
      </c>
      <c r="M51" s="39">
        <f t="shared" si="9"/>
        <v>6.2989384770277125E-43</v>
      </c>
      <c r="N51" s="39">
        <f t="shared" si="9"/>
        <v>4.6974863898537943E-41</v>
      </c>
      <c r="O51" s="39">
        <f t="shared" si="9"/>
        <v>3.1373822418076295E-39</v>
      </c>
      <c r="P51" s="39">
        <f t="shared" si="9"/>
        <v>1.8865158778625348E-37</v>
      </c>
      <c r="Q51" s="39">
        <f t="shared" si="9"/>
        <v>1.0257933375668037E-35</v>
      </c>
      <c r="R51" s="39">
        <f t="shared" si="9"/>
        <v>5.0626329551947305E-34</v>
      </c>
      <c r="S51" s="39">
        <f t="shared" si="9"/>
        <v>2.274925785526291E-32</v>
      </c>
      <c r="T51" s="39">
        <f t="shared" si="9"/>
        <v>9.3319890592313287E-31</v>
      </c>
      <c r="U51" s="39">
        <f t="shared" si="9"/>
        <v>3.5023051710600244E-29</v>
      </c>
      <c r="V51" s="39">
        <f t="shared" si="9"/>
        <v>1.2047604543857619E-27</v>
      </c>
      <c r="W51" s="37">
        <v>0.95199999999999996</v>
      </c>
    </row>
    <row r="52" spans="2:23" x14ac:dyDescent="0.25">
      <c r="B52" s="39">
        <f t="shared" si="8"/>
        <v>4.4203941992290073E-68</v>
      </c>
      <c r="C52" s="39">
        <f t="shared" si="8"/>
        <v>5.1813820621425154E-65</v>
      </c>
      <c r="D52" s="39">
        <f t="shared" si="8"/>
        <v>2.9628787162665145E-62</v>
      </c>
      <c r="E52" s="39">
        <f t="shared" si="8"/>
        <v>1.1016221122149728E-59</v>
      </c>
      <c r="F52" s="39">
        <f t="shared" si="8"/>
        <v>2.9948495355944713E-57</v>
      </c>
      <c r="G52" s="39">
        <f t="shared" si="8"/>
        <v>6.347200032455053E-55</v>
      </c>
      <c r="H52" s="39">
        <f t="shared" si="8"/>
        <v>1.0919100478511067E-52</v>
      </c>
      <c r="I52" s="39">
        <f t="shared" si="8"/>
        <v>1.5675386840470805E-50</v>
      </c>
      <c r="J52" s="39">
        <f t="shared" si="8"/>
        <v>1.9160915217965609E-48</v>
      </c>
      <c r="K52" s="39">
        <f t="shared" si="8"/>
        <v>2.0248590569893924E-46</v>
      </c>
      <c r="L52" s="39">
        <f t="shared" si="9"/>
        <v>1.8720279712394623E-44</v>
      </c>
      <c r="M52" s="39">
        <f t="shared" si="9"/>
        <v>1.5285690117009419E-42</v>
      </c>
      <c r="N52" s="39">
        <f t="shared" si="9"/>
        <v>1.1108504179915646E-40</v>
      </c>
      <c r="O52" s="39">
        <f t="shared" si="9"/>
        <v>7.2306113981574851E-39</v>
      </c>
      <c r="P52" s="39">
        <f t="shared" si="9"/>
        <v>4.2377025694848007E-37</v>
      </c>
      <c r="Q52" s="39">
        <f t="shared" si="9"/>
        <v>2.2461404859112538E-35</v>
      </c>
      <c r="R52" s="39">
        <f t="shared" si="9"/>
        <v>1.0806993254765825E-33</v>
      </c>
      <c r="S52" s="39">
        <f t="shared" si="9"/>
        <v>4.7346861214872622E-32</v>
      </c>
      <c r="T52" s="39">
        <f t="shared" si="9"/>
        <v>1.8938152504580189E-30</v>
      </c>
      <c r="U52" s="39">
        <f t="shared" si="9"/>
        <v>6.9310736289291438E-29</v>
      </c>
      <c r="V52" s="39">
        <f t="shared" si="9"/>
        <v>2.3252727726801086E-27</v>
      </c>
      <c r="W52" s="37">
        <v>0.95099999999999996</v>
      </c>
    </row>
    <row r="53" spans="2:23" x14ac:dyDescent="0.25">
      <c r="B53" s="39">
        <f t="shared" ref="B53:K62" si="10">_xlfn.HYPGEOM.DIST(B$2,comau,tongtheN*$W53,tongtheN,TRUE)</f>
        <v>1.3971516053319163E-67</v>
      </c>
      <c r="C53" s="39">
        <f t="shared" si="10"/>
        <v>1.5950232014370727E-64</v>
      </c>
      <c r="D53" s="39">
        <f t="shared" si="10"/>
        <v>8.884247759860081E-62</v>
      </c>
      <c r="E53" s="39">
        <f t="shared" si="10"/>
        <v>3.2178887019681145E-59</v>
      </c>
      <c r="F53" s="39">
        <f t="shared" si="10"/>
        <v>8.522966968820791E-57</v>
      </c>
      <c r="G53" s="39">
        <f t="shared" si="10"/>
        <v>1.760033354997155E-54</v>
      </c>
      <c r="H53" s="39">
        <f t="shared" si="10"/>
        <v>2.950486605748479E-52</v>
      </c>
      <c r="I53" s="39">
        <f t="shared" si="10"/>
        <v>4.1279835013464403E-50</v>
      </c>
      <c r="J53" s="39">
        <f t="shared" si="10"/>
        <v>4.9180545852345343E-48</v>
      </c>
      <c r="K53" s="39">
        <f t="shared" si="10"/>
        <v>5.0660970220945339E-46</v>
      </c>
      <c r="L53" s="39">
        <f t="shared" ref="L53:V62" si="11">_xlfn.HYPGEOM.DIST(L$2,comau,tongtheN*$W53,tongtheN,TRUE)</f>
        <v>4.5660066883926608E-44</v>
      </c>
      <c r="M53" s="39">
        <f t="shared" si="11"/>
        <v>3.6349494268560226E-42</v>
      </c>
      <c r="N53" s="39">
        <f t="shared" si="11"/>
        <v>2.575735966554758E-40</v>
      </c>
      <c r="O53" s="39">
        <f t="shared" si="11"/>
        <v>1.6349191280654093E-38</v>
      </c>
      <c r="P53" s="39">
        <f t="shared" si="11"/>
        <v>9.3448001686790797E-37</v>
      </c>
      <c r="Q53" s="39">
        <f t="shared" si="11"/>
        <v>4.8310030617169483E-35</v>
      </c>
      <c r="R53" s="39">
        <f t="shared" si="11"/>
        <v>2.2672972168224429E-33</v>
      </c>
      <c r="S53" s="39">
        <f t="shared" si="11"/>
        <v>9.6903633540997916E-32</v>
      </c>
      <c r="T53" s="39">
        <f t="shared" si="11"/>
        <v>3.7815835039891105E-30</v>
      </c>
      <c r="U53" s="39">
        <f t="shared" si="11"/>
        <v>1.3504097511907091E-28</v>
      </c>
      <c r="V53" s="39">
        <f t="shared" si="11"/>
        <v>4.4208881682094196E-27</v>
      </c>
      <c r="W53" s="37">
        <v>0.95</v>
      </c>
    </row>
    <row r="54" spans="2:23" x14ac:dyDescent="0.25">
      <c r="B54" s="39">
        <f t="shared" si="10"/>
        <v>3.5734900154113574E-67</v>
      </c>
      <c r="C54" s="39">
        <f t="shared" si="10"/>
        <v>3.9927552010971882E-64</v>
      </c>
      <c r="D54" s="39">
        <f t="shared" si="10"/>
        <v>2.1768076009681409E-61</v>
      </c>
      <c r="E54" s="39">
        <f t="shared" si="10"/>
        <v>7.7179310406440779E-59</v>
      </c>
      <c r="F54" s="39">
        <f t="shared" si="10"/>
        <v>2.0011870616857309E-56</v>
      </c>
      <c r="G54" s="39">
        <f t="shared" si="10"/>
        <v>4.0459548773065249E-54</v>
      </c>
      <c r="H54" s="39">
        <f t="shared" si="10"/>
        <v>6.6409931082407257E-52</v>
      </c>
      <c r="I54" s="39">
        <f t="shared" si="10"/>
        <v>9.0981337571097156E-50</v>
      </c>
      <c r="J54" s="39">
        <f t="shared" si="10"/>
        <v>1.0614955604675386E-47</v>
      </c>
      <c r="K54" s="39">
        <f t="shared" si="10"/>
        <v>1.0708880310420076E-45</v>
      </c>
      <c r="L54" s="39">
        <f t="shared" si="11"/>
        <v>9.4533959630842599E-44</v>
      </c>
      <c r="M54" s="39">
        <f t="shared" si="11"/>
        <v>7.37165867884555E-42</v>
      </c>
      <c r="N54" s="39">
        <f t="shared" si="11"/>
        <v>5.1170340667542169E-40</v>
      </c>
      <c r="O54" s="39">
        <f t="shared" si="11"/>
        <v>3.1819821293978528E-38</v>
      </c>
      <c r="P54" s="39">
        <f t="shared" si="11"/>
        <v>1.7819280091421426E-36</v>
      </c>
      <c r="Q54" s="39">
        <f t="shared" si="11"/>
        <v>9.0263073395086142E-35</v>
      </c>
      <c r="R54" s="39">
        <f t="shared" si="11"/>
        <v>4.1511435259940024E-33</v>
      </c>
      <c r="S54" s="39">
        <f t="shared" si="11"/>
        <v>1.7386794037253945E-31</v>
      </c>
      <c r="T54" s="39">
        <f t="shared" si="11"/>
        <v>6.6497729182646267E-30</v>
      </c>
      <c r="U54" s="39">
        <f t="shared" si="11"/>
        <v>2.3274788900050337E-28</v>
      </c>
      <c r="V54" s="39">
        <f t="shared" si="11"/>
        <v>7.468786857502981E-27</v>
      </c>
      <c r="W54" s="37">
        <v>0.94899999999999995</v>
      </c>
    </row>
    <row r="55" spans="2:23" x14ac:dyDescent="0.25">
      <c r="B55" s="39">
        <f t="shared" si="10"/>
        <v>1.0779094394618503E-66</v>
      </c>
      <c r="C55" s="39">
        <f t="shared" si="10"/>
        <v>1.1743243590847729E-63</v>
      </c>
      <c r="D55" s="39">
        <f t="shared" si="10"/>
        <v>6.2431484492695449E-61</v>
      </c>
      <c r="E55" s="39">
        <f t="shared" si="10"/>
        <v>2.1587133608392864E-58</v>
      </c>
      <c r="F55" s="39">
        <f t="shared" si="10"/>
        <v>5.4592650076587935E-56</v>
      </c>
      <c r="G55" s="39">
        <f t="shared" si="10"/>
        <v>1.0766178335147036E-53</v>
      </c>
      <c r="H55" s="39">
        <f t="shared" si="10"/>
        <v>1.723887650643728E-51</v>
      </c>
      <c r="I55" s="39">
        <f t="shared" si="10"/>
        <v>2.3041179638763636E-49</v>
      </c>
      <c r="J55" s="39">
        <f t="shared" si="10"/>
        <v>2.6229368420924637E-47</v>
      </c>
      <c r="K55" s="39">
        <f t="shared" si="10"/>
        <v>2.5820907619970404E-45</v>
      </c>
      <c r="L55" s="39">
        <f t="shared" si="11"/>
        <v>2.2244023690825243E-43</v>
      </c>
      <c r="M55" s="39">
        <f t="shared" si="11"/>
        <v>1.6928902502065983E-41</v>
      </c>
      <c r="N55" s="39">
        <f t="shared" si="11"/>
        <v>1.1469903562375282E-39</v>
      </c>
      <c r="O55" s="39">
        <f t="shared" si="11"/>
        <v>6.962362438346599E-38</v>
      </c>
      <c r="P55" s="39">
        <f t="shared" si="11"/>
        <v>3.8063246219619155E-36</v>
      </c>
      <c r="Q55" s="39">
        <f t="shared" si="11"/>
        <v>1.8824424555904187E-34</v>
      </c>
      <c r="R55" s="39">
        <f t="shared" si="11"/>
        <v>8.4530652257080325E-33</v>
      </c>
      <c r="S55" s="39">
        <f t="shared" si="11"/>
        <v>3.4573205174145706E-31</v>
      </c>
      <c r="T55" s="39">
        <f t="shared" si="11"/>
        <v>1.2913359561109651E-29</v>
      </c>
      <c r="U55" s="39">
        <f t="shared" si="11"/>
        <v>4.4143724555458002E-28</v>
      </c>
      <c r="V55" s="39">
        <f t="shared" si="11"/>
        <v>1.3836379715233841E-26</v>
      </c>
      <c r="W55" s="37">
        <v>0.94799999999999995</v>
      </c>
    </row>
    <row r="56" spans="2:23" x14ac:dyDescent="0.25">
      <c r="B56" s="39">
        <f t="shared" si="10"/>
        <v>3.174567354021055E-66</v>
      </c>
      <c r="C56" s="39">
        <f t="shared" si="10"/>
        <v>3.3741451156510601E-63</v>
      </c>
      <c r="D56" s="39">
        <f t="shared" si="10"/>
        <v>1.750222842442759E-60</v>
      </c>
      <c r="E56" s="39">
        <f t="shared" si="10"/>
        <v>5.9052591350602177E-58</v>
      </c>
      <c r="F56" s="39">
        <f t="shared" si="10"/>
        <v>1.4573788692387075E-55</v>
      </c>
      <c r="G56" s="39">
        <f t="shared" si="10"/>
        <v>2.8050067787096275E-53</v>
      </c>
      <c r="H56" s="39">
        <f t="shared" si="10"/>
        <v>4.3838414116508491E-51</v>
      </c>
      <c r="I56" s="39">
        <f t="shared" si="10"/>
        <v>5.7195693967171978E-49</v>
      </c>
      <c r="J56" s="39">
        <f t="shared" si="10"/>
        <v>6.3562090093304497E-47</v>
      </c>
      <c r="K56" s="39">
        <f t="shared" si="10"/>
        <v>6.1090302154042403E-45</v>
      </c>
      <c r="L56" s="39">
        <f t="shared" si="11"/>
        <v>5.1385789803779674E-43</v>
      </c>
      <c r="M56" s="39">
        <f t="shared" si="11"/>
        <v>3.8187890337894372E-41</v>
      </c>
      <c r="N56" s="39">
        <f t="shared" si="11"/>
        <v>2.5267475089000513E-39</v>
      </c>
      <c r="O56" s="39">
        <f t="shared" si="11"/>
        <v>1.4979653187899119E-37</v>
      </c>
      <c r="P56" s="39">
        <f t="shared" si="11"/>
        <v>7.9989253964611102E-36</v>
      </c>
      <c r="Q56" s="39">
        <f t="shared" si="11"/>
        <v>3.8642541282481631E-34</v>
      </c>
      <c r="R56" s="39">
        <f t="shared" si="11"/>
        <v>1.6951714472461343E-32</v>
      </c>
      <c r="S56" s="39">
        <f t="shared" si="11"/>
        <v>6.773788431357887E-31</v>
      </c>
      <c r="T56" s="39">
        <f t="shared" si="11"/>
        <v>2.4720702491328167E-29</v>
      </c>
      <c r="U56" s="39">
        <f t="shared" si="11"/>
        <v>8.2576601936736937E-28</v>
      </c>
      <c r="V56" s="39">
        <f t="shared" si="11"/>
        <v>2.5293782293488759E-26</v>
      </c>
      <c r="W56" s="37">
        <v>0.94699999999999995</v>
      </c>
    </row>
    <row r="57" spans="2:23" x14ac:dyDescent="0.25">
      <c r="B57" s="39">
        <f t="shared" si="10"/>
        <v>9.1377874962627253E-66</v>
      </c>
      <c r="C57" s="39">
        <f t="shared" si="10"/>
        <v>9.480471899592184E-63</v>
      </c>
      <c r="D57" s="39">
        <f t="shared" si="10"/>
        <v>4.8007378014577827E-60</v>
      </c>
      <c r="E57" s="39">
        <f t="shared" si="10"/>
        <v>1.5813956024711338E-57</v>
      </c>
      <c r="F57" s="39">
        <f t="shared" si="10"/>
        <v>3.8106511235669052E-55</v>
      </c>
      <c r="G57" s="39">
        <f t="shared" si="10"/>
        <v>7.161826008489773E-53</v>
      </c>
      <c r="H57" s="39">
        <f t="shared" si="10"/>
        <v>1.0930638810889976E-50</v>
      </c>
      <c r="I57" s="39">
        <f t="shared" si="10"/>
        <v>1.3928116480865829E-48</v>
      </c>
      <c r="J57" s="39">
        <f t="shared" si="10"/>
        <v>1.5118295521603384E-46</v>
      </c>
      <c r="K57" s="39">
        <f t="shared" si="10"/>
        <v>1.4193502244483766E-44</v>
      </c>
      <c r="L57" s="39">
        <f t="shared" si="11"/>
        <v>1.1662986859028605E-42</v>
      </c>
      <c r="M57" s="39">
        <f t="shared" si="11"/>
        <v>8.4679537573268725E-41</v>
      </c>
      <c r="N57" s="39">
        <f t="shared" si="11"/>
        <v>5.4744075724456415E-39</v>
      </c>
      <c r="O57" s="39">
        <f t="shared" si="11"/>
        <v>3.1712883536792225E-37</v>
      </c>
      <c r="P57" s="39">
        <f t="shared" si="11"/>
        <v>1.6548565691693983E-35</v>
      </c>
      <c r="Q57" s="39">
        <f t="shared" si="11"/>
        <v>7.8131292922700043E-34</v>
      </c>
      <c r="R57" s="39">
        <f t="shared" si="11"/>
        <v>3.3499576094458829E-32</v>
      </c>
      <c r="S57" s="39">
        <f t="shared" si="11"/>
        <v>1.3084564116944536E-30</v>
      </c>
      <c r="T57" s="39">
        <f t="shared" si="11"/>
        <v>4.6679464992853422E-29</v>
      </c>
      <c r="U57" s="39">
        <f t="shared" si="11"/>
        <v>1.5243857658283122E-27</v>
      </c>
      <c r="V57" s="39">
        <f t="shared" si="11"/>
        <v>4.5651997167532827E-26</v>
      </c>
      <c r="W57" s="37">
        <v>0.94599999999999995</v>
      </c>
    </row>
    <row r="58" spans="2:23" x14ac:dyDescent="0.25">
      <c r="B58" s="39">
        <f t="shared" si="10"/>
        <v>2.5731542254609045E-65</v>
      </c>
      <c r="C58" s="39">
        <f t="shared" si="10"/>
        <v>2.6072939556864771E-62</v>
      </c>
      <c r="D58" s="39">
        <f t="shared" si="10"/>
        <v>1.2895564299441726E-59</v>
      </c>
      <c r="E58" s="39">
        <f t="shared" si="10"/>
        <v>4.1493685362973332E-57</v>
      </c>
      <c r="F58" s="39">
        <f t="shared" si="10"/>
        <v>9.7675658560382778E-55</v>
      </c>
      <c r="G58" s="39">
        <f t="shared" si="10"/>
        <v>1.7934650740095477E-52</v>
      </c>
      <c r="H58" s="39">
        <f t="shared" si="10"/>
        <v>2.67443961657854E-50</v>
      </c>
      <c r="I58" s="39">
        <f t="shared" si="10"/>
        <v>3.3299185708311946E-48</v>
      </c>
      <c r="J58" s="39">
        <f t="shared" si="10"/>
        <v>3.5321056460716565E-46</v>
      </c>
      <c r="K58" s="39">
        <f t="shared" si="10"/>
        <v>3.2407498583907025E-44</v>
      </c>
      <c r="L58" s="39">
        <f t="shared" si="11"/>
        <v>2.602711715273957E-42</v>
      </c>
      <c r="M58" s="39">
        <f t="shared" si="11"/>
        <v>1.8470989610011647E-40</v>
      </c>
      <c r="N58" s="39">
        <f t="shared" si="11"/>
        <v>1.1672909103877982E-38</v>
      </c>
      <c r="O58" s="39">
        <f t="shared" si="11"/>
        <v>6.610627888773186E-37</v>
      </c>
      <c r="P58" s="39">
        <f t="shared" si="11"/>
        <v>3.3726159805579446E-35</v>
      </c>
      <c r="Q58" s="39">
        <f t="shared" si="11"/>
        <v>1.5569171731884072E-33</v>
      </c>
      <c r="R58" s="39">
        <f t="shared" si="11"/>
        <v>6.5275175047059661E-32</v>
      </c>
      <c r="S58" s="39">
        <f t="shared" si="11"/>
        <v>2.4932761592935892E-30</v>
      </c>
      <c r="T58" s="39">
        <f t="shared" si="11"/>
        <v>8.6990823232846937E-29</v>
      </c>
      <c r="U58" s="39">
        <f t="shared" si="11"/>
        <v>2.7785158436780453E-27</v>
      </c>
      <c r="V58" s="39">
        <f t="shared" si="11"/>
        <v>8.1392073979901492E-26</v>
      </c>
      <c r="W58" s="37">
        <v>0.94499999999999995</v>
      </c>
    </row>
    <row r="59" spans="2:23" x14ac:dyDescent="0.25">
      <c r="B59" s="39">
        <f t="shared" si="10"/>
        <v>6.0000244304190344E-65</v>
      </c>
      <c r="C59" s="39">
        <f t="shared" si="10"/>
        <v>5.9633235510566783E-62</v>
      </c>
      <c r="D59" s="39">
        <f t="shared" si="10"/>
        <v>2.8932072494736016E-59</v>
      </c>
      <c r="E59" s="39">
        <f t="shared" si="10"/>
        <v>9.1325377032731429E-57</v>
      </c>
      <c r="F59" s="39">
        <f t="shared" si="10"/>
        <v>2.1090911557070172E-54</v>
      </c>
      <c r="G59" s="39">
        <f t="shared" si="10"/>
        <v>3.7995358776000267E-52</v>
      </c>
      <c r="H59" s="39">
        <f t="shared" si="10"/>
        <v>5.559400422058222E-50</v>
      </c>
      <c r="I59" s="39">
        <f t="shared" si="10"/>
        <v>6.792271590104668E-48</v>
      </c>
      <c r="J59" s="39">
        <f t="shared" si="10"/>
        <v>7.0701716397127236E-46</v>
      </c>
      <c r="K59" s="39">
        <f t="shared" si="10"/>
        <v>6.3662697736424828E-44</v>
      </c>
      <c r="L59" s="39">
        <f t="shared" si="11"/>
        <v>5.0180745463769494E-42</v>
      </c>
      <c r="M59" s="39">
        <f t="shared" si="11"/>
        <v>3.4954318017974841E-40</v>
      </c>
      <c r="N59" s="39">
        <f t="shared" si="11"/>
        <v>2.1682900379004539E-38</v>
      </c>
      <c r="O59" s="39">
        <f t="shared" si="11"/>
        <v>1.2054145455731655E-36</v>
      </c>
      <c r="P59" s="39">
        <f t="shared" si="11"/>
        <v>6.0373141945824806E-35</v>
      </c>
      <c r="Q59" s="39">
        <f t="shared" si="11"/>
        <v>2.7362336136222599E-33</v>
      </c>
      <c r="R59" s="39">
        <f t="shared" si="11"/>
        <v>1.1263516574512419E-31</v>
      </c>
      <c r="S59" s="39">
        <f t="shared" si="11"/>
        <v>4.224371074803043E-30</v>
      </c>
      <c r="T59" s="39">
        <f t="shared" si="11"/>
        <v>1.4472987581594539E-28</v>
      </c>
      <c r="U59" s="39">
        <f t="shared" si="11"/>
        <v>4.539604293760857E-27</v>
      </c>
      <c r="V59" s="39">
        <f t="shared" si="11"/>
        <v>1.3059750223181831E-25</v>
      </c>
      <c r="W59" s="37">
        <v>0.94399999999999995</v>
      </c>
    </row>
    <row r="60" spans="2:23" x14ac:dyDescent="0.25">
      <c r="B60" s="39">
        <f t="shared" si="10"/>
        <v>1.6266547185668792E-64</v>
      </c>
      <c r="C60" s="39">
        <f t="shared" si="10"/>
        <v>1.5803531538990886E-61</v>
      </c>
      <c r="D60" s="39">
        <f t="shared" si="10"/>
        <v>7.4955400089555021E-59</v>
      </c>
      <c r="E60" s="39">
        <f t="shared" si="10"/>
        <v>2.3131640950049054E-56</v>
      </c>
      <c r="F60" s="39">
        <f t="shared" si="10"/>
        <v>5.2231882201433035E-54</v>
      </c>
      <c r="G60" s="39">
        <f t="shared" si="10"/>
        <v>9.2008891706065993E-52</v>
      </c>
      <c r="H60" s="39">
        <f t="shared" si="10"/>
        <v>1.3164958648558796E-49</v>
      </c>
      <c r="I60" s="39">
        <f t="shared" si="10"/>
        <v>1.5730120845816185E-47</v>
      </c>
      <c r="J60" s="39">
        <f t="shared" si="10"/>
        <v>1.6014207070011562E-45</v>
      </c>
      <c r="K60" s="39">
        <f t="shared" si="10"/>
        <v>1.4104308662703797E-43</v>
      </c>
      <c r="L60" s="39">
        <f t="shared" si="11"/>
        <v>1.0874963380940988E-41</v>
      </c>
      <c r="M60" s="39">
        <f t="shared" si="11"/>
        <v>7.4105073261798346E-40</v>
      </c>
      <c r="N60" s="39">
        <f t="shared" si="11"/>
        <v>4.4973141660832256E-38</v>
      </c>
      <c r="O60" s="39">
        <f t="shared" si="11"/>
        <v>2.4462070473355139E-36</v>
      </c>
      <c r="P60" s="39">
        <f t="shared" si="11"/>
        <v>1.1988188202368862E-34</v>
      </c>
      <c r="Q60" s="39">
        <f t="shared" si="11"/>
        <v>5.3167699966916358E-33</v>
      </c>
      <c r="R60" s="39">
        <f t="shared" si="11"/>
        <v>2.1418322663917276E-31</v>
      </c>
      <c r="S60" s="39">
        <f t="shared" si="11"/>
        <v>7.861800311406748E-30</v>
      </c>
      <c r="T60" s="39">
        <f t="shared" si="11"/>
        <v>2.6363210503530119E-28</v>
      </c>
      <c r="U60" s="39">
        <f t="shared" si="11"/>
        <v>8.0941244579244776E-27</v>
      </c>
      <c r="V60" s="39">
        <f t="shared" si="11"/>
        <v>2.2794501811689919E-25</v>
      </c>
      <c r="W60" s="37">
        <v>0.94299999999999995</v>
      </c>
    </row>
    <row r="61" spans="2:23" x14ac:dyDescent="0.25">
      <c r="B61" s="39">
        <f t="shared" si="10"/>
        <v>4.3246185503728807E-64</v>
      </c>
      <c r="C61" s="39">
        <f t="shared" si="10"/>
        <v>4.1089319804340324E-61</v>
      </c>
      <c r="D61" s="39">
        <f t="shared" si="10"/>
        <v>1.9060438261527918E-58</v>
      </c>
      <c r="E61" s="39">
        <f t="shared" si="10"/>
        <v>5.7533941441910353E-56</v>
      </c>
      <c r="F61" s="39">
        <f t="shared" si="10"/>
        <v>1.2707890778410565E-53</v>
      </c>
      <c r="G61" s="39">
        <f t="shared" si="10"/>
        <v>2.1898779243408561E-51</v>
      </c>
      <c r="H61" s="39">
        <f t="shared" si="10"/>
        <v>3.065447815852316E-49</v>
      </c>
      <c r="I61" s="39">
        <f t="shared" si="10"/>
        <v>3.5836257243587145E-47</v>
      </c>
      <c r="J61" s="39">
        <f t="shared" si="10"/>
        <v>3.5697997135857377E-45</v>
      </c>
      <c r="K61" s="39">
        <f t="shared" si="10"/>
        <v>3.0765894093311484E-43</v>
      </c>
      <c r="L61" s="39">
        <f t="shared" si="11"/>
        <v>2.3214333165274007E-41</v>
      </c>
      <c r="M61" s="39">
        <f t="shared" si="11"/>
        <v>1.5481684808520279E-39</v>
      </c>
      <c r="N61" s="39">
        <f t="shared" si="11"/>
        <v>9.1959465145976297E-38</v>
      </c>
      <c r="O61" s="39">
        <f t="shared" si="11"/>
        <v>4.8959872847974219E-36</v>
      </c>
      <c r="P61" s="39">
        <f t="shared" si="11"/>
        <v>2.3487418671995927E-34</v>
      </c>
      <c r="Q61" s="39">
        <f t="shared" si="11"/>
        <v>1.0197529786251066E-32</v>
      </c>
      <c r="R61" s="39">
        <f t="shared" si="11"/>
        <v>4.02187481936413E-31</v>
      </c>
      <c r="S61" s="39">
        <f t="shared" si="11"/>
        <v>1.4454118680537534E-29</v>
      </c>
      <c r="T61" s="39">
        <f t="shared" si="11"/>
        <v>4.7459689542153532E-28</v>
      </c>
      <c r="U61" s="39">
        <f t="shared" si="11"/>
        <v>1.4268683127806739E-26</v>
      </c>
      <c r="V61" s="39">
        <f t="shared" si="11"/>
        <v>3.9351560149392465E-25</v>
      </c>
      <c r="W61" s="37">
        <v>0.94199999999999995</v>
      </c>
    </row>
    <row r="62" spans="2:23" x14ac:dyDescent="0.25">
      <c r="B62" s="39">
        <f t="shared" si="10"/>
        <v>1.1283333699494048E-63</v>
      </c>
      <c r="C62" s="39">
        <f t="shared" si="10"/>
        <v>1.0488940637185262E-60</v>
      </c>
      <c r="D62" s="39">
        <f t="shared" si="10"/>
        <v>4.7608012905953306E-58</v>
      </c>
      <c r="E62" s="39">
        <f t="shared" si="10"/>
        <v>1.4061998896782455E-55</v>
      </c>
      <c r="F62" s="39">
        <f t="shared" si="10"/>
        <v>3.0395077054718948E-53</v>
      </c>
      <c r="G62" s="39">
        <f t="shared" si="10"/>
        <v>5.1261042193575676E-51</v>
      </c>
      <c r="H62" s="39">
        <f t="shared" si="10"/>
        <v>7.023117641435073E-49</v>
      </c>
      <c r="I62" s="39">
        <f t="shared" si="10"/>
        <v>8.0363293390031313E-47</v>
      </c>
      <c r="J62" s="39">
        <f t="shared" si="10"/>
        <v>7.8362523773740594E-45</v>
      </c>
      <c r="K62" s="39">
        <f t="shared" si="10"/>
        <v>6.6114064288495997E-43</v>
      </c>
      <c r="L62" s="39">
        <f t="shared" si="11"/>
        <v>4.8839409340070626E-41</v>
      </c>
      <c r="M62" s="39">
        <f t="shared" si="11"/>
        <v>3.1889835208135579E-39</v>
      </c>
      <c r="N62" s="39">
        <f t="shared" si="11"/>
        <v>1.8547279466506098E-37</v>
      </c>
      <c r="O62" s="39">
        <f t="shared" si="11"/>
        <v>9.6694891610260055E-36</v>
      </c>
      <c r="P62" s="39">
        <f t="shared" si="11"/>
        <v>4.5426329619953204E-34</v>
      </c>
      <c r="Q62" s="39">
        <f t="shared" si="11"/>
        <v>1.9315501745386386E-32</v>
      </c>
      <c r="R62" s="39">
        <f t="shared" si="11"/>
        <v>7.4611827325637948E-31</v>
      </c>
      <c r="S62" s="39">
        <f t="shared" si="11"/>
        <v>2.6264446750918507E-29</v>
      </c>
      <c r="T62" s="39">
        <f t="shared" si="11"/>
        <v>8.4475038054414131E-28</v>
      </c>
      <c r="U62" s="39">
        <f t="shared" si="11"/>
        <v>2.4879610670675988E-26</v>
      </c>
      <c r="V62" s="39">
        <f t="shared" si="11"/>
        <v>6.7221336231763462E-25</v>
      </c>
      <c r="W62" s="37">
        <v>0.94099999999999995</v>
      </c>
    </row>
    <row r="63" spans="2:23" x14ac:dyDescent="0.25">
      <c r="B63" s="39">
        <f t="shared" ref="B63:K72" si="12">_xlfn.HYPGEOM.DIST(B$2,comau,tongtheN*$W63,tongtheN,TRUE)</f>
        <v>2.4745701261978333E-63</v>
      </c>
      <c r="C63" s="39">
        <f t="shared" si="12"/>
        <v>2.2595824731126679E-60</v>
      </c>
      <c r="D63" s="39">
        <f t="shared" si="12"/>
        <v>1.0074792502808679E-57</v>
      </c>
      <c r="E63" s="39">
        <f t="shared" si="12"/>
        <v>2.9233963822535671E-55</v>
      </c>
      <c r="F63" s="39">
        <f t="shared" si="12"/>
        <v>6.2080248904852627E-53</v>
      </c>
      <c r="G63" s="39">
        <f t="shared" si="12"/>
        <v>1.0286603887042877E-50</v>
      </c>
      <c r="H63" s="39">
        <f t="shared" si="12"/>
        <v>1.3847571283880675E-48</v>
      </c>
      <c r="I63" s="39">
        <f t="shared" si="12"/>
        <v>1.5569872085227856E-46</v>
      </c>
      <c r="J63" s="39">
        <f t="shared" si="12"/>
        <v>1.49191415175336E-44</v>
      </c>
      <c r="K63" s="39">
        <f t="shared" si="12"/>
        <v>1.2369772370592435E-42</v>
      </c>
      <c r="L63" s="39">
        <f t="shared" ref="L63:V72" si="13">_xlfn.HYPGEOM.DIST(L$2,comau,tongtheN*$W63,tongtheN,TRUE)</f>
        <v>8.980384056718477E-41</v>
      </c>
      <c r="M63" s="39">
        <f t="shared" si="13"/>
        <v>5.7631185801505144E-39</v>
      </c>
      <c r="N63" s="39">
        <f t="shared" si="13"/>
        <v>3.2945059127499912E-37</v>
      </c>
      <c r="O63" s="39">
        <f t="shared" si="13"/>
        <v>1.6882716745309688E-35</v>
      </c>
      <c r="P63" s="39">
        <f t="shared" si="13"/>
        <v>7.7964883006665009E-34</v>
      </c>
      <c r="Q63" s="39">
        <f t="shared" si="13"/>
        <v>3.2589203117309445E-32</v>
      </c>
      <c r="R63" s="39">
        <f t="shared" si="13"/>
        <v>1.2375863512521262E-30</v>
      </c>
      <c r="S63" s="39">
        <f t="shared" si="13"/>
        <v>4.283116203319649E-29</v>
      </c>
      <c r="T63" s="39">
        <f t="shared" si="13"/>
        <v>1.354463818530016E-27</v>
      </c>
      <c r="U63" s="39">
        <f t="shared" si="13"/>
        <v>3.9224158562498313E-26</v>
      </c>
      <c r="V63" s="39">
        <f t="shared" si="13"/>
        <v>1.0421059528035135E-24</v>
      </c>
      <c r="W63" s="37">
        <v>0.94</v>
      </c>
    </row>
    <row r="64" spans="2:23" x14ac:dyDescent="0.25">
      <c r="B64" s="39">
        <f t="shared" si="12"/>
        <v>6.2490376415660835E-63</v>
      </c>
      <c r="C64" s="39">
        <f t="shared" si="12"/>
        <v>5.5870727531788789E-60</v>
      </c>
      <c r="D64" s="39">
        <f t="shared" si="12"/>
        <v>2.4392943410325108E-57</v>
      </c>
      <c r="E64" s="39">
        <f t="shared" si="12"/>
        <v>6.9313339644681124E-55</v>
      </c>
      <c r="F64" s="39">
        <f t="shared" si="12"/>
        <v>1.441492826771961E-52</v>
      </c>
      <c r="G64" s="39">
        <f t="shared" si="12"/>
        <v>2.3393204230086331E-50</v>
      </c>
      <c r="H64" s="39">
        <f t="shared" si="12"/>
        <v>3.0844558690184127E-48</v>
      </c>
      <c r="I64" s="39">
        <f t="shared" si="12"/>
        <v>3.3970794625145564E-46</v>
      </c>
      <c r="J64" s="39">
        <f t="shared" si="12"/>
        <v>3.188662267094222E-44</v>
      </c>
      <c r="K64" s="39">
        <f t="shared" si="12"/>
        <v>2.5899931397247691E-42</v>
      </c>
      <c r="L64" s="39">
        <f t="shared" si="13"/>
        <v>1.842180155683526E-40</v>
      </c>
      <c r="M64" s="39">
        <f t="shared" si="13"/>
        <v>1.1583051325582236E-38</v>
      </c>
      <c r="N64" s="39">
        <f t="shared" si="13"/>
        <v>6.4880142966634744E-37</v>
      </c>
      <c r="O64" s="39">
        <f t="shared" si="13"/>
        <v>3.2579744344324518E-35</v>
      </c>
      <c r="P64" s="39">
        <f t="shared" si="13"/>
        <v>1.4744018396112665E-33</v>
      </c>
      <c r="Q64" s="39">
        <f t="shared" si="13"/>
        <v>6.0398987355705723E-32</v>
      </c>
      <c r="R64" s="39">
        <f t="shared" si="13"/>
        <v>2.2480089679104521E-30</v>
      </c>
      <c r="S64" s="39">
        <f t="shared" si="13"/>
        <v>7.6256431883731791E-29</v>
      </c>
      <c r="T64" s="39">
        <f t="shared" si="13"/>
        <v>2.3637719828938523E-27</v>
      </c>
      <c r="U64" s="39">
        <f t="shared" si="13"/>
        <v>6.7102824979903205E-26</v>
      </c>
      <c r="V64" s="39">
        <f t="shared" si="13"/>
        <v>1.7477346723710465E-24</v>
      </c>
      <c r="W64" s="37">
        <v>0.93899999999999995</v>
      </c>
    </row>
    <row r="65" spans="2:23" x14ac:dyDescent="0.25">
      <c r="B65" s="39">
        <f t="shared" si="12"/>
        <v>1.5516513083877228E-62</v>
      </c>
      <c r="C65" s="39">
        <f t="shared" si="12"/>
        <v>1.358869931752432E-59</v>
      </c>
      <c r="D65" s="39">
        <f t="shared" si="12"/>
        <v>5.8116364409981991E-57</v>
      </c>
      <c r="E65" s="39">
        <f t="shared" si="12"/>
        <v>1.6177807680701535E-54</v>
      </c>
      <c r="F65" s="39">
        <f t="shared" si="12"/>
        <v>3.2961862472243793E-52</v>
      </c>
      <c r="G65" s="39">
        <f t="shared" si="12"/>
        <v>5.2409865088561411E-50</v>
      </c>
      <c r="H65" s="39">
        <f t="shared" si="12"/>
        <v>6.771010449910002E-48</v>
      </c>
      <c r="I65" s="39">
        <f t="shared" si="12"/>
        <v>7.3073450203883117E-46</v>
      </c>
      <c r="J65" s="39">
        <f t="shared" si="12"/>
        <v>6.7215383361534741E-44</v>
      </c>
      <c r="K65" s="39">
        <f t="shared" si="12"/>
        <v>5.3504728845286308E-42</v>
      </c>
      <c r="L65" s="39">
        <f t="shared" si="13"/>
        <v>3.7298046347752756E-40</v>
      </c>
      <c r="M65" s="39">
        <f t="shared" si="13"/>
        <v>2.2986048907363437E-38</v>
      </c>
      <c r="N65" s="39">
        <f t="shared" si="13"/>
        <v>1.2620232014947865E-36</v>
      </c>
      <c r="O65" s="39">
        <f t="shared" si="13"/>
        <v>6.2121817891203564E-35</v>
      </c>
      <c r="P65" s="39">
        <f t="shared" si="13"/>
        <v>2.7560047575937238E-33</v>
      </c>
      <c r="Q65" s="39">
        <f t="shared" si="13"/>
        <v>1.1068479839877811E-31</v>
      </c>
      <c r="R65" s="39">
        <f t="shared" si="13"/>
        <v>4.0390305600087966E-30</v>
      </c>
      <c r="S65" s="39">
        <f t="shared" si="13"/>
        <v>1.3433923766818321E-28</v>
      </c>
      <c r="T65" s="39">
        <f t="shared" si="13"/>
        <v>4.0832482239491358E-27</v>
      </c>
      <c r="U65" s="39">
        <f t="shared" si="13"/>
        <v>1.1366880943087302E-25</v>
      </c>
      <c r="V65" s="39">
        <f t="shared" si="13"/>
        <v>2.9033730723687822E-24</v>
      </c>
      <c r="W65" s="37">
        <v>0.93799999999999994</v>
      </c>
    </row>
    <row r="66" spans="2:23" x14ac:dyDescent="0.25">
      <c r="B66" s="39">
        <f t="shared" si="12"/>
        <v>3.7905804684620645E-62</v>
      </c>
      <c r="C66" s="39">
        <f t="shared" si="12"/>
        <v>3.2528595534359987E-59</v>
      </c>
      <c r="D66" s="39">
        <f t="shared" si="12"/>
        <v>1.3632915397235703E-56</v>
      </c>
      <c r="E66" s="39">
        <f t="shared" si="12"/>
        <v>3.7191162191490486E-54</v>
      </c>
      <c r="F66" s="39">
        <f t="shared" si="12"/>
        <v>7.4265715815812293E-52</v>
      </c>
      <c r="G66" s="39">
        <f t="shared" si="12"/>
        <v>1.1573716814118508E-49</v>
      </c>
      <c r="H66" s="39">
        <f t="shared" si="12"/>
        <v>1.4656254045174572E-47</v>
      </c>
      <c r="I66" s="39">
        <f t="shared" si="12"/>
        <v>1.5504765092866827E-45</v>
      </c>
      <c r="J66" s="39">
        <f t="shared" si="12"/>
        <v>1.3980947548841756E-43</v>
      </c>
      <c r="K66" s="39">
        <f t="shared" si="12"/>
        <v>1.0910599274184861E-41</v>
      </c>
      <c r="L66" s="39">
        <f t="shared" si="13"/>
        <v>7.4568789556914479E-40</v>
      </c>
      <c r="M66" s="39">
        <f t="shared" si="13"/>
        <v>4.5058410995202703E-38</v>
      </c>
      <c r="N66" s="39">
        <f t="shared" si="13"/>
        <v>2.4257458666632034E-36</v>
      </c>
      <c r="O66" s="39">
        <f t="shared" si="13"/>
        <v>1.1708852460655587E-34</v>
      </c>
      <c r="P66" s="39">
        <f t="shared" si="13"/>
        <v>5.0941073389918139E-33</v>
      </c>
      <c r="Q66" s="39">
        <f t="shared" si="13"/>
        <v>2.0064102527901783E-31</v>
      </c>
      <c r="R66" s="39">
        <f t="shared" si="13"/>
        <v>7.1808882523143621E-30</v>
      </c>
      <c r="S66" s="39">
        <f t="shared" si="13"/>
        <v>2.3426035091308889E-28</v>
      </c>
      <c r="T66" s="39">
        <f t="shared" si="13"/>
        <v>6.9842885750760332E-27</v>
      </c>
      <c r="U66" s="39">
        <f t="shared" si="13"/>
        <v>1.9072332143081134E-25</v>
      </c>
      <c r="V66" s="39">
        <f t="shared" si="13"/>
        <v>4.7790005384514242E-24</v>
      </c>
      <c r="W66" s="37">
        <v>0.93700000000000006</v>
      </c>
    </row>
    <row r="67" spans="2:23" x14ac:dyDescent="0.25">
      <c r="B67" s="39">
        <f t="shared" si="12"/>
        <v>7.883974624401169E-62</v>
      </c>
      <c r="C67" s="39">
        <f t="shared" si="12"/>
        <v>6.6538282087876143E-59</v>
      </c>
      <c r="D67" s="39">
        <f t="shared" si="12"/>
        <v>2.7427331689483229E-56</v>
      </c>
      <c r="E67" s="39">
        <f t="shared" si="12"/>
        <v>7.3594401936065955E-54</v>
      </c>
      <c r="F67" s="39">
        <f t="shared" si="12"/>
        <v>1.4455235481800502E-51</v>
      </c>
      <c r="G67" s="39">
        <f t="shared" si="12"/>
        <v>2.215964892784955E-49</v>
      </c>
      <c r="H67" s="39">
        <f t="shared" si="12"/>
        <v>2.7604989688196145E-47</v>
      </c>
      <c r="I67" s="39">
        <f t="shared" si="12"/>
        <v>2.8729339387480324E-45</v>
      </c>
      <c r="J67" s="39">
        <f t="shared" si="12"/>
        <v>2.5486727347772701E-43</v>
      </c>
      <c r="K67" s="39">
        <f t="shared" si="12"/>
        <v>1.9568799285012882E-41</v>
      </c>
      <c r="L67" s="39">
        <f t="shared" si="13"/>
        <v>1.3159269604945356E-39</v>
      </c>
      <c r="M67" s="39">
        <f t="shared" si="13"/>
        <v>7.8240320328134866E-38</v>
      </c>
      <c r="N67" s="39">
        <f t="shared" si="13"/>
        <v>4.1447751697147573E-36</v>
      </c>
      <c r="O67" s="39">
        <f t="shared" si="13"/>
        <v>1.9687553735261818E-34</v>
      </c>
      <c r="P67" s="39">
        <f t="shared" si="13"/>
        <v>8.4292323791654134E-33</v>
      </c>
      <c r="Q67" s="39">
        <f t="shared" si="13"/>
        <v>3.2674045752259909E-31</v>
      </c>
      <c r="R67" s="39">
        <f t="shared" si="13"/>
        <v>1.1509203833363699E-29</v>
      </c>
      <c r="S67" s="39">
        <f t="shared" si="13"/>
        <v>3.695477187062735E-28</v>
      </c>
      <c r="T67" s="39">
        <f t="shared" si="13"/>
        <v>1.0844741815072088E-26</v>
      </c>
      <c r="U67" s="39">
        <f t="shared" si="13"/>
        <v>2.9150556352125582E-25</v>
      </c>
      <c r="V67" s="39">
        <f t="shared" si="13"/>
        <v>7.1902975845043198E-24</v>
      </c>
      <c r="W67" s="37">
        <v>0.93600000000000005</v>
      </c>
    </row>
    <row r="68" spans="2:23" x14ac:dyDescent="0.25">
      <c r="B68" s="39">
        <f t="shared" si="12"/>
        <v>1.8721201475999664E-61</v>
      </c>
      <c r="C68" s="39">
        <f t="shared" si="12"/>
        <v>1.5492425918372193E-58</v>
      </c>
      <c r="D68" s="39">
        <f t="shared" si="12"/>
        <v>6.2620424713575682E-56</v>
      </c>
      <c r="E68" s="39">
        <f t="shared" si="12"/>
        <v>1.6477335105094439E-53</v>
      </c>
      <c r="F68" s="39">
        <f t="shared" si="12"/>
        <v>3.1739649518382811E-51</v>
      </c>
      <c r="G68" s="39">
        <f t="shared" si="12"/>
        <v>4.7719896952214111E-49</v>
      </c>
      <c r="H68" s="39">
        <f t="shared" si="12"/>
        <v>5.8305385327674319E-47</v>
      </c>
      <c r="I68" s="39">
        <f t="shared" si="12"/>
        <v>5.9519033179013421E-45</v>
      </c>
      <c r="J68" s="39">
        <f t="shared" si="12"/>
        <v>5.179383129064003E-43</v>
      </c>
      <c r="K68" s="39">
        <f t="shared" si="12"/>
        <v>3.9010936496479954E-41</v>
      </c>
      <c r="L68" s="39">
        <f t="shared" si="13"/>
        <v>2.5735737840584773E-39</v>
      </c>
      <c r="M68" s="39">
        <f t="shared" si="13"/>
        <v>1.5012133955284962E-37</v>
      </c>
      <c r="N68" s="39">
        <f t="shared" si="13"/>
        <v>7.8026840220150937E-36</v>
      </c>
      <c r="O68" s="39">
        <f t="shared" si="13"/>
        <v>3.6365555672496396E-34</v>
      </c>
      <c r="P68" s="39">
        <f t="shared" si="13"/>
        <v>1.5277984805584862E-32</v>
      </c>
      <c r="Q68" s="39">
        <f t="shared" si="13"/>
        <v>5.8114518277703935E-31</v>
      </c>
      <c r="R68" s="39">
        <f t="shared" si="13"/>
        <v>2.008883603073346E-29</v>
      </c>
      <c r="S68" s="39">
        <f t="shared" si="13"/>
        <v>6.3304101688494812E-28</v>
      </c>
      <c r="T68" s="39">
        <f t="shared" si="13"/>
        <v>1.8232929389594791E-26</v>
      </c>
      <c r="U68" s="39">
        <f t="shared" si="13"/>
        <v>4.8104321310966894E-25</v>
      </c>
      <c r="V68" s="39">
        <f t="shared" si="13"/>
        <v>1.1646844362512564E-23</v>
      </c>
      <c r="W68" s="37">
        <v>0.93500000000000005</v>
      </c>
    </row>
    <row r="69" spans="2:23" x14ac:dyDescent="0.25">
      <c r="B69" s="39">
        <f t="shared" si="12"/>
        <v>4.3805179706781749E-61</v>
      </c>
      <c r="C69" s="39">
        <f t="shared" si="12"/>
        <v>3.5556347704044057E-58</v>
      </c>
      <c r="D69" s="39">
        <f t="shared" si="12"/>
        <v>1.4097563388894918E-55</v>
      </c>
      <c r="E69" s="39">
        <f t="shared" si="12"/>
        <v>3.6388956418869346E-53</v>
      </c>
      <c r="F69" s="39">
        <f t="shared" si="12"/>
        <v>6.87643703200862E-51</v>
      </c>
      <c r="G69" s="39">
        <f t="shared" si="12"/>
        <v>1.0142933748507565E-48</v>
      </c>
      <c r="H69" s="39">
        <f t="shared" si="12"/>
        <v>1.2159044229745912E-46</v>
      </c>
      <c r="I69" s="39">
        <f t="shared" si="12"/>
        <v>1.2178593790269566E-44</v>
      </c>
      <c r="J69" s="39">
        <f t="shared" si="12"/>
        <v>1.0399047552740505E-42</v>
      </c>
      <c r="K69" s="39">
        <f t="shared" si="12"/>
        <v>7.6859898531405337E-41</v>
      </c>
      <c r="L69" s="39">
        <f t="shared" si="13"/>
        <v>4.9758987573789688E-39</v>
      </c>
      <c r="M69" s="39">
        <f t="shared" si="13"/>
        <v>2.8485400389920097E-37</v>
      </c>
      <c r="N69" s="39">
        <f t="shared" si="13"/>
        <v>1.4530894346963275E-35</v>
      </c>
      <c r="O69" s="39">
        <f t="shared" si="13"/>
        <v>6.6470717832251337E-34</v>
      </c>
      <c r="P69" s="39">
        <f t="shared" si="13"/>
        <v>2.7410778785590879E-32</v>
      </c>
      <c r="Q69" s="39">
        <f t="shared" si="13"/>
        <v>1.0234777738798566E-30</v>
      </c>
      <c r="R69" s="39">
        <f t="shared" si="13"/>
        <v>3.4730442298070789E-29</v>
      </c>
      <c r="S69" s="39">
        <f t="shared" si="13"/>
        <v>1.074415951501141E-27</v>
      </c>
      <c r="T69" s="39">
        <f t="shared" si="13"/>
        <v>3.0381233939189972E-26</v>
      </c>
      <c r="U69" s="39">
        <f t="shared" si="13"/>
        <v>7.8698191245444542E-25</v>
      </c>
      <c r="V69" s="39">
        <f t="shared" si="13"/>
        <v>1.8708717984566988E-23</v>
      </c>
      <c r="W69" s="37">
        <v>0.93400000000000005</v>
      </c>
    </row>
    <row r="70" spans="2:23" x14ac:dyDescent="0.25">
      <c r="B70" s="39">
        <f t="shared" si="12"/>
        <v>1.0104970673610544E-60</v>
      </c>
      <c r="C70" s="39">
        <f t="shared" si="12"/>
        <v>8.0477421470054446E-58</v>
      </c>
      <c r="D70" s="39">
        <f t="shared" si="12"/>
        <v>3.1309187385157438E-55</v>
      </c>
      <c r="E70" s="39">
        <f t="shared" si="12"/>
        <v>7.9303358252592552E-53</v>
      </c>
      <c r="F70" s="39">
        <f t="shared" si="12"/>
        <v>1.470628539740913E-50</v>
      </c>
      <c r="G70" s="39">
        <f t="shared" si="12"/>
        <v>2.128844078867512E-48</v>
      </c>
      <c r="H70" s="39">
        <f t="shared" si="12"/>
        <v>2.5046298897364281E-46</v>
      </c>
      <c r="I70" s="39">
        <f t="shared" si="12"/>
        <v>2.4622272979885354E-44</v>
      </c>
      <c r="J70" s="39">
        <f t="shared" si="12"/>
        <v>2.0636420718934334E-42</v>
      </c>
      <c r="K70" s="39">
        <f t="shared" si="12"/>
        <v>1.4971774824254695E-40</v>
      </c>
      <c r="L70" s="39">
        <f t="shared" si="13"/>
        <v>9.5148177248669378E-39</v>
      </c>
      <c r="M70" s="39">
        <f t="shared" si="13"/>
        <v>5.3472371610043018E-37</v>
      </c>
      <c r="N70" s="39">
        <f t="shared" si="13"/>
        <v>2.6779367221031312E-35</v>
      </c>
      <c r="O70" s="39">
        <f t="shared" si="13"/>
        <v>1.2027124378474478E-33</v>
      </c>
      <c r="P70" s="39">
        <f t="shared" si="13"/>
        <v>4.8696624660289724E-32</v>
      </c>
      <c r="Q70" s="39">
        <f t="shared" si="13"/>
        <v>1.7853547013577547E-30</v>
      </c>
      <c r="R70" s="39">
        <f t="shared" si="13"/>
        <v>5.9490493025332409E-29</v>
      </c>
      <c r="S70" s="39">
        <f t="shared" si="13"/>
        <v>1.8072715470074148E-27</v>
      </c>
      <c r="T70" s="39">
        <f t="shared" si="13"/>
        <v>5.0187164008408018E-26</v>
      </c>
      <c r="U70" s="39">
        <f t="shared" si="13"/>
        <v>1.2767647805697031E-24</v>
      </c>
      <c r="V70" s="39">
        <f t="shared" si="13"/>
        <v>2.9810670796760519E-23</v>
      </c>
      <c r="W70" s="37">
        <v>0.93300000000000005</v>
      </c>
    </row>
    <row r="71" spans="2:23" x14ac:dyDescent="0.25">
      <c r="B71" s="39">
        <f t="shared" si="12"/>
        <v>2.0066333008130428E-60</v>
      </c>
      <c r="C71" s="39">
        <f t="shared" si="12"/>
        <v>1.5733818653660602E-57</v>
      </c>
      <c r="D71" s="39">
        <f t="shared" si="12"/>
        <v>6.026678036672582E-55</v>
      </c>
      <c r="E71" s="39">
        <f t="shared" si="12"/>
        <v>1.5030131337241798E-52</v>
      </c>
      <c r="F71" s="39">
        <f t="shared" si="12"/>
        <v>2.7444669318252644E-50</v>
      </c>
      <c r="G71" s="39">
        <f t="shared" si="12"/>
        <v>3.9120231723206747E-48</v>
      </c>
      <c r="H71" s="39">
        <f t="shared" si="12"/>
        <v>4.532338513105571E-46</v>
      </c>
      <c r="I71" s="39">
        <f t="shared" si="12"/>
        <v>4.3877990671101291E-44</v>
      </c>
      <c r="J71" s="39">
        <f t="shared" si="12"/>
        <v>3.621690231578781E-42</v>
      </c>
      <c r="K71" s="39">
        <f t="shared" si="12"/>
        <v>2.587778042327241E-40</v>
      </c>
      <c r="L71" s="39">
        <f t="shared" si="13"/>
        <v>1.619755388801476E-38</v>
      </c>
      <c r="M71" s="39">
        <f t="shared" si="13"/>
        <v>8.9658609224743765E-37</v>
      </c>
      <c r="N71" s="39">
        <f t="shared" si="13"/>
        <v>4.4227743157136821E-35</v>
      </c>
      <c r="O71" s="39">
        <f t="shared" si="13"/>
        <v>1.9566199578866135E-33</v>
      </c>
      <c r="P71" s="39">
        <f t="shared" si="13"/>
        <v>7.8039056858609359E-32</v>
      </c>
      <c r="Q71" s="39">
        <f t="shared" si="13"/>
        <v>2.8185412209868947E-30</v>
      </c>
      <c r="R71" s="39">
        <f t="shared" si="13"/>
        <v>9.2523578452696359E-29</v>
      </c>
      <c r="S71" s="39">
        <f t="shared" si="13"/>
        <v>2.7691819595838128E-27</v>
      </c>
      <c r="T71" s="39">
        <f t="shared" si="13"/>
        <v>7.5763886561678957E-26</v>
      </c>
      <c r="U71" s="39">
        <f t="shared" si="13"/>
        <v>1.8990671013259149E-24</v>
      </c>
      <c r="V71" s="39">
        <f t="shared" si="13"/>
        <v>4.3689730826136152E-23</v>
      </c>
      <c r="W71" s="37">
        <v>0.93200000000000005</v>
      </c>
    </row>
    <row r="72" spans="2:23" x14ac:dyDescent="0.25">
      <c r="B72" s="39">
        <f t="shared" si="12"/>
        <v>4.5150875154917487E-60</v>
      </c>
      <c r="C72" s="39">
        <f t="shared" si="12"/>
        <v>3.4755694726342875E-57</v>
      </c>
      <c r="D72" s="39">
        <f t="shared" si="12"/>
        <v>1.3070300438040131E-54</v>
      </c>
      <c r="E72" s="39">
        <f t="shared" si="12"/>
        <v>3.2004281125467005E-52</v>
      </c>
      <c r="F72" s="39">
        <f t="shared" si="12"/>
        <v>5.7380312518494206E-50</v>
      </c>
      <c r="G72" s="39">
        <f t="shared" si="12"/>
        <v>8.0313347849431904E-48</v>
      </c>
      <c r="H72" s="39">
        <f t="shared" si="12"/>
        <v>9.1371713831609437E-46</v>
      </c>
      <c r="I72" s="39">
        <f t="shared" si="12"/>
        <v>8.6868220118107339E-44</v>
      </c>
      <c r="J72" s="39">
        <f t="shared" si="12"/>
        <v>7.0416076172929668E-42</v>
      </c>
      <c r="K72" s="39">
        <f t="shared" si="12"/>
        <v>4.9414610029785643E-40</v>
      </c>
      <c r="L72" s="39">
        <f t="shared" si="13"/>
        <v>3.03785509770807E-38</v>
      </c>
      <c r="M72" s="39">
        <f t="shared" si="13"/>
        <v>1.6516585967612848E-36</v>
      </c>
      <c r="N72" s="39">
        <f t="shared" si="13"/>
        <v>8.003041581014212E-35</v>
      </c>
      <c r="O72" s="39">
        <f t="shared" si="13"/>
        <v>3.4779240686073346E-33</v>
      </c>
      <c r="P72" s="39">
        <f t="shared" si="13"/>
        <v>1.3626999485918496E-31</v>
      </c>
      <c r="Q72" s="39">
        <f t="shared" si="13"/>
        <v>4.8351338816107131E-30</v>
      </c>
      <c r="R72" s="39">
        <f t="shared" si="13"/>
        <v>1.5593862341290571E-28</v>
      </c>
      <c r="S72" s="39">
        <f t="shared" si="13"/>
        <v>4.5855477685768905E-27</v>
      </c>
      <c r="T72" s="39">
        <f t="shared" si="13"/>
        <v>1.2327123651734931E-25</v>
      </c>
      <c r="U72" s="39">
        <f t="shared" si="13"/>
        <v>3.0361342839445548E-24</v>
      </c>
      <c r="V72" s="39">
        <f t="shared" si="13"/>
        <v>6.8637688652475787E-23</v>
      </c>
      <c r="W72" s="37">
        <v>0.93100000000000005</v>
      </c>
    </row>
    <row r="73" spans="2:23" x14ac:dyDescent="0.25">
      <c r="B73" s="39">
        <f t="shared" ref="B73:K82" si="14">_xlfn.HYPGEOM.DIST(B$2,comau,tongtheN*$W73,tongtheN,TRUE)</f>
        <v>1.0028469959950259E-59</v>
      </c>
      <c r="C73" s="39">
        <f t="shared" si="14"/>
        <v>7.5808170594435279E-57</v>
      </c>
      <c r="D73" s="39">
        <f t="shared" si="14"/>
        <v>2.7997450677632167E-54</v>
      </c>
      <c r="E73" s="39">
        <f t="shared" si="14"/>
        <v>6.7329458227878723E-52</v>
      </c>
      <c r="F73" s="39">
        <f t="shared" si="14"/>
        <v>1.1856192560054295E-49</v>
      </c>
      <c r="G73" s="39">
        <f t="shared" si="14"/>
        <v>1.6299581065297068E-47</v>
      </c>
      <c r="H73" s="39">
        <f t="shared" si="14"/>
        <v>1.8214945288376999E-45</v>
      </c>
      <c r="I73" s="39">
        <f t="shared" si="14"/>
        <v>1.7010823968769443E-43</v>
      </c>
      <c r="J73" s="39">
        <f t="shared" si="14"/>
        <v>1.354582464642817E-41</v>
      </c>
      <c r="K73" s="39">
        <f t="shared" si="14"/>
        <v>9.3385406975591992E-40</v>
      </c>
      <c r="L73" s="39">
        <f t="shared" ref="L73:V82" si="15">_xlfn.HYPGEOM.DIST(L$2,comau,tongtheN*$W73,tongtheN,TRUE)</f>
        <v>5.6402905224376283E-38</v>
      </c>
      <c r="M73" s="39">
        <f t="shared" si="15"/>
        <v>3.0129102394931164E-36</v>
      </c>
      <c r="N73" s="39">
        <f t="shared" si="15"/>
        <v>1.4344095020058704E-34</v>
      </c>
      <c r="O73" s="39">
        <f t="shared" si="15"/>
        <v>6.1250691189396778E-33</v>
      </c>
      <c r="P73" s="39">
        <f t="shared" si="15"/>
        <v>2.3582214506520312E-31</v>
      </c>
      <c r="Q73" s="39">
        <f t="shared" si="15"/>
        <v>8.2225575467479153E-30</v>
      </c>
      <c r="R73" s="39">
        <f t="shared" si="15"/>
        <v>2.606074435720503E-28</v>
      </c>
      <c r="S73" s="39">
        <f t="shared" si="15"/>
        <v>7.531469065778204E-27</v>
      </c>
      <c r="T73" s="39">
        <f t="shared" si="15"/>
        <v>1.9898771912040126E-25</v>
      </c>
      <c r="U73" s="39">
        <f t="shared" si="15"/>
        <v>4.8170626745793373E-24</v>
      </c>
      <c r="V73" s="39">
        <f t="shared" si="15"/>
        <v>1.0703889268130157E-22</v>
      </c>
      <c r="W73" s="37">
        <v>0.93</v>
      </c>
    </row>
    <row r="74" spans="2:23" x14ac:dyDescent="0.25">
      <c r="B74" s="39">
        <f t="shared" si="14"/>
        <v>2.1996365558432568E-59</v>
      </c>
      <c r="C74" s="39">
        <f t="shared" si="14"/>
        <v>1.6333428664706563E-56</v>
      </c>
      <c r="D74" s="39">
        <f t="shared" si="14"/>
        <v>5.9257806079043619E-54</v>
      </c>
      <c r="E74" s="39">
        <f t="shared" si="14"/>
        <v>1.399969254031205E-51</v>
      </c>
      <c r="F74" s="39">
        <f t="shared" si="14"/>
        <v>2.4219512820701502E-49</v>
      </c>
      <c r="G74" s="39">
        <f t="shared" si="14"/>
        <v>3.2713257384825943E-47</v>
      </c>
      <c r="H74" s="39">
        <f t="shared" si="14"/>
        <v>3.5918876838326276E-45</v>
      </c>
      <c r="I74" s="39">
        <f t="shared" si="14"/>
        <v>3.2960062751889671E-43</v>
      </c>
      <c r="J74" s="39">
        <f t="shared" si="14"/>
        <v>2.5790285230649785E-41</v>
      </c>
      <c r="K74" s="39">
        <f t="shared" si="14"/>
        <v>1.747180961325294E-39</v>
      </c>
      <c r="L74" s="39">
        <f t="shared" si="15"/>
        <v>1.0370235926207021E-37</v>
      </c>
      <c r="M74" s="39">
        <f t="shared" si="15"/>
        <v>5.4440451462180275E-36</v>
      </c>
      <c r="N74" s="39">
        <f t="shared" si="15"/>
        <v>2.5472823173168455E-34</v>
      </c>
      <c r="O74" s="39">
        <f t="shared" si="15"/>
        <v>1.0690631044703949E-32</v>
      </c>
      <c r="P74" s="39">
        <f t="shared" si="15"/>
        <v>4.0456225178404074E-31</v>
      </c>
      <c r="Q74" s="39">
        <f t="shared" si="15"/>
        <v>1.3865518762171689E-29</v>
      </c>
      <c r="R74" s="39">
        <f t="shared" si="15"/>
        <v>4.3198081768397419E-28</v>
      </c>
      <c r="S74" s="39">
        <f t="shared" si="15"/>
        <v>1.2272296285294573E-26</v>
      </c>
      <c r="T74" s="39">
        <f t="shared" si="15"/>
        <v>3.1875792245681628E-25</v>
      </c>
      <c r="U74" s="39">
        <f t="shared" si="15"/>
        <v>7.5862254464173136E-24</v>
      </c>
      <c r="V74" s="39">
        <f t="shared" si="15"/>
        <v>1.657349249793393E-22</v>
      </c>
      <c r="W74" s="37">
        <v>0.92900000000000005</v>
      </c>
    </row>
    <row r="75" spans="2:23" x14ac:dyDescent="0.25">
      <c r="B75" s="39">
        <f t="shared" si="14"/>
        <v>4.7663294288732843E-59</v>
      </c>
      <c r="C75" s="39">
        <f t="shared" si="14"/>
        <v>3.4775633029457504E-56</v>
      </c>
      <c r="D75" s="39">
        <f t="shared" si="14"/>
        <v>1.239731945711021E-53</v>
      </c>
      <c r="E75" s="39">
        <f t="shared" si="14"/>
        <v>2.8780952829708384E-51</v>
      </c>
      <c r="F75" s="39">
        <f t="shared" si="14"/>
        <v>4.8930128035332097E-49</v>
      </c>
      <c r="G75" s="39">
        <f t="shared" si="14"/>
        <v>6.4949944432229851E-47</v>
      </c>
      <c r="H75" s="39">
        <f t="shared" si="14"/>
        <v>7.0087647904096681E-45</v>
      </c>
      <c r="I75" s="39">
        <f t="shared" si="14"/>
        <v>6.3210634882613443E-43</v>
      </c>
      <c r="J75" s="39">
        <f t="shared" si="14"/>
        <v>4.8613986844279354E-41</v>
      </c>
      <c r="K75" s="39">
        <f t="shared" si="14"/>
        <v>3.2371698853688962E-39</v>
      </c>
      <c r="L75" s="39">
        <f t="shared" si="15"/>
        <v>1.8886794053194752E-37</v>
      </c>
      <c r="M75" s="39">
        <f t="shared" si="15"/>
        <v>9.7465921142616933E-36</v>
      </c>
      <c r="N75" s="39">
        <f t="shared" si="15"/>
        <v>4.4832097101475837E-34</v>
      </c>
      <c r="O75" s="39">
        <f t="shared" si="15"/>
        <v>1.849761053076607E-32</v>
      </c>
      <c r="P75" s="39">
        <f t="shared" si="15"/>
        <v>6.8820428584037413E-31</v>
      </c>
      <c r="Q75" s="39">
        <f t="shared" si="15"/>
        <v>2.3190348576243278E-29</v>
      </c>
      <c r="R75" s="39">
        <f t="shared" si="15"/>
        <v>7.1038565985325182E-28</v>
      </c>
      <c r="S75" s="39">
        <f t="shared" si="15"/>
        <v>1.9844199757655178E-26</v>
      </c>
      <c r="T75" s="39">
        <f t="shared" si="15"/>
        <v>5.0683464789532709E-25</v>
      </c>
      <c r="U75" s="39">
        <f t="shared" si="15"/>
        <v>1.1861734283488004E-23</v>
      </c>
      <c r="V75" s="39">
        <f t="shared" si="15"/>
        <v>2.5484334890788109E-22</v>
      </c>
      <c r="W75" s="37">
        <v>0.92800000000000005</v>
      </c>
    </row>
    <row r="76" spans="2:23" x14ac:dyDescent="0.25">
      <c r="B76" s="39">
        <f t="shared" si="14"/>
        <v>8.9975841866917624E-59</v>
      </c>
      <c r="C76" s="39">
        <f t="shared" si="14"/>
        <v>6.4705691311618179E-56</v>
      </c>
      <c r="D76" s="39">
        <f t="shared" si="14"/>
        <v>2.2737199592023367E-53</v>
      </c>
      <c r="E76" s="39">
        <f t="shared" si="14"/>
        <v>5.2032201909802728E-51</v>
      </c>
      <c r="F76" s="39">
        <f t="shared" si="14"/>
        <v>8.7200163431008797E-49</v>
      </c>
      <c r="G76" s="39">
        <f t="shared" si="14"/>
        <v>1.1410630467535618E-46</v>
      </c>
      <c r="H76" s="39">
        <f t="shared" si="14"/>
        <v>1.2138868432654811E-44</v>
      </c>
      <c r="I76" s="39">
        <f t="shared" si="14"/>
        <v>1.0793160570151177E-42</v>
      </c>
      <c r="J76" s="39">
        <f t="shared" si="14"/>
        <v>8.1838442562906428E-41</v>
      </c>
      <c r="K76" s="39">
        <f t="shared" si="14"/>
        <v>5.3729780554795025E-39</v>
      </c>
      <c r="L76" s="39">
        <f t="shared" si="15"/>
        <v>3.0908439183689934E-37</v>
      </c>
      <c r="M76" s="39">
        <f t="shared" si="15"/>
        <v>1.5727389672144789E-35</v>
      </c>
      <c r="N76" s="39">
        <f t="shared" si="15"/>
        <v>7.1333525443051199E-34</v>
      </c>
      <c r="O76" s="39">
        <f t="shared" si="15"/>
        <v>2.902263133356071E-32</v>
      </c>
      <c r="P76" s="39">
        <f t="shared" si="15"/>
        <v>1.0648067277649526E-30</v>
      </c>
      <c r="Q76" s="39">
        <f t="shared" si="15"/>
        <v>3.5384144239990712E-29</v>
      </c>
      <c r="R76" s="39">
        <f t="shared" si="15"/>
        <v>1.0689548902477165E-27</v>
      </c>
      <c r="S76" s="39">
        <f t="shared" si="15"/>
        <v>2.9449528931397956E-26</v>
      </c>
      <c r="T76" s="39">
        <f t="shared" si="15"/>
        <v>7.4183355239961751E-25</v>
      </c>
      <c r="U76" s="39">
        <f t="shared" si="15"/>
        <v>1.7123781946324722E-23</v>
      </c>
      <c r="V76" s="39">
        <f t="shared" si="15"/>
        <v>3.6287087794722192E-22</v>
      </c>
      <c r="W76" s="37">
        <v>0.92700000000000005</v>
      </c>
    </row>
    <row r="77" spans="2:23" x14ac:dyDescent="0.25">
      <c r="B77" s="39">
        <f t="shared" si="14"/>
        <v>1.9084780142121567E-58</v>
      </c>
      <c r="C77" s="39">
        <f t="shared" si="14"/>
        <v>1.3492030761425889E-55</v>
      </c>
      <c r="D77" s="39">
        <f t="shared" si="14"/>
        <v>4.6608407748911383E-53</v>
      </c>
      <c r="E77" s="39">
        <f t="shared" si="14"/>
        <v>1.0486021270877907E-50</v>
      </c>
      <c r="F77" s="39">
        <f t="shared" si="14"/>
        <v>1.7277694372556068E-48</v>
      </c>
      <c r="G77" s="39">
        <f t="shared" si="14"/>
        <v>2.2229349354329818E-46</v>
      </c>
      <c r="H77" s="39">
        <f t="shared" si="14"/>
        <v>2.3252119360385675E-44</v>
      </c>
      <c r="I77" s="39">
        <f t="shared" si="14"/>
        <v>2.0329128614102654E-42</v>
      </c>
      <c r="J77" s="39">
        <f t="shared" si="14"/>
        <v>1.5157646658556768E-40</v>
      </c>
      <c r="K77" s="39">
        <f t="shared" si="14"/>
        <v>9.7861588233597927E-39</v>
      </c>
      <c r="L77" s="39">
        <f t="shared" si="15"/>
        <v>5.5362472385503829E-37</v>
      </c>
      <c r="M77" s="39">
        <f t="shared" si="15"/>
        <v>2.7704777825296714E-35</v>
      </c>
      <c r="N77" s="39">
        <f t="shared" si="15"/>
        <v>1.2358612935307177E-33</v>
      </c>
      <c r="O77" s="39">
        <f t="shared" si="15"/>
        <v>4.9454889094908973E-32</v>
      </c>
      <c r="P77" s="39">
        <f t="shared" si="15"/>
        <v>1.7846704259121939E-30</v>
      </c>
      <c r="Q77" s="39">
        <f t="shared" si="15"/>
        <v>5.8334990645168859E-29</v>
      </c>
      <c r="R77" s="39">
        <f t="shared" si="15"/>
        <v>1.7335303066821782E-27</v>
      </c>
      <c r="S77" s="39">
        <f t="shared" si="15"/>
        <v>4.6980810898727895E-26</v>
      </c>
      <c r="T77" s="39">
        <f t="shared" si="15"/>
        <v>1.164225899610337E-24</v>
      </c>
      <c r="U77" s="39">
        <f t="shared" si="15"/>
        <v>2.6438554987784776E-23</v>
      </c>
      <c r="V77" s="39">
        <f t="shared" si="15"/>
        <v>5.5120874954928096E-22</v>
      </c>
      <c r="W77" s="37">
        <v>0.92600000000000005</v>
      </c>
    </row>
    <row r="78" spans="2:23" x14ac:dyDescent="0.25">
      <c r="B78" s="39">
        <f t="shared" si="14"/>
        <v>4.0031685154641036E-58</v>
      </c>
      <c r="C78" s="39">
        <f t="shared" si="14"/>
        <v>2.7827650638200916E-55</v>
      </c>
      <c r="D78" s="39">
        <f t="shared" si="14"/>
        <v>9.4528827700759717E-53</v>
      </c>
      <c r="E78" s="39">
        <f t="shared" si="14"/>
        <v>2.0913645400336335E-50</v>
      </c>
      <c r="F78" s="39">
        <f t="shared" si="14"/>
        <v>3.3887688751505031E-48</v>
      </c>
      <c r="G78" s="39">
        <f t="shared" si="14"/>
        <v>4.2878360454960163E-46</v>
      </c>
      <c r="H78" s="39">
        <f t="shared" si="14"/>
        <v>4.4111037360373497E-44</v>
      </c>
      <c r="I78" s="39">
        <f t="shared" si="14"/>
        <v>3.7931044640965271E-42</v>
      </c>
      <c r="J78" s="39">
        <f t="shared" si="14"/>
        <v>2.7817435867430753E-40</v>
      </c>
      <c r="K78" s="39">
        <f t="shared" si="14"/>
        <v>1.766545312249541E-38</v>
      </c>
      <c r="L78" s="39">
        <f t="shared" si="15"/>
        <v>9.830443337390957E-37</v>
      </c>
      <c r="M78" s="39">
        <f t="shared" si="15"/>
        <v>4.8392190838225205E-35</v>
      </c>
      <c r="N78" s="39">
        <f t="shared" si="15"/>
        <v>2.123592553021956E-33</v>
      </c>
      <c r="O78" s="39">
        <f t="shared" si="15"/>
        <v>8.3600602577359848E-32</v>
      </c>
      <c r="P78" s="39">
        <f t="shared" si="15"/>
        <v>2.9680743979081579E-30</v>
      </c>
      <c r="Q78" s="39">
        <f t="shared" si="15"/>
        <v>9.5450971904083846E-29</v>
      </c>
      <c r="R78" s="39">
        <f t="shared" si="15"/>
        <v>2.7908406821169124E-27</v>
      </c>
      <c r="S78" s="39">
        <f t="shared" si="15"/>
        <v>7.4420822231024893E-26</v>
      </c>
      <c r="T78" s="39">
        <f t="shared" si="15"/>
        <v>1.8146780713830633E-24</v>
      </c>
      <c r="U78" s="39">
        <f t="shared" si="15"/>
        <v>4.0551464726506534E-23</v>
      </c>
      <c r="V78" s="39">
        <f t="shared" si="15"/>
        <v>8.3197381361888686E-22</v>
      </c>
      <c r="W78" s="37">
        <v>0.92500000000000004</v>
      </c>
    </row>
    <row r="79" spans="2:23" x14ac:dyDescent="0.25">
      <c r="B79" s="39">
        <f t="shared" si="14"/>
        <v>8.3064960963323895E-58</v>
      </c>
      <c r="C79" s="39">
        <f t="shared" si="14"/>
        <v>5.6790874849386669E-55</v>
      </c>
      <c r="D79" s="39">
        <f t="shared" si="14"/>
        <v>1.8974574266731964E-52</v>
      </c>
      <c r="E79" s="39">
        <f t="shared" si="14"/>
        <v>4.1291525740624105E-50</v>
      </c>
      <c r="F79" s="39">
        <f t="shared" si="14"/>
        <v>6.5813377331252973E-48</v>
      </c>
      <c r="G79" s="39">
        <f t="shared" si="14"/>
        <v>8.1916050016798883E-46</v>
      </c>
      <c r="H79" s="39">
        <f t="shared" si="14"/>
        <v>8.289994171827239E-44</v>
      </c>
      <c r="I79" s="39">
        <f t="shared" si="14"/>
        <v>7.0128630417039301E-42</v>
      </c>
      <c r="J79" s="39">
        <f t="shared" si="14"/>
        <v>5.0597457019728529E-40</v>
      </c>
      <c r="K79" s="39">
        <f t="shared" si="14"/>
        <v>3.1612935673419061E-38</v>
      </c>
      <c r="L79" s="39">
        <f t="shared" si="15"/>
        <v>1.7308482274563887E-36</v>
      </c>
      <c r="M79" s="39">
        <f t="shared" si="15"/>
        <v>8.3834808007696085E-35</v>
      </c>
      <c r="N79" s="39">
        <f t="shared" si="15"/>
        <v>3.6199356493659047E-33</v>
      </c>
      <c r="O79" s="39">
        <f t="shared" si="15"/>
        <v>1.4022872693623074E-31</v>
      </c>
      <c r="P79" s="39">
        <f t="shared" si="15"/>
        <v>4.8991153406699754E-30</v>
      </c>
      <c r="Q79" s="39">
        <f t="shared" si="15"/>
        <v>1.550443438884339E-28</v>
      </c>
      <c r="R79" s="39">
        <f t="shared" si="15"/>
        <v>4.461292912654079E-27</v>
      </c>
      <c r="S79" s="39">
        <f t="shared" si="15"/>
        <v>1.1708136016180029E-25</v>
      </c>
      <c r="T79" s="39">
        <f t="shared" si="15"/>
        <v>2.8098170221369359E-24</v>
      </c>
      <c r="U79" s="39">
        <f t="shared" si="15"/>
        <v>6.1799902298099493E-23</v>
      </c>
      <c r="V79" s="39">
        <f t="shared" si="15"/>
        <v>1.2479909984719477E-21</v>
      </c>
      <c r="W79" s="37">
        <v>0.92400000000000004</v>
      </c>
    </row>
    <row r="80" spans="2:23" x14ac:dyDescent="0.25">
      <c r="B80" s="39">
        <f t="shared" si="14"/>
        <v>1.5139163988181536E-57</v>
      </c>
      <c r="C80" s="39">
        <f t="shared" si="14"/>
        <v>1.0210120482611547E-54</v>
      </c>
      <c r="D80" s="39">
        <f t="shared" si="14"/>
        <v>3.3651699387328062E-52</v>
      </c>
      <c r="E80" s="39">
        <f t="shared" si="14"/>
        <v>7.2242517249608404E-50</v>
      </c>
      <c r="F80" s="39">
        <f t="shared" si="14"/>
        <v>1.1359452038548891E-47</v>
      </c>
      <c r="G80" s="39">
        <f t="shared" si="14"/>
        <v>1.3948827941440043E-45</v>
      </c>
      <c r="H80" s="39">
        <f t="shared" si="14"/>
        <v>1.3927163085584174E-43</v>
      </c>
      <c r="I80" s="39">
        <f t="shared" si="14"/>
        <v>1.1624056000216043E-41</v>
      </c>
      <c r="J80" s="39">
        <f t="shared" si="14"/>
        <v>8.2748299637325042E-40</v>
      </c>
      <c r="K80" s="39">
        <f t="shared" si="14"/>
        <v>5.1012592738027312E-38</v>
      </c>
      <c r="L80" s="39">
        <f t="shared" si="15"/>
        <v>2.7559278975288921E-36</v>
      </c>
      <c r="M80" s="39">
        <f t="shared" si="15"/>
        <v>1.3171754646937666E-34</v>
      </c>
      <c r="N80" s="39">
        <f t="shared" si="15"/>
        <v>5.612348106181939E-33</v>
      </c>
      <c r="O80" s="39">
        <f t="shared" si="15"/>
        <v>2.1454546215196998E-31</v>
      </c>
      <c r="P80" s="39">
        <f t="shared" si="15"/>
        <v>7.3969504588111394E-30</v>
      </c>
      <c r="Q80" s="39">
        <f t="shared" si="15"/>
        <v>2.3102437879488758E-28</v>
      </c>
      <c r="R80" s="39">
        <f t="shared" si="15"/>
        <v>6.5606010184748787E-27</v>
      </c>
      <c r="S80" s="39">
        <f t="shared" si="15"/>
        <v>1.6992836012729797E-25</v>
      </c>
      <c r="T80" s="39">
        <f t="shared" si="15"/>
        <v>4.024997733952124E-24</v>
      </c>
      <c r="U80" s="39">
        <f t="shared" si="15"/>
        <v>8.7377424169609956E-23</v>
      </c>
      <c r="V80" s="39">
        <f t="shared" si="15"/>
        <v>1.7416512875268834E-21</v>
      </c>
      <c r="W80" s="37">
        <v>0.92300000000000004</v>
      </c>
    </row>
    <row r="81" spans="2:23" x14ac:dyDescent="0.25">
      <c r="B81" s="39">
        <f t="shared" si="14"/>
        <v>3.0820693563912816E-57</v>
      </c>
      <c r="C81" s="39">
        <f t="shared" si="14"/>
        <v>2.0452412414091943E-54</v>
      </c>
      <c r="D81" s="39">
        <f t="shared" si="14"/>
        <v>6.6330095315024484E-52</v>
      </c>
      <c r="E81" s="39">
        <f t="shared" si="14"/>
        <v>1.4012098201160034E-49</v>
      </c>
      <c r="F81" s="39">
        <f t="shared" si="14"/>
        <v>2.1681586311694489E-47</v>
      </c>
      <c r="G81" s="39">
        <f t="shared" si="14"/>
        <v>2.6200610043010091E-45</v>
      </c>
      <c r="H81" s="39">
        <f t="shared" si="14"/>
        <v>2.5745004247175803E-43</v>
      </c>
      <c r="I81" s="39">
        <f t="shared" si="14"/>
        <v>2.1147605125549392E-41</v>
      </c>
      <c r="J81" s="39">
        <f t="shared" si="14"/>
        <v>1.4816728134935985E-39</v>
      </c>
      <c r="K81" s="39">
        <f t="shared" si="14"/>
        <v>8.9903559185469404E-38</v>
      </c>
      <c r="L81" s="39">
        <f t="shared" si="15"/>
        <v>4.7806846312186931E-36</v>
      </c>
      <c r="M81" s="39">
        <f t="shared" si="15"/>
        <v>2.2490811489942835E-34</v>
      </c>
      <c r="N81" s="39">
        <f t="shared" si="15"/>
        <v>9.4332606120232177E-33</v>
      </c>
      <c r="O81" s="39">
        <f t="shared" si="15"/>
        <v>3.5498402010365273E-31</v>
      </c>
      <c r="P81" s="39">
        <f t="shared" si="15"/>
        <v>1.2048443184080259E-29</v>
      </c>
      <c r="Q81" s="39">
        <f t="shared" si="15"/>
        <v>3.7046001081247148E-28</v>
      </c>
      <c r="R81" s="39">
        <f t="shared" si="15"/>
        <v>1.0357359258137984E-26</v>
      </c>
      <c r="S81" s="39">
        <f t="shared" si="15"/>
        <v>2.6412518761464556E-25</v>
      </c>
      <c r="T81" s="39">
        <f t="shared" si="15"/>
        <v>6.1597751297392425E-24</v>
      </c>
      <c r="U81" s="39">
        <f t="shared" si="15"/>
        <v>1.3166506177610756E-22</v>
      </c>
      <c r="V81" s="39">
        <f t="shared" si="15"/>
        <v>2.5841728327961278E-21</v>
      </c>
      <c r="W81" s="37">
        <v>0.92200000000000004</v>
      </c>
    </row>
    <row r="82" spans="2:23" x14ac:dyDescent="0.25">
      <c r="B82" s="39">
        <f t="shared" si="14"/>
        <v>6.2122623000146256E-57</v>
      </c>
      <c r="C82" s="39">
        <f t="shared" si="14"/>
        <v>4.0571567694840576E-54</v>
      </c>
      <c r="D82" s="39">
        <f t="shared" si="14"/>
        <v>1.2950127480460457E-51</v>
      </c>
      <c r="E82" s="39">
        <f t="shared" si="14"/>
        <v>2.6925825450114102E-49</v>
      </c>
      <c r="F82" s="39">
        <f t="shared" si="14"/>
        <v>4.1008657573103778E-47</v>
      </c>
      <c r="G82" s="39">
        <f t="shared" si="14"/>
        <v>4.8778756178405013E-45</v>
      </c>
      <c r="H82" s="39">
        <f t="shared" si="14"/>
        <v>4.7180576682472811E-43</v>
      </c>
      <c r="I82" s="39">
        <f t="shared" si="14"/>
        <v>3.8150350866745837E-41</v>
      </c>
      <c r="J82" s="39">
        <f t="shared" si="14"/>
        <v>2.6313147849583362E-39</v>
      </c>
      <c r="K82" s="39">
        <f t="shared" si="14"/>
        <v>1.5717974933081648E-37</v>
      </c>
      <c r="L82" s="39">
        <f t="shared" si="15"/>
        <v>8.2285831966862742E-36</v>
      </c>
      <c r="M82" s="39">
        <f t="shared" si="15"/>
        <v>3.8112847823997941E-34</v>
      </c>
      <c r="N82" s="39">
        <f t="shared" si="15"/>
        <v>1.5738939287196802E-32</v>
      </c>
      <c r="O82" s="39">
        <f t="shared" si="15"/>
        <v>5.8315746502265178E-31</v>
      </c>
      <c r="P82" s="39">
        <f t="shared" si="15"/>
        <v>1.9488905844182815E-29</v>
      </c>
      <c r="Q82" s="39">
        <f t="shared" si="15"/>
        <v>5.9005630870940497E-28</v>
      </c>
      <c r="R82" s="39">
        <f t="shared" si="15"/>
        <v>1.624474591442554E-26</v>
      </c>
      <c r="S82" s="39">
        <f t="shared" si="15"/>
        <v>4.0794506455957988E-25</v>
      </c>
      <c r="T82" s="39">
        <f t="shared" si="15"/>
        <v>9.3691676453247511E-24</v>
      </c>
      <c r="U82" s="39">
        <f t="shared" si="15"/>
        <v>1.9722746590810337E-22</v>
      </c>
      <c r="V82" s="39">
        <f t="shared" si="15"/>
        <v>3.8123752035685272E-21</v>
      </c>
      <c r="W82" s="37">
        <v>0.92100000000000004</v>
      </c>
    </row>
    <row r="83" spans="2:23" x14ac:dyDescent="0.25">
      <c r="B83" s="39">
        <f t="shared" ref="B83:K92" si="16">_xlfn.HYPGEOM.DIST(B$2,comau,tongtheN*$W83,tongtheN,TRUE)</f>
        <v>1.2400640175322719E-56</v>
      </c>
      <c r="C83" s="39">
        <f t="shared" si="16"/>
        <v>7.9722304476280913E-54</v>
      </c>
      <c r="D83" s="39">
        <f t="shared" si="16"/>
        <v>2.5050227529791045E-51</v>
      </c>
      <c r="E83" s="39">
        <f t="shared" si="16"/>
        <v>5.1274570783892114E-49</v>
      </c>
      <c r="F83" s="39">
        <f t="shared" si="16"/>
        <v>7.6881119110909236E-47</v>
      </c>
      <c r="G83" s="39">
        <f t="shared" si="16"/>
        <v>9.0033000856892096E-45</v>
      </c>
      <c r="H83" s="39">
        <f t="shared" si="16"/>
        <v>8.5738681562333162E-43</v>
      </c>
      <c r="I83" s="39">
        <f t="shared" si="16"/>
        <v>6.8260632749700013E-41</v>
      </c>
      <c r="J83" s="39">
        <f t="shared" si="16"/>
        <v>4.6357332668269953E-39</v>
      </c>
      <c r="K83" s="39">
        <f t="shared" si="16"/>
        <v>2.7266645515699097E-37</v>
      </c>
      <c r="L83" s="39">
        <f t="shared" ref="L83:V92" si="17">_xlfn.HYPGEOM.DIST(L$2,comau,tongtheN*$W83,tongtheN,TRUE)</f>
        <v>1.405611457116403E-35</v>
      </c>
      <c r="M83" s="39">
        <f t="shared" si="17"/>
        <v>6.4110969230519843E-34</v>
      </c>
      <c r="N83" s="39">
        <f t="shared" si="17"/>
        <v>2.607190346428632E-32</v>
      </c>
      <c r="O83" s="39">
        <f t="shared" si="17"/>
        <v>9.513385394902845E-31</v>
      </c>
      <c r="P83" s="39">
        <f t="shared" si="17"/>
        <v>3.1311533677624821E-29</v>
      </c>
      <c r="Q83" s="39">
        <f t="shared" si="17"/>
        <v>9.3367057006424745E-28</v>
      </c>
      <c r="R83" s="39">
        <f t="shared" si="17"/>
        <v>2.5316998240648816E-26</v>
      </c>
      <c r="S83" s="39">
        <f t="shared" si="17"/>
        <v>6.2620403817869182E-25</v>
      </c>
      <c r="T83" s="39">
        <f t="shared" si="17"/>
        <v>1.4165959102829132E-23</v>
      </c>
      <c r="U83" s="39">
        <f t="shared" si="17"/>
        <v>2.9373734808458402E-22</v>
      </c>
      <c r="V83" s="39">
        <f t="shared" si="17"/>
        <v>5.5930712702731984E-21</v>
      </c>
      <c r="W83" s="37">
        <v>0.92</v>
      </c>
    </row>
    <row r="84" spans="2:23" x14ac:dyDescent="0.25">
      <c r="B84" s="39">
        <f t="shared" si="16"/>
        <v>2.1901353376741543E-56</v>
      </c>
      <c r="C84" s="39">
        <f t="shared" si="16"/>
        <v>1.389887130990821E-53</v>
      </c>
      <c r="D84" s="39">
        <f t="shared" si="16"/>
        <v>4.3111890999489905E-51</v>
      </c>
      <c r="E84" s="39">
        <f t="shared" si="16"/>
        <v>8.7113601807691095E-49</v>
      </c>
      <c r="F84" s="39">
        <f t="shared" si="16"/>
        <v>1.2894810769051391E-46</v>
      </c>
      <c r="G84" s="39">
        <f t="shared" si="16"/>
        <v>1.4908059438904778E-44</v>
      </c>
      <c r="H84" s="39">
        <f t="shared" si="16"/>
        <v>1.4016289311549264E-42</v>
      </c>
      <c r="I84" s="39">
        <f t="shared" si="16"/>
        <v>1.1017324814240328E-40</v>
      </c>
      <c r="J84" s="39">
        <f t="shared" si="16"/>
        <v>7.387314489902007E-39</v>
      </c>
      <c r="K84" s="39">
        <f t="shared" si="16"/>
        <v>4.2901736174133406E-37</v>
      </c>
      <c r="L84" s="39">
        <f t="shared" si="17"/>
        <v>2.1837159582932869E-35</v>
      </c>
      <c r="M84" s="39">
        <f t="shared" si="17"/>
        <v>9.8347562962066942E-34</v>
      </c>
      <c r="N84" s="39">
        <f t="shared" si="17"/>
        <v>3.9492725270676742E-32</v>
      </c>
      <c r="O84" s="39">
        <f t="shared" si="17"/>
        <v>1.4230012414447644E-30</v>
      </c>
      <c r="P84" s="39">
        <f t="shared" si="17"/>
        <v>4.6250144592483187E-29</v>
      </c>
      <c r="Q84" s="39">
        <f t="shared" si="17"/>
        <v>1.3619268019454865E-27</v>
      </c>
      <c r="R84" s="39">
        <f t="shared" si="17"/>
        <v>3.6470059545138907E-26</v>
      </c>
      <c r="S84" s="39">
        <f t="shared" si="17"/>
        <v>8.908758153829677E-25</v>
      </c>
      <c r="T84" s="39">
        <f t="shared" si="17"/>
        <v>1.9903859071727918E-23</v>
      </c>
      <c r="U84" s="39">
        <f t="shared" si="17"/>
        <v>4.076181559727276E-22</v>
      </c>
      <c r="V84" s="39">
        <f t="shared" si="17"/>
        <v>7.6658604706578501E-21</v>
      </c>
      <c r="W84" s="37">
        <v>0.91900000000000004</v>
      </c>
    </row>
    <row r="85" spans="2:23" x14ac:dyDescent="0.25">
      <c r="B85" s="39">
        <f t="shared" si="16"/>
        <v>4.2977093721741788E-56</v>
      </c>
      <c r="C85" s="39">
        <f t="shared" si="16"/>
        <v>2.6858048188265718E-53</v>
      </c>
      <c r="D85" s="39">
        <f t="shared" si="16"/>
        <v>8.2041928463255423E-51</v>
      </c>
      <c r="E85" s="39">
        <f t="shared" si="16"/>
        <v>1.6326144744368753E-48</v>
      </c>
      <c r="F85" s="39">
        <f t="shared" si="16"/>
        <v>2.3800523376330262E-46</v>
      </c>
      <c r="G85" s="39">
        <f t="shared" si="16"/>
        <v>2.7100759325488205E-44</v>
      </c>
      <c r="H85" s="39">
        <f t="shared" si="16"/>
        <v>2.5095573699698736E-42</v>
      </c>
      <c r="I85" s="39">
        <f t="shared" si="16"/>
        <v>1.94293763429518E-40</v>
      </c>
      <c r="J85" s="39">
        <f t="shared" si="16"/>
        <v>1.283224997781519E-38</v>
      </c>
      <c r="K85" s="39">
        <f t="shared" si="16"/>
        <v>7.3407339004602596E-37</v>
      </c>
      <c r="L85" s="39">
        <f t="shared" si="17"/>
        <v>3.6806457633799391E-35</v>
      </c>
      <c r="M85" s="39">
        <f t="shared" si="17"/>
        <v>1.6329376783398192E-33</v>
      </c>
      <c r="N85" s="39">
        <f t="shared" si="17"/>
        <v>6.4597562384810678E-32</v>
      </c>
      <c r="O85" s="39">
        <f t="shared" si="17"/>
        <v>2.2930431596620175E-30</v>
      </c>
      <c r="P85" s="39">
        <f t="shared" si="17"/>
        <v>7.3424822648036555E-29</v>
      </c>
      <c r="Q85" s="39">
        <f t="shared" si="17"/>
        <v>2.1302050985941378E-27</v>
      </c>
      <c r="R85" s="39">
        <f t="shared" si="17"/>
        <v>5.6202677444294986E-26</v>
      </c>
      <c r="S85" s="39">
        <f t="shared" si="17"/>
        <v>1.3527130939150891E-24</v>
      </c>
      <c r="T85" s="39">
        <f t="shared" si="17"/>
        <v>2.9778924470006257E-23</v>
      </c>
      <c r="U85" s="39">
        <f t="shared" si="17"/>
        <v>6.0092981786796207E-22</v>
      </c>
      <c r="V85" s="39">
        <f t="shared" si="17"/>
        <v>1.1136407561639403E-20</v>
      </c>
      <c r="W85" s="37">
        <v>0.91800000000000004</v>
      </c>
    </row>
    <row r="86" spans="2:23" x14ac:dyDescent="0.25">
      <c r="B86" s="39">
        <f t="shared" si="16"/>
        <v>8.358039409556073E-56</v>
      </c>
      <c r="C86" s="39">
        <f t="shared" si="16"/>
        <v>5.1446648160959494E-53</v>
      </c>
      <c r="D86" s="39">
        <f t="shared" si="16"/>
        <v>1.5479196130673244E-50</v>
      </c>
      <c r="E86" s="39">
        <f t="shared" si="16"/>
        <v>3.0341755115422293E-48</v>
      </c>
      <c r="F86" s="39">
        <f t="shared" si="16"/>
        <v>4.3571514265135897E-46</v>
      </c>
      <c r="G86" s="39">
        <f t="shared" si="16"/>
        <v>4.887325275712617E-44</v>
      </c>
      <c r="H86" s="39">
        <f t="shared" si="16"/>
        <v>4.4583594355920462E-42</v>
      </c>
      <c r="I86" s="39">
        <f t="shared" si="16"/>
        <v>3.4004741992188765E-40</v>
      </c>
      <c r="J86" s="39">
        <f t="shared" si="16"/>
        <v>2.2125882555392481E-38</v>
      </c>
      <c r="K86" s="39">
        <f t="shared" si="16"/>
        <v>1.2470071064049146E-36</v>
      </c>
      <c r="L86" s="39">
        <f t="shared" si="17"/>
        <v>6.1602680641310834E-35</v>
      </c>
      <c r="M86" s="39">
        <f t="shared" si="17"/>
        <v>2.692810762431662E-33</v>
      </c>
      <c r="N86" s="39">
        <f t="shared" si="17"/>
        <v>1.0496088814548685E-31</v>
      </c>
      <c r="O86" s="39">
        <f t="shared" si="17"/>
        <v>3.6712441700028532E-30</v>
      </c>
      <c r="P86" s="39">
        <f t="shared" si="17"/>
        <v>1.1583723612295624E-28</v>
      </c>
      <c r="Q86" s="39">
        <f t="shared" si="17"/>
        <v>3.3116585527933599E-27</v>
      </c>
      <c r="R86" s="39">
        <f t="shared" si="17"/>
        <v>8.6102282409512666E-26</v>
      </c>
      <c r="S86" s="39">
        <f t="shared" si="17"/>
        <v>2.0422628075263706E-24</v>
      </c>
      <c r="T86" s="39">
        <f t="shared" si="17"/>
        <v>4.4307583504570349E-23</v>
      </c>
      <c r="U86" s="39">
        <f t="shared" si="17"/>
        <v>8.8119271174264153E-22</v>
      </c>
      <c r="V86" s="39">
        <f t="shared" si="17"/>
        <v>1.6094795122027038E-20</v>
      </c>
      <c r="W86" s="37">
        <v>0.91700000000000004</v>
      </c>
    </row>
    <row r="87" spans="2:23" x14ac:dyDescent="0.25">
      <c r="B87" s="39">
        <f t="shared" si="16"/>
        <v>1.6112971621017656E-55</v>
      </c>
      <c r="C87" s="39">
        <f t="shared" si="16"/>
        <v>9.7707433830146526E-53</v>
      </c>
      <c r="D87" s="39">
        <f t="shared" si="16"/>
        <v>2.8962261509979324E-50</v>
      </c>
      <c r="E87" s="39">
        <f t="shared" si="16"/>
        <v>5.5930993157504557E-48</v>
      </c>
      <c r="F87" s="39">
        <f t="shared" si="16"/>
        <v>7.9132783372017968E-46</v>
      </c>
      <c r="G87" s="39">
        <f t="shared" si="16"/>
        <v>8.7454297517007561E-44</v>
      </c>
      <c r="H87" s="39">
        <f t="shared" si="16"/>
        <v>7.8605920884975792E-42</v>
      </c>
      <c r="I87" s="39">
        <f t="shared" si="16"/>
        <v>5.9075045800995594E-40</v>
      </c>
      <c r="J87" s="39">
        <f t="shared" si="16"/>
        <v>3.7875965199807065E-38</v>
      </c>
      <c r="K87" s="39">
        <f t="shared" si="16"/>
        <v>2.1035104521789201E-36</v>
      </c>
      <c r="L87" s="39">
        <f t="shared" si="17"/>
        <v>1.0240050901433221E-34</v>
      </c>
      <c r="M87" s="39">
        <f t="shared" si="17"/>
        <v>4.4111235862584308E-33</v>
      </c>
      <c r="N87" s="39">
        <f t="shared" si="17"/>
        <v>1.6944389272607095E-31</v>
      </c>
      <c r="O87" s="39">
        <f t="shared" si="17"/>
        <v>5.8409151516986949E-30</v>
      </c>
      <c r="P87" s="39">
        <f t="shared" si="17"/>
        <v>1.8163487045566731E-28</v>
      </c>
      <c r="Q87" s="39">
        <f t="shared" si="17"/>
        <v>5.1179291353911774E-27</v>
      </c>
      <c r="R87" s="39">
        <f t="shared" si="17"/>
        <v>1.3115213858268905E-25</v>
      </c>
      <c r="S87" s="39">
        <f t="shared" si="17"/>
        <v>3.0661877329239907E-24</v>
      </c>
      <c r="T87" s="39">
        <f t="shared" si="17"/>
        <v>6.5570135588576095E-23</v>
      </c>
      <c r="U87" s="39">
        <f t="shared" si="17"/>
        <v>1.2854477879645146E-21</v>
      </c>
      <c r="V87" s="39">
        <f t="shared" si="17"/>
        <v>2.3144046688670151E-20</v>
      </c>
      <c r="W87" s="37">
        <v>0.91600000000000004</v>
      </c>
    </row>
    <row r="88" spans="2:23" x14ac:dyDescent="0.25">
      <c r="B88" s="39">
        <f t="shared" si="16"/>
        <v>2.766345375228686E-55</v>
      </c>
      <c r="C88" s="39">
        <f t="shared" si="16"/>
        <v>1.6569279677058645E-52</v>
      </c>
      <c r="D88" s="39">
        <f t="shared" si="16"/>
        <v>4.8513805635335913E-50</v>
      </c>
      <c r="E88" s="39">
        <f t="shared" si="16"/>
        <v>9.2545183522687168E-48</v>
      </c>
      <c r="F88" s="39">
        <f t="shared" si="16"/>
        <v>1.2934143991908362E-45</v>
      </c>
      <c r="G88" s="39">
        <f t="shared" si="16"/>
        <v>1.4120624060723213E-43</v>
      </c>
      <c r="H88" s="39">
        <f t="shared" si="16"/>
        <v>1.2538078683827653E-41</v>
      </c>
      <c r="I88" s="39">
        <f t="shared" si="16"/>
        <v>9.308812737490029E-40</v>
      </c>
      <c r="J88" s="39">
        <f t="shared" si="16"/>
        <v>5.8963047892487524E-38</v>
      </c>
      <c r="K88" s="39">
        <f t="shared" si="16"/>
        <v>3.2351794189390917E-36</v>
      </c>
      <c r="L88" s="39">
        <f t="shared" si="17"/>
        <v>1.555982787380483E-34</v>
      </c>
      <c r="M88" s="39">
        <f t="shared" si="17"/>
        <v>6.6223538104113241E-33</v>
      </c>
      <c r="N88" s="39">
        <f t="shared" si="17"/>
        <v>2.5133969159888407E-31</v>
      </c>
      <c r="O88" s="39">
        <f t="shared" si="17"/>
        <v>8.5605093290297924E-30</v>
      </c>
      <c r="P88" s="39">
        <f t="shared" si="17"/>
        <v>2.630347123047146E-28</v>
      </c>
      <c r="Q88" s="39">
        <f t="shared" si="17"/>
        <v>7.3234354559639389E-27</v>
      </c>
      <c r="R88" s="39">
        <f t="shared" si="17"/>
        <v>1.8544468859215362E-25</v>
      </c>
      <c r="S88" s="39">
        <f t="shared" si="17"/>
        <v>4.2841823209339203E-24</v>
      </c>
      <c r="T88" s="39">
        <f t="shared" si="17"/>
        <v>9.053516524139419E-23</v>
      </c>
      <c r="U88" s="39">
        <f t="shared" si="17"/>
        <v>1.7539596944648869E-21</v>
      </c>
      <c r="V88" s="39">
        <f t="shared" si="17"/>
        <v>3.1208326317633833E-20</v>
      </c>
      <c r="W88" s="37">
        <v>0.91500000000000004</v>
      </c>
    </row>
    <row r="89" spans="2:23" x14ac:dyDescent="0.25">
      <c r="B89" s="39">
        <f t="shared" si="16"/>
        <v>5.2513542229966849E-55</v>
      </c>
      <c r="C89" s="39">
        <f t="shared" si="16"/>
        <v>3.0996735071028535E-52</v>
      </c>
      <c r="D89" s="39">
        <f t="shared" si="16"/>
        <v>8.944141294018825E-50</v>
      </c>
      <c r="E89" s="39">
        <f t="shared" si="16"/>
        <v>1.6815185465472412E-47</v>
      </c>
      <c r="F89" s="39">
        <f t="shared" si="16"/>
        <v>2.3161868490873393E-45</v>
      </c>
      <c r="G89" s="39">
        <f t="shared" si="16"/>
        <v>2.4922485741052408E-43</v>
      </c>
      <c r="H89" s="39">
        <f t="shared" si="16"/>
        <v>2.1811398527181406E-41</v>
      </c>
      <c r="I89" s="39">
        <f t="shared" si="16"/>
        <v>1.5961560675321311E-39</v>
      </c>
      <c r="J89" s="39">
        <f t="shared" si="16"/>
        <v>9.9655895620481202E-38</v>
      </c>
      <c r="K89" s="39">
        <f t="shared" si="16"/>
        <v>5.3898531268872507E-36</v>
      </c>
      <c r="L89" s="39">
        <f t="shared" si="17"/>
        <v>2.5553613312875597E-34</v>
      </c>
      <c r="M89" s="39">
        <f t="shared" si="17"/>
        <v>1.0721174806292133E-32</v>
      </c>
      <c r="N89" s="39">
        <f t="shared" si="17"/>
        <v>4.011317711832868E-31</v>
      </c>
      <c r="O89" s="39">
        <f t="shared" si="17"/>
        <v>1.34689929398083E-29</v>
      </c>
      <c r="P89" s="39">
        <f t="shared" si="17"/>
        <v>4.0801085416987374E-28</v>
      </c>
      <c r="Q89" s="39">
        <f t="shared" si="17"/>
        <v>1.1199800557784979E-26</v>
      </c>
      <c r="R89" s="39">
        <f t="shared" si="17"/>
        <v>2.7961491094173257E-25</v>
      </c>
      <c r="S89" s="39">
        <f t="shared" si="17"/>
        <v>6.3691015620713847E-24</v>
      </c>
      <c r="T89" s="39">
        <f t="shared" si="17"/>
        <v>1.3271063836375948E-22</v>
      </c>
      <c r="U89" s="39">
        <f t="shared" si="17"/>
        <v>2.5351303534383068E-21</v>
      </c>
      <c r="V89" s="39">
        <f t="shared" si="17"/>
        <v>4.4479264861722789E-20</v>
      </c>
      <c r="W89" s="37">
        <v>0.91400000000000003</v>
      </c>
    </row>
    <row r="90" spans="2:23" x14ac:dyDescent="0.25">
      <c r="B90" s="39">
        <f t="shared" si="16"/>
        <v>9.8880275980841753E-55</v>
      </c>
      <c r="C90" s="39">
        <f t="shared" si="16"/>
        <v>5.7528020696642782E-52</v>
      </c>
      <c r="D90" s="39">
        <f t="shared" si="16"/>
        <v>1.6362154320148499E-49</v>
      </c>
      <c r="E90" s="39">
        <f t="shared" si="16"/>
        <v>3.0321805045659039E-47</v>
      </c>
      <c r="F90" s="39">
        <f t="shared" si="16"/>
        <v>4.1171028855570722E-45</v>
      </c>
      <c r="G90" s="39">
        <f t="shared" si="16"/>
        <v>4.3670422165191694E-43</v>
      </c>
      <c r="H90" s="39">
        <f t="shared" si="16"/>
        <v>3.7676504713269308E-41</v>
      </c>
      <c r="I90" s="39">
        <f t="shared" si="16"/>
        <v>2.7181076347766411E-39</v>
      </c>
      <c r="J90" s="39">
        <f t="shared" si="16"/>
        <v>1.67306047934983E-37</v>
      </c>
      <c r="K90" s="39">
        <f t="shared" si="16"/>
        <v>8.9210519168591667E-36</v>
      </c>
      <c r="L90" s="39">
        <f t="shared" si="17"/>
        <v>4.1699908417395749E-34</v>
      </c>
      <c r="M90" s="39">
        <f t="shared" si="17"/>
        <v>1.7249717131802686E-32</v>
      </c>
      <c r="N90" s="39">
        <f t="shared" si="17"/>
        <v>6.3635091976395531E-31</v>
      </c>
      <c r="O90" s="39">
        <f t="shared" si="17"/>
        <v>2.1068226837896757E-29</v>
      </c>
      <c r="P90" s="39">
        <f t="shared" si="17"/>
        <v>6.2930487884407585E-28</v>
      </c>
      <c r="Q90" s="39">
        <f t="shared" si="17"/>
        <v>1.7033720894578934E-26</v>
      </c>
      <c r="R90" s="39">
        <f t="shared" si="17"/>
        <v>4.1935596704971856E-25</v>
      </c>
      <c r="S90" s="39">
        <f t="shared" si="17"/>
        <v>9.4197077936162178E-24</v>
      </c>
      <c r="T90" s="39">
        <f t="shared" si="17"/>
        <v>1.9355988461409504E-22</v>
      </c>
      <c r="U90" s="39">
        <f t="shared" si="17"/>
        <v>3.6464814168401425E-21</v>
      </c>
      <c r="V90" s="39">
        <f t="shared" si="17"/>
        <v>6.3097084742824798E-20</v>
      </c>
      <c r="W90" s="37">
        <v>0.91300000000000003</v>
      </c>
    </row>
    <row r="91" spans="2:23" x14ac:dyDescent="0.25">
      <c r="B91" s="39">
        <f t="shared" si="16"/>
        <v>1.847182415909206E-54</v>
      </c>
      <c r="C91" s="39">
        <f t="shared" si="16"/>
        <v>1.059449663681579E-51</v>
      </c>
      <c r="D91" s="39">
        <f t="shared" si="16"/>
        <v>2.9706743978704989E-49</v>
      </c>
      <c r="E91" s="39">
        <f t="shared" si="16"/>
        <v>5.4274541803628579E-47</v>
      </c>
      <c r="F91" s="39">
        <f t="shared" si="16"/>
        <v>7.2656125413507635E-45</v>
      </c>
      <c r="G91" s="39">
        <f t="shared" si="16"/>
        <v>7.5983648510575763E-43</v>
      </c>
      <c r="H91" s="39">
        <f t="shared" si="16"/>
        <v>6.4635100254001442E-41</v>
      </c>
      <c r="I91" s="39">
        <f t="shared" si="16"/>
        <v>4.597718335466064E-39</v>
      </c>
      <c r="J91" s="39">
        <f t="shared" si="16"/>
        <v>2.7904745486174901E-37</v>
      </c>
      <c r="K91" s="39">
        <f t="shared" si="16"/>
        <v>1.4671889026638763E-35</v>
      </c>
      <c r="L91" s="39">
        <f t="shared" si="17"/>
        <v>6.7627206612313649E-34</v>
      </c>
      <c r="M91" s="39">
        <f t="shared" si="17"/>
        <v>2.7586561107009255E-32</v>
      </c>
      <c r="N91" s="39">
        <f t="shared" si="17"/>
        <v>1.0035855282627654E-30</v>
      </c>
      <c r="O91" s="39">
        <f t="shared" si="17"/>
        <v>3.2767306936568768E-29</v>
      </c>
      <c r="P91" s="39">
        <f t="shared" si="17"/>
        <v>9.6525460713612237E-28</v>
      </c>
      <c r="Q91" s="39">
        <f t="shared" si="17"/>
        <v>2.5767445360520591E-26</v>
      </c>
      <c r="R91" s="39">
        <f t="shared" si="17"/>
        <v>6.2566062321482165E-25</v>
      </c>
      <c r="S91" s="39">
        <f t="shared" si="17"/>
        <v>1.3861198526189641E-23</v>
      </c>
      <c r="T91" s="39">
        <f t="shared" si="17"/>
        <v>2.8093081120495431E-22</v>
      </c>
      <c r="U91" s="39">
        <f t="shared" si="17"/>
        <v>5.2202599735973181E-21</v>
      </c>
      <c r="V91" s="39">
        <f t="shared" si="17"/>
        <v>8.9099472476415167E-20</v>
      </c>
      <c r="W91" s="37">
        <v>0.91200000000000003</v>
      </c>
    </row>
    <row r="92" spans="2:23" x14ac:dyDescent="0.25">
      <c r="B92" s="39">
        <f t="shared" si="16"/>
        <v>3.0910893667873654E-54</v>
      </c>
      <c r="C92" s="39">
        <f t="shared" si="16"/>
        <v>1.7521546955091018E-51</v>
      </c>
      <c r="D92" s="39">
        <f t="shared" si="16"/>
        <v>4.8556571671713379E-49</v>
      </c>
      <c r="E92" s="39">
        <f t="shared" si="16"/>
        <v>8.767998243951498E-47</v>
      </c>
      <c r="F92" s="39">
        <f t="shared" si="16"/>
        <v>1.1601077226111215E-44</v>
      </c>
      <c r="G92" s="39">
        <f t="shared" si="16"/>
        <v>1.1991637206137271E-42</v>
      </c>
      <c r="H92" s="39">
        <f t="shared" si="16"/>
        <v>1.0082528782314322E-40</v>
      </c>
      <c r="I92" s="39">
        <f t="shared" si="16"/>
        <v>7.0891890934102491E-39</v>
      </c>
      <c r="J92" s="39">
        <f t="shared" si="16"/>
        <v>4.2530047657998956E-37</v>
      </c>
      <c r="K92" s="39">
        <f t="shared" si="16"/>
        <v>2.210435762636138E-35</v>
      </c>
      <c r="L92" s="39">
        <f t="shared" si="17"/>
        <v>1.0071585480587692E-33</v>
      </c>
      <c r="M92" s="39">
        <f t="shared" si="17"/>
        <v>4.0613365008021792E-32</v>
      </c>
      <c r="N92" s="39">
        <f t="shared" si="17"/>
        <v>1.4606000934568176E-30</v>
      </c>
      <c r="O92" s="39">
        <f t="shared" si="17"/>
        <v>4.7144794966282319E-29</v>
      </c>
      <c r="P92" s="39">
        <f t="shared" si="17"/>
        <v>1.3729715502107872E-27</v>
      </c>
      <c r="Q92" s="39">
        <f t="shared" si="17"/>
        <v>3.6235003603175891E-26</v>
      </c>
      <c r="R92" s="39">
        <f t="shared" si="17"/>
        <v>8.6984878152936409E-25</v>
      </c>
      <c r="S92" s="39">
        <f t="shared" si="17"/>
        <v>1.9053049312544518E-23</v>
      </c>
      <c r="T92" s="39">
        <f t="shared" si="17"/>
        <v>3.8179718908131061E-22</v>
      </c>
      <c r="U92" s="39">
        <f t="shared" si="17"/>
        <v>7.014651815541052E-21</v>
      </c>
      <c r="V92" s="39">
        <f t="shared" si="17"/>
        <v>1.1838069297235034E-19</v>
      </c>
      <c r="W92" s="37">
        <v>0.91100000000000003</v>
      </c>
    </row>
    <row r="93" spans="2:23" x14ac:dyDescent="0.25">
      <c r="B93" s="39">
        <f t="shared" ref="B93:K102" si="18">_xlfn.HYPGEOM.DIST(B$2,comau,tongtheN*$W93,tongtheN,TRUE)</f>
        <v>5.694123010929932E-54</v>
      </c>
      <c r="C93" s="39">
        <f t="shared" si="18"/>
        <v>3.1828936115564081E-51</v>
      </c>
      <c r="D93" s="39">
        <f t="shared" si="18"/>
        <v>8.6985006110484394E-49</v>
      </c>
      <c r="E93" s="39">
        <f t="shared" si="18"/>
        <v>1.5490157749050607E-46</v>
      </c>
      <c r="F93" s="39">
        <f t="shared" si="18"/>
        <v>2.0212730760202473E-44</v>
      </c>
      <c r="G93" s="39">
        <f t="shared" si="18"/>
        <v>2.0605763621286878E-42</v>
      </c>
      <c r="H93" s="39">
        <f t="shared" si="18"/>
        <v>1.7087381996798416E-40</v>
      </c>
      <c r="I93" s="39">
        <f t="shared" si="18"/>
        <v>1.184979148594891E-38</v>
      </c>
      <c r="J93" s="39">
        <f t="shared" si="18"/>
        <v>7.0118137995018225E-37</v>
      </c>
      <c r="K93" s="39">
        <f t="shared" si="18"/>
        <v>3.5945542190982923E-35</v>
      </c>
      <c r="L93" s="39">
        <f t="shared" ref="L93:V102" si="19">_xlfn.HYPGEOM.DIST(L$2,comau,tongtheN*$W93,tongtheN,TRUE)</f>
        <v>1.6155109704726586E-33</v>
      </c>
      <c r="M93" s="39">
        <f t="shared" si="19"/>
        <v>6.4259639887551963E-32</v>
      </c>
      <c r="N93" s="39">
        <f t="shared" si="19"/>
        <v>2.2796607936172896E-30</v>
      </c>
      <c r="O93" s="39">
        <f t="shared" si="19"/>
        <v>7.2586296769323492E-29</v>
      </c>
      <c r="P93" s="39">
        <f t="shared" si="19"/>
        <v>2.0853398931491975E-27</v>
      </c>
      <c r="Q93" s="39">
        <f t="shared" si="19"/>
        <v>5.4293839377430116E-26</v>
      </c>
      <c r="R93" s="39">
        <f t="shared" si="19"/>
        <v>1.2858358278564963E-24</v>
      </c>
      <c r="S93" s="39">
        <f t="shared" si="19"/>
        <v>2.7786794913276146E-23</v>
      </c>
      <c r="T93" s="39">
        <f t="shared" si="19"/>
        <v>5.4935324086958915E-22</v>
      </c>
      <c r="U93" s="39">
        <f t="shared" si="19"/>
        <v>9.9582499208130668E-21</v>
      </c>
      <c r="V93" s="39">
        <f t="shared" si="19"/>
        <v>1.6581691204053883E-19</v>
      </c>
      <c r="W93" s="37">
        <v>0.91</v>
      </c>
    </row>
    <row r="94" spans="2:23" x14ac:dyDescent="0.25">
      <c r="B94" s="39">
        <f t="shared" si="18"/>
        <v>1.0412064229296246E-53</v>
      </c>
      <c r="C94" s="39">
        <f t="shared" si="18"/>
        <v>5.7403285030195241E-51</v>
      </c>
      <c r="D94" s="39">
        <f t="shared" si="18"/>
        <v>1.547304073799483E-48</v>
      </c>
      <c r="E94" s="39">
        <f t="shared" si="18"/>
        <v>2.7177891358400788E-46</v>
      </c>
      <c r="F94" s="39">
        <f t="shared" si="18"/>
        <v>3.4980462236958502E-44</v>
      </c>
      <c r="G94" s="39">
        <f t="shared" si="18"/>
        <v>3.5175629751960307E-42</v>
      </c>
      <c r="H94" s="39">
        <f t="shared" si="18"/>
        <v>2.8773539363259407E-40</v>
      </c>
      <c r="I94" s="39">
        <f t="shared" si="18"/>
        <v>1.9683622751228286E-38</v>
      </c>
      <c r="J94" s="39">
        <f t="shared" si="18"/>
        <v>1.1489820580934792E-36</v>
      </c>
      <c r="K94" s="39">
        <f t="shared" si="18"/>
        <v>5.8106999698488752E-35</v>
      </c>
      <c r="L94" s="39">
        <f t="shared" si="19"/>
        <v>2.5763560146737692E-33</v>
      </c>
      <c r="M94" s="39">
        <f t="shared" si="19"/>
        <v>1.0110178885646773E-31</v>
      </c>
      <c r="N94" s="39">
        <f t="shared" si="19"/>
        <v>3.5385671469979393E-30</v>
      </c>
      <c r="O94" s="39">
        <f t="shared" si="19"/>
        <v>1.1116309334911196E-28</v>
      </c>
      <c r="P94" s="39">
        <f t="shared" si="19"/>
        <v>3.1509664289456159E-27</v>
      </c>
      <c r="Q94" s="39">
        <f t="shared" si="19"/>
        <v>8.0945117099107947E-26</v>
      </c>
      <c r="R94" s="39">
        <f t="shared" si="19"/>
        <v>1.8915207928287911E-24</v>
      </c>
      <c r="S94" s="39">
        <f t="shared" si="19"/>
        <v>4.0333133615332991E-23</v>
      </c>
      <c r="T94" s="39">
        <f t="shared" si="19"/>
        <v>7.8683858451131537E-22</v>
      </c>
      <c r="U94" s="39">
        <f t="shared" si="19"/>
        <v>1.4074731051173616E-20</v>
      </c>
      <c r="V94" s="39">
        <f t="shared" si="19"/>
        <v>2.3127137336989033E-19</v>
      </c>
      <c r="W94" s="37">
        <v>0.90900000000000003</v>
      </c>
    </row>
    <row r="95" spans="2:23" x14ac:dyDescent="0.25">
      <c r="B95" s="39">
        <f t="shared" si="18"/>
        <v>1.890245128909481E-53</v>
      </c>
      <c r="C95" s="39">
        <f t="shared" si="18"/>
        <v>1.0279953031769932E-50</v>
      </c>
      <c r="D95" s="39">
        <f t="shared" si="18"/>
        <v>2.7334735505645803E-48</v>
      </c>
      <c r="E95" s="39">
        <f t="shared" si="18"/>
        <v>4.7364341433383715E-46</v>
      </c>
      <c r="F95" s="39">
        <f t="shared" si="18"/>
        <v>6.0140845756569225E-44</v>
      </c>
      <c r="G95" s="39">
        <f t="shared" si="18"/>
        <v>5.9663099190846437E-42</v>
      </c>
      <c r="H95" s="39">
        <f t="shared" si="18"/>
        <v>4.8149175009402738E-40</v>
      </c>
      <c r="I95" s="39">
        <f t="shared" si="18"/>
        <v>3.2497049400841463E-38</v>
      </c>
      <c r="J95" s="39">
        <f t="shared" si="18"/>
        <v>1.8715747805257557E-36</v>
      </c>
      <c r="K95" s="39">
        <f t="shared" si="18"/>
        <v>9.3387585686503832E-35</v>
      </c>
      <c r="L95" s="39">
        <f t="shared" si="19"/>
        <v>4.0854986406531145E-33</v>
      </c>
      <c r="M95" s="39">
        <f t="shared" si="19"/>
        <v>1.5819337772483917E-31</v>
      </c>
      <c r="N95" s="39">
        <f t="shared" si="19"/>
        <v>5.4633493003968337E-30</v>
      </c>
      <c r="O95" s="39">
        <f t="shared" si="19"/>
        <v>1.6935813671028197E-28</v>
      </c>
      <c r="P95" s="39">
        <f t="shared" si="19"/>
        <v>4.7371271468610332E-27</v>
      </c>
      <c r="Q95" s="39">
        <f t="shared" si="19"/>
        <v>1.2008802939191112E-25</v>
      </c>
      <c r="R95" s="39">
        <f t="shared" si="19"/>
        <v>2.7693002121149114E-24</v>
      </c>
      <c r="S95" s="39">
        <f t="shared" si="19"/>
        <v>5.8275083173022661E-23</v>
      </c>
      <c r="T95" s="39">
        <f t="shared" si="19"/>
        <v>1.1219690722061033E-21</v>
      </c>
      <c r="U95" s="39">
        <f t="shared" si="19"/>
        <v>1.9807153586926134E-20</v>
      </c>
      <c r="V95" s="39">
        <f t="shared" si="19"/>
        <v>3.2122043840252184E-19</v>
      </c>
      <c r="W95" s="37">
        <v>0.90800000000000003</v>
      </c>
    </row>
    <row r="96" spans="2:23" x14ac:dyDescent="0.25">
      <c r="B96" s="39">
        <f t="shared" si="18"/>
        <v>3.4075684114001816E-53</v>
      </c>
      <c r="C96" s="39">
        <f t="shared" si="18"/>
        <v>1.8283420034922107E-50</v>
      </c>
      <c r="D96" s="39">
        <f t="shared" si="18"/>
        <v>4.7965887424161401E-48</v>
      </c>
      <c r="E96" s="39">
        <f t="shared" si="18"/>
        <v>8.2003398660173775E-46</v>
      </c>
      <c r="F96" s="39">
        <f t="shared" si="18"/>
        <v>1.0273633124811292E-43</v>
      </c>
      <c r="G96" s="39">
        <f t="shared" si="18"/>
        <v>1.00564785050106E-41</v>
      </c>
      <c r="H96" s="39">
        <f t="shared" si="18"/>
        <v>8.0080356214681275E-40</v>
      </c>
      <c r="I96" s="39">
        <f t="shared" si="18"/>
        <v>5.3332204094979293E-38</v>
      </c>
      <c r="J96" s="39">
        <f t="shared" si="18"/>
        <v>3.0309074979331898E-36</v>
      </c>
      <c r="K96" s="39">
        <f t="shared" si="18"/>
        <v>1.4924025993045017E-34</v>
      </c>
      <c r="L96" s="39">
        <f t="shared" si="19"/>
        <v>6.4429498053444309E-33</v>
      </c>
      <c r="M96" s="39">
        <f t="shared" si="19"/>
        <v>2.4619674826044217E-31</v>
      </c>
      <c r="N96" s="39">
        <f t="shared" si="19"/>
        <v>8.3910993362577913E-30</v>
      </c>
      <c r="O96" s="39">
        <f t="shared" si="19"/>
        <v>2.5671038331524905E-28</v>
      </c>
      <c r="P96" s="39">
        <f t="shared" si="19"/>
        <v>7.0866590041677558E-27</v>
      </c>
      <c r="Q96" s="39">
        <f t="shared" si="19"/>
        <v>1.7730748208227619E-25</v>
      </c>
      <c r="R96" s="39">
        <f t="shared" si="19"/>
        <v>4.0356179375877333E-24</v>
      </c>
      <c r="S96" s="39">
        <f t="shared" si="19"/>
        <v>8.3819966285360803E-23</v>
      </c>
      <c r="T96" s="39">
        <f t="shared" si="19"/>
        <v>1.5928764031866456E-21</v>
      </c>
      <c r="U96" s="39">
        <f t="shared" si="19"/>
        <v>2.7756970365554777E-20</v>
      </c>
      <c r="V96" s="39">
        <f t="shared" si="19"/>
        <v>4.4433888772614102E-19</v>
      </c>
      <c r="W96" s="37">
        <v>0.90700000000000003</v>
      </c>
    </row>
    <row r="97" spans="2:23" x14ac:dyDescent="0.25">
      <c r="B97" s="39">
        <f t="shared" si="18"/>
        <v>5.5390410011864732E-53</v>
      </c>
      <c r="C97" s="39">
        <f t="shared" si="18"/>
        <v>2.9390960499460083E-50</v>
      </c>
      <c r="D97" s="39">
        <f t="shared" si="18"/>
        <v>7.6254330256951411E-48</v>
      </c>
      <c r="E97" s="39">
        <f t="shared" si="18"/>
        <v>1.2892848942078336E-45</v>
      </c>
      <c r="F97" s="39">
        <f t="shared" si="18"/>
        <v>1.5974800173480847E-43</v>
      </c>
      <c r="G97" s="39">
        <f t="shared" si="18"/>
        <v>1.5465393428622411E-41</v>
      </c>
      <c r="H97" s="39">
        <f t="shared" si="18"/>
        <v>1.218018890297167E-39</v>
      </c>
      <c r="I97" s="39">
        <f t="shared" si="18"/>
        <v>8.0230569060729469E-38</v>
      </c>
      <c r="J97" s="39">
        <f t="shared" si="18"/>
        <v>4.5097728973028342E-36</v>
      </c>
      <c r="K97" s="39">
        <f t="shared" si="18"/>
        <v>2.1963876277911515E-34</v>
      </c>
      <c r="L97" s="39">
        <f t="shared" si="19"/>
        <v>9.3790340604702315E-33</v>
      </c>
      <c r="M97" s="39">
        <f t="shared" si="19"/>
        <v>3.5449935425975306E-31</v>
      </c>
      <c r="N97" s="39">
        <f t="shared" si="19"/>
        <v>1.1951466542384904E-29</v>
      </c>
      <c r="O97" s="39">
        <f t="shared" si="19"/>
        <v>3.6167996066348084E-28</v>
      </c>
      <c r="P97" s="39">
        <f t="shared" si="19"/>
        <v>9.8766745763385412E-27</v>
      </c>
      <c r="Q97" s="39">
        <f t="shared" si="19"/>
        <v>2.4445225781153512E-25</v>
      </c>
      <c r="R97" s="39">
        <f t="shared" si="19"/>
        <v>5.504076663163193E-24</v>
      </c>
      <c r="S97" s="39">
        <f t="shared" si="19"/>
        <v>1.1309387884100555E-22</v>
      </c>
      <c r="T97" s="39">
        <f t="shared" si="19"/>
        <v>2.1261834617470074E-21</v>
      </c>
      <c r="U97" s="39">
        <f t="shared" si="19"/>
        <v>3.6654536748611919E-20</v>
      </c>
      <c r="V97" s="39">
        <f t="shared" si="19"/>
        <v>5.8051993584023579E-19</v>
      </c>
      <c r="W97" s="37">
        <v>0.90600000000000003</v>
      </c>
    </row>
    <row r="98" spans="2:23" x14ac:dyDescent="0.25">
      <c r="B98" s="39">
        <f t="shared" si="18"/>
        <v>9.861520091416632E-53</v>
      </c>
      <c r="C98" s="39">
        <f t="shared" si="18"/>
        <v>5.1639385538418414E-50</v>
      </c>
      <c r="D98" s="39">
        <f t="shared" si="18"/>
        <v>1.322211013373253E-47</v>
      </c>
      <c r="E98" s="39">
        <f t="shared" si="18"/>
        <v>2.2063026524438014E-45</v>
      </c>
      <c r="F98" s="39">
        <f t="shared" si="18"/>
        <v>2.698003548197475E-43</v>
      </c>
      <c r="G98" s="39">
        <f t="shared" si="18"/>
        <v>2.5779227470213112E-41</v>
      </c>
      <c r="H98" s="39">
        <f t="shared" si="18"/>
        <v>2.003898642623664E-39</v>
      </c>
      <c r="I98" s="39">
        <f t="shared" si="18"/>
        <v>1.3028228470479606E-37</v>
      </c>
      <c r="J98" s="39">
        <f t="shared" si="18"/>
        <v>7.2282790383876743E-36</v>
      </c>
      <c r="K98" s="39">
        <f t="shared" si="18"/>
        <v>3.4748412342006103E-34</v>
      </c>
      <c r="L98" s="39">
        <f t="shared" si="19"/>
        <v>1.4646735983559783E-32</v>
      </c>
      <c r="M98" s="39">
        <f t="shared" si="19"/>
        <v>5.4646959852250484E-31</v>
      </c>
      <c r="N98" s="39">
        <f t="shared" si="19"/>
        <v>1.8186564693472E-29</v>
      </c>
      <c r="O98" s="39">
        <f t="shared" si="19"/>
        <v>5.433053491607929E-28</v>
      </c>
      <c r="P98" s="39">
        <f t="shared" si="19"/>
        <v>1.4646422301810008E-26</v>
      </c>
      <c r="Q98" s="39">
        <f t="shared" si="19"/>
        <v>3.578717527704944E-25</v>
      </c>
      <c r="R98" s="39">
        <f t="shared" si="19"/>
        <v>7.9550292225988038E-24</v>
      </c>
      <c r="S98" s="39">
        <f t="shared" si="19"/>
        <v>1.6137335482689568E-22</v>
      </c>
      <c r="T98" s="39">
        <f t="shared" si="19"/>
        <v>2.995301204627989E-21</v>
      </c>
      <c r="U98" s="39">
        <f t="shared" si="19"/>
        <v>5.0983107661363925E-20</v>
      </c>
      <c r="V98" s="39">
        <f t="shared" si="19"/>
        <v>7.9723518631244651E-19</v>
      </c>
      <c r="W98" s="37">
        <v>0.90500000000000003</v>
      </c>
    </row>
    <row r="99" spans="2:23" x14ac:dyDescent="0.25">
      <c r="B99" s="39">
        <f t="shared" si="18"/>
        <v>1.7441906576152692E-52</v>
      </c>
      <c r="C99" s="39">
        <f t="shared" si="18"/>
        <v>9.0147026255617056E-50</v>
      </c>
      <c r="D99" s="39">
        <f t="shared" si="18"/>
        <v>2.2782536583316671E-47</v>
      </c>
      <c r="E99" s="39">
        <f t="shared" si="18"/>
        <v>3.7523908936065311E-45</v>
      </c>
      <c r="F99" s="39">
        <f t="shared" si="18"/>
        <v>4.5293709739258702E-43</v>
      </c>
      <c r="G99" s="39">
        <f t="shared" si="18"/>
        <v>4.2719717754976445E-41</v>
      </c>
      <c r="H99" s="39">
        <f t="shared" si="18"/>
        <v>3.2779931489714947E-39</v>
      </c>
      <c r="I99" s="39">
        <f t="shared" si="18"/>
        <v>2.1037890709536328E-37</v>
      </c>
      <c r="J99" s="39">
        <f t="shared" si="18"/>
        <v>1.1522507905218433E-35</v>
      </c>
      <c r="K99" s="39">
        <f t="shared" si="18"/>
        <v>5.4683097488072205E-34</v>
      </c>
      <c r="L99" s="39">
        <f t="shared" si="19"/>
        <v>2.2754946306850306E-32</v>
      </c>
      <c r="M99" s="39">
        <f t="shared" si="19"/>
        <v>8.3816324093167907E-31</v>
      </c>
      <c r="N99" s="39">
        <f t="shared" si="19"/>
        <v>2.7539229330470619E-29</v>
      </c>
      <c r="O99" s="39">
        <f t="shared" si="19"/>
        <v>8.1225897018303256E-28</v>
      </c>
      <c r="P99" s="39">
        <f t="shared" si="19"/>
        <v>2.1619343119217545E-26</v>
      </c>
      <c r="Q99" s="39">
        <f t="shared" si="19"/>
        <v>5.2156666907706475E-25</v>
      </c>
      <c r="R99" s="39">
        <f t="shared" si="19"/>
        <v>1.1447398705409281E-23</v>
      </c>
      <c r="S99" s="39">
        <f t="shared" si="19"/>
        <v>2.2929297105362472E-22</v>
      </c>
      <c r="T99" s="39">
        <f t="shared" si="19"/>
        <v>4.2024706943125653E-21</v>
      </c>
      <c r="U99" s="39">
        <f t="shared" si="19"/>
        <v>7.0632946658199475E-20</v>
      </c>
      <c r="V99" s="39">
        <f t="shared" si="19"/>
        <v>1.0906767083552036E-18</v>
      </c>
      <c r="W99" s="37">
        <v>0.90400000000000003</v>
      </c>
    </row>
    <row r="100" spans="2:23" x14ac:dyDescent="0.25">
      <c r="B100" s="39">
        <f t="shared" si="18"/>
        <v>3.065133782013584E-52</v>
      </c>
      <c r="C100" s="39">
        <f t="shared" si="18"/>
        <v>1.5638240576175399E-49</v>
      </c>
      <c r="D100" s="39">
        <f t="shared" si="18"/>
        <v>3.9014859491220017E-47</v>
      </c>
      <c r="E100" s="39">
        <f t="shared" si="18"/>
        <v>6.3436323346896807E-45</v>
      </c>
      <c r="F100" s="39">
        <f t="shared" si="18"/>
        <v>7.5592769262644861E-43</v>
      </c>
      <c r="G100" s="39">
        <f t="shared" si="18"/>
        <v>7.0387192633126143E-41</v>
      </c>
      <c r="H100" s="39">
        <f t="shared" si="18"/>
        <v>5.3322032744013804E-39</v>
      </c>
      <c r="I100" s="39">
        <f t="shared" si="18"/>
        <v>3.378661849525932E-37</v>
      </c>
      <c r="J100" s="39">
        <f t="shared" si="18"/>
        <v>1.8270226566132515E-35</v>
      </c>
      <c r="K100" s="39">
        <f t="shared" si="18"/>
        <v>8.5608116013614992E-34</v>
      </c>
      <c r="L100" s="39">
        <f t="shared" si="19"/>
        <v>3.5173300351626308E-32</v>
      </c>
      <c r="M100" s="39">
        <f t="shared" si="19"/>
        <v>1.2792398610258544E-30</v>
      </c>
      <c r="N100" s="39">
        <f t="shared" si="19"/>
        <v>4.1502271204203581E-29</v>
      </c>
      <c r="O100" s="39">
        <f t="shared" si="19"/>
        <v>1.2087096828652803E-27</v>
      </c>
      <c r="P100" s="39">
        <f t="shared" si="19"/>
        <v>3.1767873523583543E-26</v>
      </c>
      <c r="Q100" s="39">
        <f t="shared" si="19"/>
        <v>7.5680586361879505E-25</v>
      </c>
      <c r="R100" s="39">
        <f t="shared" si="19"/>
        <v>1.640292926798462E-23</v>
      </c>
      <c r="S100" s="39">
        <f t="shared" si="19"/>
        <v>3.2445639500554805E-22</v>
      </c>
      <c r="T100" s="39">
        <f t="shared" si="19"/>
        <v>5.8726276685498332E-21</v>
      </c>
      <c r="U100" s="39">
        <f t="shared" si="19"/>
        <v>9.7478449893923374E-20</v>
      </c>
      <c r="V100" s="39">
        <f t="shared" si="19"/>
        <v>1.4865597551198988E-18</v>
      </c>
      <c r="W100" s="37">
        <v>0.90300000000000002</v>
      </c>
    </row>
    <row r="101" spans="2:23" x14ac:dyDescent="0.25">
      <c r="B101" s="39">
        <f t="shared" si="18"/>
        <v>4.8798445087427517E-52</v>
      </c>
      <c r="C101" s="39">
        <f t="shared" si="18"/>
        <v>2.4632433717328966E-49</v>
      </c>
      <c r="D101" s="39">
        <f t="shared" si="18"/>
        <v>6.0802427539401789E-47</v>
      </c>
      <c r="E101" s="39">
        <f t="shared" si="18"/>
        <v>9.7815767392610419E-45</v>
      </c>
      <c r="F101" s="39">
        <f t="shared" si="18"/>
        <v>1.1532930103684362E-42</v>
      </c>
      <c r="G101" s="39">
        <f t="shared" si="18"/>
        <v>1.0625518812358471E-40</v>
      </c>
      <c r="H101" s="39">
        <f t="shared" si="18"/>
        <v>7.9646895914542747E-39</v>
      </c>
      <c r="I101" s="39">
        <f t="shared" si="18"/>
        <v>4.9936846454653639E-37</v>
      </c>
      <c r="J101" s="39">
        <f t="shared" si="18"/>
        <v>2.6720410811910392E-35</v>
      </c>
      <c r="K101" s="39">
        <f t="shared" si="18"/>
        <v>1.238926537753595E-33</v>
      </c>
      <c r="L101" s="39">
        <f t="shared" si="19"/>
        <v>5.0371372585738413E-32</v>
      </c>
      <c r="M101" s="39">
        <f t="shared" si="19"/>
        <v>1.8128896065504642E-30</v>
      </c>
      <c r="N101" s="39">
        <f t="shared" si="19"/>
        <v>5.8203439782791352E-29</v>
      </c>
      <c r="O101" s="39">
        <f t="shared" si="19"/>
        <v>1.6775093522300597E-27</v>
      </c>
      <c r="P101" s="39">
        <f t="shared" si="19"/>
        <v>4.3632094430843106E-26</v>
      </c>
      <c r="Q101" s="39">
        <f t="shared" si="19"/>
        <v>1.0286940882388818E-24</v>
      </c>
      <c r="R101" s="39">
        <f t="shared" si="19"/>
        <v>2.2065611244139536E-23</v>
      </c>
      <c r="S101" s="39">
        <f t="shared" si="19"/>
        <v>4.319691511653117E-22</v>
      </c>
      <c r="T101" s="39">
        <f t="shared" si="19"/>
        <v>7.7381985390912182E-21</v>
      </c>
      <c r="U101" s="39">
        <f t="shared" si="19"/>
        <v>1.2712656663321708E-19</v>
      </c>
      <c r="V101" s="39">
        <f t="shared" si="19"/>
        <v>1.9188447113579527E-18</v>
      </c>
      <c r="W101" s="37">
        <v>0.90200000000000002</v>
      </c>
    </row>
    <row r="102" spans="2:23" x14ac:dyDescent="0.25">
      <c r="B102" s="39">
        <f t="shared" si="18"/>
        <v>8.4781014821251501E-52</v>
      </c>
      <c r="C102" s="39">
        <f t="shared" si="18"/>
        <v>4.225602718022013E-49</v>
      </c>
      <c r="D102" s="39">
        <f t="shared" si="18"/>
        <v>1.0299141681527178E-46</v>
      </c>
      <c r="E102" s="39">
        <f t="shared" si="18"/>
        <v>1.6360546663139753E-44</v>
      </c>
      <c r="F102" s="39">
        <f t="shared" si="18"/>
        <v>1.9047917139184101E-42</v>
      </c>
      <c r="G102" s="39">
        <f t="shared" si="18"/>
        <v>1.7329535788761768E-40</v>
      </c>
      <c r="H102" s="39">
        <f t="shared" si="18"/>
        <v>1.2827577957164059E-38</v>
      </c>
      <c r="I102" s="39">
        <f t="shared" si="18"/>
        <v>7.942295284624951E-37</v>
      </c>
      <c r="J102" s="39">
        <f t="shared" si="18"/>
        <v>4.1968868507381863E-35</v>
      </c>
      <c r="K102" s="39">
        <f t="shared" si="18"/>
        <v>1.9217594618908447E-33</v>
      </c>
      <c r="L102" s="39">
        <f t="shared" si="19"/>
        <v>7.7164360569252836E-32</v>
      </c>
      <c r="M102" s="39">
        <f t="shared" si="19"/>
        <v>2.7427993676742731E-30</v>
      </c>
      <c r="N102" s="39">
        <f t="shared" si="19"/>
        <v>8.6970364043393435E-29</v>
      </c>
      <c r="O102" s="39">
        <f t="shared" si="19"/>
        <v>2.475699041402456E-27</v>
      </c>
      <c r="P102" s="39">
        <f t="shared" si="19"/>
        <v>6.3600363701300447E-26</v>
      </c>
      <c r="Q102" s="39">
        <f t="shared" si="19"/>
        <v>1.4810539679114932E-24</v>
      </c>
      <c r="R102" s="39">
        <f t="shared" si="19"/>
        <v>3.1379228629342119E-23</v>
      </c>
      <c r="S102" s="39">
        <f t="shared" si="19"/>
        <v>6.0678015882349137E-22</v>
      </c>
      <c r="T102" s="39">
        <f t="shared" si="19"/>
        <v>1.0736967963874235E-20</v>
      </c>
      <c r="U102" s="39">
        <f t="shared" si="19"/>
        <v>1.7424175358925714E-19</v>
      </c>
      <c r="V102" s="39">
        <f t="shared" si="19"/>
        <v>2.598011308635212E-18</v>
      </c>
      <c r="W102" s="37">
        <v>0.90100000000000002</v>
      </c>
    </row>
    <row r="103" spans="2:23" x14ac:dyDescent="0.25">
      <c r="B103" s="39">
        <f t="shared" ref="B103:K112" si="20">_xlfn.HYPGEOM.DIST(B$2,comau,tongtheN*$W103,tongtheN,TRUE)</f>
        <v>1.4640912783507504E-51</v>
      </c>
      <c r="C103" s="39">
        <f t="shared" si="20"/>
        <v>7.2061574476373305E-49</v>
      </c>
      <c r="D103" s="39">
        <f t="shared" si="20"/>
        <v>1.7344887970864501E-46</v>
      </c>
      <c r="E103" s="39">
        <f t="shared" si="20"/>
        <v>2.7210310725827691E-44</v>
      </c>
      <c r="F103" s="39">
        <f t="shared" si="20"/>
        <v>3.1286591408026717E-42</v>
      </c>
      <c r="G103" s="39">
        <f t="shared" si="20"/>
        <v>2.8111408288864739E-40</v>
      </c>
      <c r="H103" s="39">
        <f t="shared" si="20"/>
        <v>2.0551101876434526E-38</v>
      </c>
      <c r="I103" s="39">
        <f t="shared" si="20"/>
        <v>1.2567275324189353E-36</v>
      </c>
      <c r="J103" s="39">
        <f t="shared" si="20"/>
        <v>6.5589890649015991E-35</v>
      </c>
      <c r="K103" s="39">
        <f t="shared" si="20"/>
        <v>2.9664234260544522E-33</v>
      </c>
      <c r="L103" s="39">
        <f t="shared" ref="L103:V112" si="21">_xlfn.HYPGEOM.DIST(L$2,comau,tongtheN*$W103,tongtheN,TRUE)</f>
        <v>1.1764820329560911E-31</v>
      </c>
      <c r="M103" s="39">
        <f t="shared" si="21"/>
        <v>4.1305415752773796E-30</v>
      </c>
      <c r="N103" s="39">
        <f t="shared" si="21"/>
        <v>1.2937152915130074E-28</v>
      </c>
      <c r="O103" s="39">
        <f t="shared" si="21"/>
        <v>3.6377248349667815E-27</v>
      </c>
      <c r="P103" s="39">
        <f t="shared" si="21"/>
        <v>9.2313740171474835E-26</v>
      </c>
      <c r="Q103" s="39">
        <f t="shared" si="21"/>
        <v>2.1235507615843908E-24</v>
      </c>
      <c r="R103" s="39">
        <f t="shared" si="21"/>
        <v>4.444566466768084E-23</v>
      </c>
      <c r="S103" s="39">
        <f t="shared" si="21"/>
        <v>8.4903261690454791E-22</v>
      </c>
      <c r="T103" s="39">
        <f t="shared" si="21"/>
        <v>1.4841956156265292E-20</v>
      </c>
      <c r="U103" s="39">
        <f t="shared" si="21"/>
        <v>2.3795179776013869E-19</v>
      </c>
      <c r="V103" s="39">
        <f t="shared" si="21"/>
        <v>3.5052261582422151E-18</v>
      </c>
      <c r="W103" s="37">
        <v>0.9</v>
      </c>
    </row>
    <row r="104" spans="2:23" x14ac:dyDescent="0.25">
      <c r="B104" s="39">
        <f t="shared" si="20"/>
        <v>2.5134566221521084E-51</v>
      </c>
      <c r="C104" s="39">
        <f t="shared" si="20"/>
        <v>1.2218223292223447E-48</v>
      </c>
      <c r="D104" s="39">
        <f t="shared" si="20"/>
        <v>2.9046011956602127E-46</v>
      </c>
      <c r="E104" s="39">
        <f t="shared" si="20"/>
        <v>4.5005837474473995E-44</v>
      </c>
      <c r="F104" s="39">
        <f t="shared" si="20"/>
        <v>5.1112081304699839E-42</v>
      </c>
      <c r="G104" s="39">
        <f t="shared" si="20"/>
        <v>4.5361512874702165E-40</v>
      </c>
      <c r="H104" s="39">
        <f t="shared" si="20"/>
        <v>3.2755882658124845E-38</v>
      </c>
      <c r="I104" s="39">
        <f t="shared" si="20"/>
        <v>1.9785829504992265E-36</v>
      </c>
      <c r="J104" s="39">
        <f t="shared" si="20"/>
        <v>1.0200434489768322E-34</v>
      </c>
      <c r="K104" s="39">
        <f t="shared" si="20"/>
        <v>4.5571493213670667E-33</v>
      </c>
      <c r="L104" s="39">
        <f t="shared" si="21"/>
        <v>1.7853917557372086E-31</v>
      </c>
      <c r="M104" s="39">
        <f t="shared" si="21"/>
        <v>6.1923162995772489E-30</v>
      </c>
      <c r="N104" s="39">
        <f t="shared" si="21"/>
        <v>1.9159872020062127E-28</v>
      </c>
      <c r="O104" s="39">
        <f t="shared" si="21"/>
        <v>5.3223252159810935E-27</v>
      </c>
      <c r="P104" s="39">
        <f t="shared" si="21"/>
        <v>1.3343371168988858E-25</v>
      </c>
      <c r="Q104" s="39">
        <f t="shared" si="21"/>
        <v>3.0324915244373982E-24</v>
      </c>
      <c r="R104" s="39">
        <f t="shared" si="21"/>
        <v>6.2706745067568628E-23</v>
      </c>
      <c r="S104" s="39">
        <f t="shared" si="21"/>
        <v>1.1834977252503846E-21</v>
      </c>
      <c r="T104" s="39">
        <f t="shared" si="21"/>
        <v>2.0441032764060234E-20</v>
      </c>
      <c r="U104" s="39">
        <f t="shared" si="21"/>
        <v>3.2380229410768906E-19</v>
      </c>
      <c r="V104" s="39">
        <f t="shared" si="21"/>
        <v>4.7129954010453891E-18</v>
      </c>
      <c r="W104" s="37">
        <v>0.89900000000000002</v>
      </c>
    </row>
    <row r="105" spans="2:23" x14ac:dyDescent="0.25">
      <c r="B105" s="39">
        <f t="shared" si="20"/>
        <v>3.9258776519137226E-51</v>
      </c>
      <c r="C105" s="39">
        <f t="shared" si="20"/>
        <v>1.8889298411310755E-48</v>
      </c>
      <c r="D105" s="39">
        <f t="shared" si="20"/>
        <v>4.4447215209968032E-46</v>
      </c>
      <c r="E105" s="39">
        <f t="shared" si="20"/>
        <v>6.8168704077149922E-44</v>
      </c>
      <c r="F105" s="39">
        <f t="shared" si="20"/>
        <v>7.6631226857049463E-42</v>
      </c>
      <c r="G105" s="39">
        <f t="shared" si="20"/>
        <v>6.7319928904925458E-40</v>
      </c>
      <c r="H105" s="39">
        <f t="shared" si="20"/>
        <v>4.8120177914037614E-38</v>
      </c>
      <c r="I105" s="39">
        <f t="shared" si="20"/>
        <v>2.8772784210628213E-36</v>
      </c>
      <c r="J105" s="39">
        <f t="shared" si="20"/>
        <v>1.468398505890896E-34</v>
      </c>
      <c r="K105" s="39">
        <f t="shared" si="20"/>
        <v>6.4941768533320116E-33</v>
      </c>
      <c r="L105" s="39">
        <f t="shared" si="21"/>
        <v>2.5187087430225309E-31</v>
      </c>
      <c r="M105" s="39">
        <f t="shared" si="21"/>
        <v>8.6480690463250637E-30</v>
      </c>
      <c r="N105" s="39">
        <f t="shared" si="21"/>
        <v>2.649038537101699E-28</v>
      </c>
      <c r="O105" s="39">
        <f t="shared" si="21"/>
        <v>7.2850888510794294E-27</v>
      </c>
      <c r="P105" s="39">
        <f t="shared" si="21"/>
        <v>1.8081937459544551E-25</v>
      </c>
      <c r="Q105" s="39">
        <f t="shared" si="21"/>
        <v>4.0684894636185432E-24</v>
      </c>
      <c r="R105" s="39">
        <f t="shared" si="21"/>
        <v>8.329336384659383E-23</v>
      </c>
      <c r="S105" s="39">
        <f t="shared" si="21"/>
        <v>1.5564477848056632E-21</v>
      </c>
      <c r="T105" s="39">
        <f t="shared" si="21"/>
        <v>2.6616411884028476E-20</v>
      </c>
      <c r="U105" s="39">
        <f t="shared" si="21"/>
        <v>4.174599755579723E-19</v>
      </c>
      <c r="V105" s="39">
        <f t="shared" si="21"/>
        <v>6.0162940251871924E-18</v>
      </c>
      <c r="W105" s="37">
        <v>0.89800000000000002</v>
      </c>
    </row>
    <row r="106" spans="2:23" x14ac:dyDescent="0.25">
      <c r="B106" s="39">
        <f t="shared" si="20"/>
        <v>6.6692437019156797E-51</v>
      </c>
      <c r="C106" s="39">
        <f t="shared" si="20"/>
        <v>3.1699710729590858E-48</v>
      </c>
      <c r="D106" s="39">
        <f t="shared" si="20"/>
        <v>7.3687349727820134E-46</v>
      </c>
      <c r="E106" s="39">
        <f t="shared" si="20"/>
        <v>1.1164816632151813E-43</v>
      </c>
      <c r="F106" s="39">
        <f t="shared" si="20"/>
        <v>1.239937469509585E-41</v>
      </c>
      <c r="G106" s="39">
        <f t="shared" si="20"/>
        <v>1.0761539034352513E-39</v>
      </c>
      <c r="H106" s="39">
        <f t="shared" si="20"/>
        <v>7.5998319461750518E-38</v>
      </c>
      <c r="I106" s="39">
        <f t="shared" si="20"/>
        <v>4.4896656177501096E-36</v>
      </c>
      <c r="J106" s="39">
        <f t="shared" si="20"/>
        <v>2.2638139189168134E-34</v>
      </c>
      <c r="K106" s="39">
        <f t="shared" si="20"/>
        <v>9.8922471389466371E-33</v>
      </c>
      <c r="L106" s="39">
        <f t="shared" si="21"/>
        <v>3.7908121066649936E-31</v>
      </c>
      <c r="M106" s="39">
        <f t="shared" si="21"/>
        <v>1.2860752311745418E-29</v>
      </c>
      <c r="N106" s="39">
        <f t="shared" si="21"/>
        <v>3.8925834032256066E-28</v>
      </c>
      <c r="O106" s="39">
        <f t="shared" si="21"/>
        <v>1.0577827990988259E-26</v>
      </c>
      <c r="P106" s="39">
        <f t="shared" si="21"/>
        <v>2.5943481550684972E-25</v>
      </c>
      <c r="Q106" s="39">
        <f t="shared" si="21"/>
        <v>5.7683004797579107E-24</v>
      </c>
      <c r="R106" s="39">
        <f t="shared" si="21"/>
        <v>1.166987789923107E-22</v>
      </c>
      <c r="S106" s="39">
        <f t="shared" si="21"/>
        <v>2.1549721702710408E-21</v>
      </c>
      <c r="T106" s="39">
        <f t="shared" si="21"/>
        <v>3.6418154447214853E-20</v>
      </c>
      <c r="U106" s="39">
        <f t="shared" si="21"/>
        <v>5.6448820052612198E-19</v>
      </c>
      <c r="V106" s="39">
        <f t="shared" si="21"/>
        <v>8.0399095682500814E-18</v>
      </c>
      <c r="W106" s="37">
        <v>0.89700000000000002</v>
      </c>
    </row>
    <row r="107" spans="2:23" x14ac:dyDescent="0.25">
      <c r="B107" s="39">
        <f t="shared" si="20"/>
        <v>1.126681950488943E-50</v>
      </c>
      <c r="C107" s="39">
        <f t="shared" si="20"/>
        <v>5.2909270666238041E-48</v>
      </c>
      <c r="D107" s="39">
        <f t="shared" si="20"/>
        <v>1.2151508971190496E-45</v>
      </c>
      <c r="E107" s="39">
        <f t="shared" si="20"/>
        <v>1.8191090975167317E-43</v>
      </c>
      <c r="F107" s="39">
        <f t="shared" si="20"/>
        <v>1.9961165484694186E-41</v>
      </c>
      <c r="G107" s="39">
        <f t="shared" si="20"/>
        <v>1.7117823784246414E-39</v>
      </c>
      <c r="H107" s="39">
        <f t="shared" si="20"/>
        <v>1.1944702029511581E-37</v>
      </c>
      <c r="I107" s="39">
        <f t="shared" si="20"/>
        <v>6.9725497942546691E-36</v>
      </c>
      <c r="J107" s="39">
        <f t="shared" si="20"/>
        <v>3.4740319343858646E-34</v>
      </c>
      <c r="K107" s="39">
        <f t="shared" si="20"/>
        <v>1.5000739854632759E-32</v>
      </c>
      <c r="L107" s="39">
        <f t="shared" si="21"/>
        <v>5.6804644878797008E-31</v>
      </c>
      <c r="M107" s="39">
        <f t="shared" si="21"/>
        <v>1.9044128664587333E-29</v>
      </c>
      <c r="N107" s="39">
        <f t="shared" si="21"/>
        <v>5.6961987223851462E-28</v>
      </c>
      <c r="O107" s="39">
        <f t="shared" si="21"/>
        <v>1.5296975627659778E-26</v>
      </c>
      <c r="P107" s="39">
        <f t="shared" si="21"/>
        <v>3.7077348922422189E-25</v>
      </c>
      <c r="Q107" s="39">
        <f t="shared" si="21"/>
        <v>8.1472154503809137E-24</v>
      </c>
      <c r="R107" s="39">
        <f t="shared" si="21"/>
        <v>1.6289892570102671E-22</v>
      </c>
      <c r="S107" s="39">
        <f t="shared" si="21"/>
        <v>2.9729934737445243E-21</v>
      </c>
      <c r="T107" s="39">
        <f t="shared" si="21"/>
        <v>4.9657008446331901E-20</v>
      </c>
      <c r="U107" s="39">
        <f t="shared" si="21"/>
        <v>7.6074294994721027E-19</v>
      </c>
      <c r="V107" s="39">
        <f t="shared" si="21"/>
        <v>1.0709396655182473E-17</v>
      </c>
      <c r="W107" s="37">
        <v>0.89600000000000002</v>
      </c>
    </row>
    <row r="108" spans="2:23" x14ac:dyDescent="0.25">
      <c r="B108" s="39">
        <f t="shared" si="20"/>
        <v>1.8930461536818755E-50</v>
      </c>
      <c r="C108" s="39">
        <f t="shared" si="20"/>
        <v>8.7840400312774347E-48</v>
      </c>
      <c r="D108" s="39">
        <f t="shared" si="20"/>
        <v>1.9934451802700609E-45</v>
      </c>
      <c r="E108" s="39">
        <f t="shared" si="20"/>
        <v>2.9488540479590211E-43</v>
      </c>
      <c r="F108" s="39">
        <f t="shared" si="20"/>
        <v>3.197494274206039E-41</v>
      </c>
      <c r="G108" s="39">
        <f t="shared" si="20"/>
        <v>2.7096343772333209E-39</v>
      </c>
      <c r="H108" s="39">
        <f t="shared" si="20"/>
        <v>1.8684636568417776E-37</v>
      </c>
      <c r="I108" s="39">
        <f t="shared" si="20"/>
        <v>1.0778469645691425E-35</v>
      </c>
      <c r="J108" s="39">
        <f t="shared" si="20"/>
        <v>5.3071872123226383E-34</v>
      </c>
      <c r="K108" s="39">
        <f t="shared" si="20"/>
        <v>2.2647351251846855E-32</v>
      </c>
      <c r="L108" s="39">
        <f t="shared" si="21"/>
        <v>8.4756257685353281E-31</v>
      </c>
      <c r="M108" s="39">
        <f t="shared" si="21"/>
        <v>2.8082858914179723E-29</v>
      </c>
      <c r="N108" s="39">
        <f t="shared" si="21"/>
        <v>8.3016952846823934E-28</v>
      </c>
      <c r="O108" s="39">
        <f t="shared" si="21"/>
        <v>2.2034231182917258E-26</v>
      </c>
      <c r="P108" s="39">
        <f t="shared" si="21"/>
        <v>5.2786270196601959E-25</v>
      </c>
      <c r="Q108" s="39">
        <f t="shared" si="21"/>
        <v>1.1464388041545446E-23</v>
      </c>
      <c r="R108" s="39">
        <f t="shared" si="21"/>
        <v>2.2656810785698842E-22</v>
      </c>
      <c r="S108" s="39">
        <f t="shared" si="21"/>
        <v>4.0871730896755353E-21</v>
      </c>
      <c r="T108" s="39">
        <f t="shared" si="21"/>
        <v>6.7478889793166678E-20</v>
      </c>
      <c r="U108" s="39">
        <f t="shared" si="21"/>
        <v>1.021865119851767E-18</v>
      </c>
      <c r="V108" s="39">
        <f t="shared" si="21"/>
        <v>1.4219982821623075E-17</v>
      </c>
      <c r="W108" s="37">
        <v>0.89500000000000002</v>
      </c>
    </row>
    <row r="109" spans="2:23" x14ac:dyDescent="0.25">
      <c r="B109" s="39">
        <f t="shared" si="20"/>
        <v>2.9052915465491056E-50</v>
      </c>
      <c r="C109" s="39">
        <f t="shared" si="20"/>
        <v>1.3348418875756997E-47</v>
      </c>
      <c r="D109" s="39">
        <f t="shared" si="20"/>
        <v>2.9995360724670144E-45</v>
      </c>
      <c r="E109" s="39">
        <f t="shared" si="20"/>
        <v>4.393641489419348E-43</v>
      </c>
      <c r="F109" s="39">
        <f t="shared" si="20"/>
        <v>4.7174786514009959E-41</v>
      </c>
      <c r="G109" s="39">
        <f t="shared" si="20"/>
        <v>3.9586488956504076E-39</v>
      </c>
      <c r="H109" s="39">
        <f t="shared" si="20"/>
        <v>2.7031140966064827E-37</v>
      </c>
      <c r="I109" s="39">
        <f t="shared" si="20"/>
        <v>1.5441432391785396E-35</v>
      </c>
      <c r="J109" s="39">
        <f t="shared" si="20"/>
        <v>7.5292722076668785E-34</v>
      </c>
      <c r="K109" s="39">
        <f t="shared" si="20"/>
        <v>3.1817898762663911E-32</v>
      </c>
      <c r="L109" s="39">
        <f t="shared" si="21"/>
        <v>1.1792306409819843E-30</v>
      </c>
      <c r="M109" s="39">
        <f t="shared" si="21"/>
        <v>3.8694448271205169E-29</v>
      </c>
      <c r="N109" s="39">
        <f t="shared" si="21"/>
        <v>1.1328228242353679E-27</v>
      </c>
      <c r="O109" s="39">
        <f t="shared" si="21"/>
        <v>2.977752012678217E-26</v>
      </c>
      <c r="P109" s="39">
        <f t="shared" si="21"/>
        <v>7.065040459650871E-25</v>
      </c>
      <c r="Q109" s="39">
        <f t="shared" si="21"/>
        <v>1.5196910780477691E-23</v>
      </c>
      <c r="R109" s="39">
        <f t="shared" si="21"/>
        <v>2.9745534265519768E-22</v>
      </c>
      <c r="S109" s="39">
        <f t="shared" si="21"/>
        <v>5.3146233860476906E-21</v>
      </c>
      <c r="T109" s="39">
        <f t="shared" si="21"/>
        <v>8.6906427007090646E-20</v>
      </c>
      <c r="U109" s="39">
        <f t="shared" si="21"/>
        <v>1.3035275859008962E-18</v>
      </c>
      <c r="V109" s="39">
        <f t="shared" si="21"/>
        <v>1.7967049438102759E-17</v>
      </c>
      <c r="W109" s="37">
        <v>0.89400000000000002</v>
      </c>
    </row>
    <row r="110" spans="2:23" x14ac:dyDescent="0.25">
      <c r="B110" s="39">
        <f t="shared" si="20"/>
        <v>4.8343626722580386E-50</v>
      </c>
      <c r="C110" s="39">
        <f t="shared" si="20"/>
        <v>2.195192168492027E-47</v>
      </c>
      <c r="D110" s="39">
        <f t="shared" si="20"/>
        <v>4.8752689881932584E-45</v>
      </c>
      <c r="E110" s="39">
        <f t="shared" si="20"/>
        <v>7.0579642848815164E-43</v>
      </c>
      <c r="F110" s="39">
        <f t="shared" si="20"/>
        <v>7.4900326590477733E-41</v>
      </c>
      <c r="G110" s="39">
        <f t="shared" si="20"/>
        <v>6.212240731018164E-39</v>
      </c>
      <c r="H110" s="39">
        <f t="shared" si="20"/>
        <v>4.1927774281959431E-37</v>
      </c>
      <c r="I110" s="39">
        <f t="shared" si="20"/>
        <v>2.3673899155075875E-35</v>
      </c>
      <c r="J110" s="39">
        <f t="shared" si="20"/>
        <v>1.1410079044891748E-33</v>
      </c>
      <c r="K110" s="39">
        <f t="shared" si="20"/>
        <v>4.7661674772409958E-32</v>
      </c>
      <c r="L110" s="39">
        <f t="shared" si="21"/>
        <v>1.7460933283360925E-30</v>
      </c>
      <c r="M110" s="39">
        <f t="shared" si="21"/>
        <v>5.6636583446969812E-29</v>
      </c>
      <c r="N110" s="39">
        <f t="shared" si="21"/>
        <v>1.6390753762970724E-27</v>
      </c>
      <c r="O110" s="39">
        <f t="shared" si="21"/>
        <v>4.259149999815945E-26</v>
      </c>
      <c r="P110" s="39">
        <f t="shared" si="21"/>
        <v>9.9897712531408542E-25</v>
      </c>
      <c r="Q110" s="39">
        <f t="shared" si="21"/>
        <v>2.1242801516021862E-23</v>
      </c>
      <c r="R110" s="39">
        <f t="shared" si="21"/>
        <v>4.1105795343057393E-22</v>
      </c>
      <c r="S110" s="39">
        <f t="shared" si="21"/>
        <v>7.2608577632714736E-21</v>
      </c>
      <c r="T110" s="39">
        <f t="shared" si="21"/>
        <v>1.1738456239840794E-19</v>
      </c>
      <c r="U110" s="39">
        <f t="shared" si="21"/>
        <v>1.740734966058856E-18</v>
      </c>
      <c r="V110" s="39">
        <f t="shared" si="21"/>
        <v>2.3722060942983411E-17</v>
      </c>
      <c r="W110" s="37">
        <v>0.89300000000000002</v>
      </c>
    </row>
    <row r="111" spans="2:23" x14ac:dyDescent="0.25">
      <c r="B111" s="39">
        <f t="shared" si="20"/>
        <v>8.0030928640561048E-50</v>
      </c>
      <c r="C111" s="39">
        <f t="shared" si="20"/>
        <v>3.5919665435706047E-47</v>
      </c>
      <c r="D111" s="39">
        <f t="shared" si="20"/>
        <v>7.8851112714788566E-45</v>
      </c>
      <c r="E111" s="39">
        <f t="shared" si="20"/>
        <v>1.1283572130341563E-42</v>
      </c>
      <c r="F111" s="39">
        <f t="shared" si="20"/>
        <v>1.1836333380153677E-40</v>
      </c>
      <c r="G111" s="39">
        <f t="shared" si="20"/>
        <v>9.7041278451564171E-39</v>
      </c>
      <c r="H111" s="39">
        <f t="shared" si="20"/>
        <v>6.4743063730524727E-37</v>
      </c>
      <c r="I111" s="39">
        <f t="shared" si="20"/>
        <v>3.6137067964254516E-35</v>
      </c>
      <c r="J111" s="39">
        <f t="shared" si="20"/>
        <v>1.7217574026397963E-33</v>
      </c>
      <c r="K111" s="39">
        <f t="shared" si="20"/>
        <v>7.1098646572429605E-32</v>
      </c>
      <c r="L111" s="39">
        <f t="shared" si="21"/>
        <v>2.5749974465713966E-30</v>
      </c>
      <c r="M111" s="39">
        <f t="shared" si="21"/>
        <v>8.2571913653264074E-29</v>
      </c>
      <c r="N111" s="39">
        <f t="shared" si="21"/>
        <v>2.3624840255439534E-27</v>
      </c>
      <c r="O111" s="39">
        <f t="shared" si="21"/>
        <v>6.0692679671609611E-26</v>
      </c>
      <c r="P111" s="39">
        <f t="shared" si="21"/>
        <v>1.4074118328842887E-24</v>
      </c>
      <c r="Q111" s="39">
        <f t="shared" si="21"/>
        <v>2.9589571418686361E-23</v>
      </c>
      <c r="R111" s="39">
        <f t="shared" si="21"/>
        <v>5.6610922881349627E-22</v>
      </c>
      <c r="S111" s="39">
        <f t="shared" si="21"/>
        <v>9.8870015818587055E-21</v>
      </c>
      <c r="T111" s="39">
        <f t="shared" si="21"/>
        <v>1.5804345296004713E-19</v>
      </c>
      <c r="U111" s="39">
        <f t="shared" si="21"/>
        <v>2.3173763133027563E-18</v>
      </c>
      <c r="V111" s="39">
        <f t="shared" si="21"/>
        <v>3.1226582909502617E-17</v>
      </c>
      <c r="W111" s="37">
        <v>0.89200000000000002</v>
      </c>
    </row>
    <row r="112" spans="2:23" x14ac:dyDescent="0.25">
      <c r="B112" s="39">
        <f t="shared" si="20"/>
        <v>1.318226963771919E-49</v>
      </c>
      <c r="C112" s="39">
        <f t="shared" si="20"/>
        <v>5.848609389438251E-47</v>
      </c>
      <c r="D112" s="39">
        <f t="shared" si="20"/>
        <v>1.2691834276508501E-44</v>
      </c>
      <c r="E112" s="39">
        <f t="shared" si="20"/>
        <v>1.7954265757571611E-42</v>
      </c>
      <c r="F112" s="39">
        <f t="shared" si="20"/>
        <v>1.8618768668900398E-40</v>
      </c>
      <c r="G112" s="39">
        <f t="shared" si="20"/>
        <v>1.5090765626925263E-38</v>
      </c>
      <c r="H112" s="39">
        <f t="shared" si="20"/>
        <v>9.9535339169630051E-37</v>
      </c>
      <c r="I112" s="39">
        <f t="shared" si="20"/>
        <v>5.4925569969179305E-35</v>
      </c>
      <c r="J112" s="39">
        <f t="shared" si="20"/>
        <v>2.587257017201119E-33</v>
      </c>
      <c r="K112" s="39">
        <f t="shared" si="20"/>
        <v>1.0562902947718757E-31</v>
      </c>
      <c r="L112" s="39">
        <f t="shared" si="21"/>
        <v>3.7823484099229615E-30</v>
      </c>
      <c r="M112" s="39">
        <f t="shared" si="21"/>
        <v>1.1991909309272339E-28</v>
      </c>
      <c r="N112" s="39">
        <f t="shared" si="21"/>
        <v>3.3923813760075863E-27</v>
      </c>
      <c r="O112" s="39">
        <f t="shared" si="21"/>
        <v>8.6170879617193418E-26</v>
      </c>
      <c r="P112" s="39">
        <f t="shared" si="21"/>
        <v>1.9757979954543619E-24</v>
      </c>
      <c r="Q112" s="39">
        <f t="shared" si="21"/>
        <v>4.1073900864957501E-23</v>
      </c>
      <c r="R112" s="39">
        <f t="shared" si="21"/>
        <v>7.7703819017325656E-22</v>
      </c>
      <c r="S112" s="39">
        <f t="shared" si="21"/>
        <v>1.3419324086042769E-20</v>
      </c>
      <c r="T112" s="39">
        <f t="shared" si="21"/>
        <v>2.1211709386987192E-19</v>
      </c>
      <c r="U112" s="39">
        <f t="shared" si="21"/>
        <v>3.0756593941236536E-18</v>
      </c>
      <c r="V112" s="39">
        <f t="shared" si="21"/>
        <v>4.0984370132941759E-17</v>
      </c>
      <c r="W112" s="37">
        <v>0.89100000000000001</v>
      </c>
    </row>
    <row r="113" spans="2:23" x14ac:dyDescent="0.25">
      <c r="B113" s="39">
        <f t="shared" ref="B113:K122" si="22">_xlfn.HYPGEOM.DIST(B$2,comau,tongtheN*$W113,tongtheN,TRUE)</f>
        <v>2.1606254747757368E-49</v>
      </c>
      <c r="C113" s="39">
        <f t="shared" si="22"/>
        <v>9.4771080125333047E-47</v>
      </c>
      <c r="D113" s="39">
        <f t="shared" si="22"/>
        <v>2.0332444314217119E-44</v>
      </c>
      <c r="E113" s="39">
        <f t="shared" si="22"/>
        <v>2.8436943673396621E-42</v>
      </c>
      <c r="F113" s="39">
        <f t="shared" si="22"/>
        <v>2.9155761678633593E-40</v>
      </c>
      <c r="G113" s="39">
        <f t="shared" si="22"/>
        <v>2.3364204128744894E-38</v>
      </c>
      <c r="H113" s="39">
        <f t="shared" si="22"/>
        <v>1.5236718275713222E-36</v>
      </c>
      <c r="I113" s="39">
        <f t="shared" si="22"/>
        <v>8.3132586406586161E-35</v>
      </c>
      <c r="J113" s="39">
        <f t="shared" si="22"/>
        <v>3.8719262205485927E-33</v>
      </c>
      <c r="K113" s="39">
        <f t="shared" si="22"/>
        <v>1.5630389636991873E-31</v>
      </c>
      <c r="L113" s="39">
        <f t="shared" ref="L113:V122" si="23">_xlfn.HYPGEOM.DIST(L$2,comau,tongtheN*$W113,tongtheN,TRUE)</f>
        <v>5.5342062785137476E-30</v>
      </c>
      <c r="M113" s="39">
        <f t="shared" si="23"/>
        <v>1.7349932094717917E-28</v>
      </c>
      <c r="N113" s="39">
        <f t="shared" si="23"/>
        <v>4.8533112721050286E-27</v>
      </c>
      <c r="O113" s="39">
        <f t="shared" si="23"/>
        <v>1.219064003710029E-25</v>
      </c>
      <c r="P113" s="39">
        <f t="shared" si="23"/>
        <v>2.7640735052730958E-24</v>
      </c>
      <c r="Q113" s="39">
        <f t="shared" si="23"/>
        <v>5.6822812471569656E-23</v>
      </c>
      <c r="R113" s="39">
        <f t="shared" si="23"/>
        <v>1.0630596768202977E-21</v>
      </c>
      <c r="S113" s="39">
        <f t="shared" si="23"/>
        <v>1.8155714452285697E-20</v>
      </c>
      <c r="T113" s="39">
        <f t="shared" si="23"/>
        <v>2.838146871814129E-19</v>
      </c>
      <c r="U113" s="39">
        <f t="shared" si="23"/>
        <v>4.0698948813077389E-18</v>
      </c>
      <c r="V113" s="39">
        <f t="shared" si="23"/>
        <v>5.3636255505403298E-17</v>
      </c>
      <c r="W113" s="37">
        <v>0.89</v>
      </c>
    </row>
    <row r="114" spans="2:23" x14ac:dyDescent="0.25">
      <c r="B114" s="39">
        <f t="shared" si="22"/>
        <v>3.2493552971856001E-49</v>
      </c>
      <c r="C114" s="39">
        <f t="shared" si="22"/>
        <v>1.411853123721816E-46</v>
      </c>
      <c r="D114" s="39">
        <f t="shared" si="22"/>
        <v>3.0005845631319253E-44</v>
      </c>
      <c r="E114" s="39">
        <f t="shared" si="22"/>
        <v>4.1572716845155002E-42</v>
      </c>
      <c r="F114" s="39">
        <f t="shared" si="22"/>
        <v>4.2224617444694626E-40</v>
      </c>
      <c r="G114" s="39">
        <f t="shared" si="22"/>
        <v>3.3520833864734815E-38</v>
      </c>
      <c r="H114" s="39">
        <f t="shared" si="22"/>
        <v>2.1656307800046277E-36</v>
      </c>
      <c r="I114" s="39">
        <f t="shared" si="22"/>
        <v>1.1705773486977212E-34</v>
      </c>
      <c r="J114" s="39">
        <f t="shared" si="22"/>
        <v>5.4013019980335365E-33</v>
      </c>
      <c r="K114" s="39">
        <f t="shared" si="22"/>
        <v>2.1601828091002197E-31</v>
      </c>
      <c r="L114" s="39">
        <f t="shared" si="23"/>
        <v>7.5776082363312819E-30</v>
      </c>
      <c r="M114" s="39">
        <f t="shared" si="23"/>
        <v>2.3536263943901975E-28</v>
      </c>
      <c r="N114" s="39">
        <f t="shared" si="23"/>
        <v>6.5230051805567459E-27</v>
      </c>
      <c r="O114" s="39">
        <f t="shared" si="23"/>
        <v>1.6233526305367404E-25</v>
      </c>
      <c r="P114" s="39">
        <f t="shared" si="23"/>
        <v>3.646865614237618E-24</v>
      </c>
      <c r="Q114" s="39">
        <f t="shared" si="23"/>
        <v>7.4282039543031215E-23</v>
      </c>
      <c r="R114" s="39">
        <f t="shared" si="23"/>
        <v>1.3769458829915708E-21</v>
      </c>
      <c r="S114" s="39">
        <f t="shared" si="23"/>
        <v>2.3301186121328527E-20</v>
      </c>
      <c r="T114" s="39">
        <f t="shared" si="23"/>
        <v>3.6092126393630836E-19</v>
      </c>
      <c r="U114" s="39">
        <f t="shared" si="23"/>
        <v>5.1283933713034197E-18</v>
      </c>
      <c r="V114" s="39">
        <f t="shared" si="23"/>
        <v>6.6970712908303165E-17</v>
      </c>
      <c r="W114" s="37">
        <v>0.88900000000000001</v>
      </c>
    </row>
    <row r="115" spans="2:23" x14ac:dyDescent="0.25">
      <c r="B115" s="39">
        <f t="shared" si="22"/>
        <v>5.2791716177742607E-49</v>
      </c>
      <c r="C115" s="39">
        <f t="shared" si="22"/>
        <v>2.2681602721008891E-46</v>
      </c>
      <c r="D115" s="39">
        <f t="shared" si="22"/>
        <v>4.7666528984353789E-44</v>
      </c>
      <c r="E115" s="39">
        <f t="shared" si="22"/>
        <v>6.5305131797688527E-42</v>
      </c>
      <c r="F115" s="39">
        <f t="shared" si="22"/>
        <v>6.5590915863054669E-40</v>
      </c>
      <c r="G115" s="39">
        <f t="shared" si="22"/>
        <v>5.1491992376741039E-38</v>
      </c>
      <c r="H115" s="39">
        <f t="shared" si="22"/>
        <v>3.2897589379025178E-36</v>
      </c>
      <c r="I115" s="39">
        <f t="shared" si="22"/>
        <v>1.7585003079841365E-34</v>
      </c>
      <c r="J115" s="39">
        <f t="shared" si="22"/>
        <v>8.0243783063778216E-33</v>
      </c>
      <c r="K115" s="39">
        <f t="shared" si="22"/>
        <v>3.1738179584629423E-31</v>
      </c>
      <c r="L115" s="39">
        <f t="shared" si="23"/>
        <v>1.1010581283415445E-29</v>
      </c>
      <c r="M115" s="39">
        <f t="shared" si="23"/>
        <v>3.3822857129392448E-28</v>
      </c>
      <c r="N115" s="39">
        <f t="shared" si="23"/>
        <v>9.2709298767163864E-27</v>
      </c>
      <c r="O115" s="39">
        <f t="shared" si="23"/>
        <v>2.2819150192275464E-25</v>
      </c>
      <c r="P115" s="39">
        <f t="shared" si="23"/>
        <v>5.0702069879785575E-24</v>
      </c>
      <c r="Q115" s="39">
        <f t="shared" si="23"/>
        <v>1.0214508898141354E-22</v>
      </c>
      <c r="R115" s="39">
        <f t="shared" si="23"/>
        <v>1.8727802297532223E-21</v>
      </c>
      <c r="S115" s="39">
        <f t="shared" si="23"/>
        <v>3.1346778559990705E-20</v>
      </c>
      <c r="T115" s="39">
        <f t="shared" si="23"/>
        <v>4.8026521512566826E-19</v>
      </c>
      <c r="U115" s="39">
        <f t="shared" si="23"/>
        <v>6.750140169983847E-18</v>
      </c>
      <c r="V115" s="39">
        <f t="shared" si="23"/>
        <v>8.7194366163448383E-17</v>
      </c>
      <c r="W115" s="37">
        <v>0.88800000000000001</v>
      </c>
    </row>
    <row r="116" spans="2:23" x14ac:dyDescent="0.25">
      <c r="B116" s="39">
        <f t="shared" si="22"/>
        <v>8.5370368019905108E-49</v>
      </c>
      <c r="C116" s="39">
        <f t="shared" si="22"/>
        <v>3.6272212931680971E-46</v>
      </c>
      <c r="D116" s="39">
        <f t="shared" si="22"/>
        <v>7.538421769885986E-44</v>
      </c>
      <c r="E116" s="39">
        <f t="shared" si="22"/>
        <v>1.0213826329708333E-41</v>
      </c>
      <c r="F116" s="39">
        <f t="shared" si="22"/>
        <v>1.0145344266853465E-39</v>
      </c>
      <c r="G116" s="39">
        <f t="shared" si="22"/>
        <v>7.8768472754317529E-38</v>
      </c>
      <c r="H116" s="39">
        <f t="shared" si="22"/>
        <v>4.9770747602446875E-36</v>
      </c>
      <c r="I116" s="39">
        <f t="shared" si="22"/>
        <v>2.6312229732011519E-34</v>
      </c>
      <c r="J116" s="39">
        <f t="shared" si="22"/>
        <v>1.1875160930563995E-32</v>
      </c>
      <c r="K116" s="39">
        <f t="shared" si="22"/>
        <v>4.6454828290386836E-31</v>
      </c>
      <c r="L116" s="39">
        <f t="shared" si="23"/>
        <v>1.5939977792482604E-29</v>
      </c>
      <c r="M116" s="39">
        <f t="shared" si="23"/>
        <v>4.8431097798747216E-28</v>
      </c>
      <c r="N116" s="39">
        <f t="shared" si="23"/>
        <v>1.3130518688056884E-26</v>
      </c>
      <c r="O116" s="39">
        <f t="shared" si="23"/>
        <v>3.1967649169761901E-25</v>
      </c>
      <c r="P116" s="39">
        <f t="shared" si="23"/>
        <v>7.0258317451651103E-24</v>
      </c>
      <c r="Q116" s="39">
        <f t="shared" si="23"/>
        <v>1.4000986862883818E-22</v>
      </c>
      <c r="R116" s="39">
        <f t="shared" si="23"/>
        <v>2.5392500850388573E-21</v>
      </c>
      <c r="S116" s="39">
        <f t="shared" si="23"/>
        <v>4.204337978722131E-20</v>
      </c>
      <c r="T116" s="39">
        <f t="shared" si="23"/>
        <v>6.372070757976559E-19</v>
      </c>
      <c r="U116" s="39">
        <f t="shared" si="23"/>
        <v>8.859636413815293E-18</v>
      </c>
      <c r="V116" s="39">
        <f t="shared" si="23"/>
        <v>1.1321508747283564E-16</v>
      </c>
      <c r="W116" s="37">
        <v>0.88700000000000001</v>
      </c>
    </row>
    <row r="117" spans="2:23" x14ac:dyDescent="0.25">
      <c r="B117" s="39">
        <f t="shared" si="22"/>
        <v>1.3742317108911522E-48</v>
      </c>
      <c r="C117" s="39">
        <f t="shared" si="22"/>
        <v>5.7746841199087273E-46</v>
      </c>
      <c r="D117" s="39">
        <f t="shared" si="22"/>
        <v>1.1869802474488939E-43</v>
      </c>
      <c r="E117" s="39">
        <f t="shared" si="22"/>
        <v>1.5906254673467941E-41</v>
      </c>
      <c r="F117" s="39">
        <f t="shared" si="22"/>
        <v>1.5626805088345506E-39</v>
      </c>
      <c r="G117" s="39">
        <f t="shared" si="22"/>
        <v>1.2000168320298644E-37</v>
      </c>
      <c r="H117" s="39">
        <f t="shared" si="22"/>
        <v>7.4997739072609107E-36</v>
      </c>
      <c r="I117" s="39">
        <f t="shared" si="22"/>
        <v>3.9217361527278432E-34</v>
      </c>
      <c r="J117" s="39">
        <f t="shared" si="22"/>
        <v>1.7507115262245564E-32</v>
      </c>
      <c r="K117" s="39">
        <f t="shared" si="22"/>
        <v>6.7743559458569807E-31</v>
      </c>
      <c r="L117" s="39">
        <f t="shared" si="23"/>
        <v>2.2992949158271242E-29</v>
      </c>
      <c r="M117" s="39">
        <f t="shared" si="23"/>
        <v>6.9104909320611446E-28</v>
      </c>
      <c r="N117" s="39">
        <f t="shared" si="23"/>
        <v>1.8533266311354635E-26</v>
      </c>
      <c r="O117" s="39">
        <f t="shared" si="23"/>
        <v>4.4634865976502009E-25</v>
      </c>
      <c r="P117" s="39">
        <f t="shared" si="23"/>
        <v>9.7042678786214871E-24</v>
      </c>
      <c r="Q117" s="39">
        <f t="shared" si="23"/>
        <v>1.9130808680286346E-22</v>
      </c>
      <c r="R117" s="39">
        <f t="shared" si="23"/>
        <v>3.432401483739509E-21</v>
      </c>
      <c r="S117" s="39">
        <f t="shared" si="23"/>
        <v>5.6223330733044387E-20</v>
      </c>
      <c r="T117" s="39">
        <f t="shared" si="23"/>
        <v>8.4301338090524468E-19</v>
      </c>
      <c r="U117" s="39">
        <f t="shared" si="23"/>
        <v>1.1596140956565164E-17</v>
      </c>
      <c r="V117" s="39">
        <f t="shared" si="23"/>
        <v>1.4660696574150828E-16</v>
      </c>
      <c r="W117" s="37">
        <v>0.88600000000000001</v>
      </c>
    </row>
    <row r="118" spans="2:23" x14ac:dyDescent="0.25">
      <c r="B118" s="39">
        <f t="shared" si="22"/>
        <v>2.0363951720983126E-48</v>
      </c>
      <c r="C118" s="39">
        <f t="shared" si="22"/>
        <v>8.4793637667645883E-46</v>
      </c>
      <c r="D118" s="39">
        <f t="shared" si="22"/>
        <v>1.727100545701204E-43</v>
      </c>
      <c r="E118" s="39">
        <f t="shared" si="22"/>
        <v>2.2934396825177974E-41</v>
      </c>
      <c r="F118" s="39">
        <f t="shared" si="22"/>
        <v>2.2327547859492266E-39</v>
      </c>
      <c r="G118" s="39">
        <f t="shared" si="22"/>
        <v>1.6990877681662922E-37</v>
      </c>
      <c r="H118" s="39">
        <f t="shared" si="22"/>
        <v>1.0523022770374954E-35</v>
      </c>
      <c r="I118" s="39">
        <f t="shared" si="22"/>
        <v>5.4530668523025194E-34</v>
      </c>
      <c r="J118" s="39">
        <f t="shared" si="22"/>
        <v>2.4124228382600788E-32</v>
      </c>
      <c r="K118" s="39">
        <f t="shared" si="22"/>
        <v>9.2510186764623242E-31</v>
      </c>
      <c r="L118" s="39">
        <f t="shared" si="23"/>
        <v>3.1117542269627974E-29</v>
      </c>
      <c r="M118" s="39">
        <f t="shared" si="23"/>
        <v>9.268617968529176E-28</v>
      </c>
      <c r="N118" s="39">
        <f t="shared" si="23"/>
        <v>2.4635420727163087E-26</v>
      </c>
      <c r="O118" s="39">
        <f t="shared" si="23"/>
        <v>5.8801813675827234E-25</v>
      </c>
      <c r="P118" s="39">
        <f t="shared" si="23"/>
        <v>1.267051717858483E-23</v>
      </c>
      <c r="Q118" s="39">
        <f t="shared" si="23"/>
        <v>2.4756353358280751E-22</v>
      </c>
      <c r="R118" s="39">
        <f t="shared" si="23"/>
        <v>4.4023037810107557E-21</v>
      </c>
      <c r="S118" s="39">
        <f t="shared" si="23"/>
        <v>7.1471682060919885E-20</v>
      </c>
      <c r="T118" s="39">
        <f t="shared" si="23"/>
        <v>1.0621710774454076E-18</v>
      </c>
      <c r="U118" s="39">
        <f t="shared" si="23"/>
        <v>1.4481824712993289E-17</v>
      </c>
      <c r="V118" s="39">
        <f t="shared" si="23"/>
        <v>1.8147701215781912E-16</v>
      </c>
      <c r="W118" s="37">
        <v>0.88500000000000001</v>
      </c>
    </row>
    <row r="119" spans="2:23" x14ac:dyDescent="0.25">
      <c r="B119" s="39">
        <f t="shared" si="22"/>
        <v>3.251366595747519E-48</v>
      </c>
      <c r="C119" s="39">
        <f t="shared" si="22"/>
        <v>1.3391959476710362E-45</v>
      </c>
      <c r="D119" s="39">
        <f t="shared" si="22"/>
        <v>2.6982533371246834E-43</v>
      </c>
      <c r="E119" s="39">
        <f t="shared" si="22"/>
        <v>3.5444099279335692E-41</v>
      </c>
      <c r="F119" s="39">
        <f t="shared" si="22"/>
        <v>3.4134729667602222E-39</v>
      </c>
      <c r="G119" s="39">
        <f t="shared" si="22"/>
        <v>2.5696702051800458E-37</v>
      </c>
      <c r="H119" s="39">
        <f t="shared" si="22"/>
        <v>1.5744017704947824E-35</v>
      </c>
      <c r="I119" s="39">
        <f t="shared" si="22"/>
        <v>8.071174638607654E-34</v>
      </c>
      <c r="J119" s="39">
        <f t="shared" si="22"/>
        <v>3.5324631029202845E-32</v>
      </c>
      <c r="K119" s="39">
        <f t="shared" si="22"/>
        <v>1.3401379437131329E-30</v>
      </c>
      <c r="L119" s="39">
        <f t="shared" si="23"/>
        <v>4.4597292290410686E-29</v>
      </c>
      <c r="M119" s="39">
        <f t="shared" si="23"/>
        <v>1.3142228614272528E-27</v>
      </c>
      <c r="N119" s="39">
        <f t="shared" si="23"/>
        <v>3.4559901591773124E-26</v>
      </c>
      <c r="O119" s="39">
        <f t="shared" si="23"/>
        <v>8.1614897528714088E-25</v>
      </c>
      <c r="P119" s="39">
        <f t="shared" si="23"/>
        <v>1.7399913349382667E-23</v>
      </c>
      <c r="Q119" s="39">
        <f t="shared" si="23"/>
        <v>3.3637318824444878E-22</v>
      </c>
      <c r="R119" s="39">
        <f t="shared" si="23"/>
        <v>5.9184054989080881E-21</v>
      </c>
      <c r="S119" s="39">
        <f t="shared" si="23"/>
        <v>9.5072940422996935E-20</v>
      </c>
      <c r="T119" s="39">
        <f t="shared" si="23"/>
        <v>1.3980541052031696E-18</v>
      </c>
      <c r="U119" s="39">
        <f t="shared" si="23"/>
        <v>1.8861140390869548E-17</v>
      </c>
      <c r="V119" s="39">
        <f t="shared" si="23"/>
        <v>2.3387846477015334E-16</v>
      </c>
      <c r="W119" s="37">
        <v>0.88400000000000001</v>
      </c>
    </row>
    <row r="120" spans="2:23" x14ac:dyDescent="0.25">
      <c r="B120" s="39">
        <f t="shared" si="22"/>
        <v>5.1687430267085505E-48</v>
      </c>
      <c r="C120" s="39">
        <f t="shared" si="22"/>
        <v>2.106105904601837E-45</v>
      </c>
      <c r="D120" s="39">
        <f t="shared" si="22"/>
        <v>4.1980056015228909E-43</v>
      </c>
      <c r="E120" s="39">
        <f t="shared" si="22"/>
        <v>5.4555130210037497E-41</v>
      </c>
      <c r="F120" s="39">
        <f t="shared" si="22"/>
        <v>5.1978848083371378E-39</v>
      </c>
      <c r="G120" s="39">
        <f t="shared" si="22"/>
        <v>3.8712685147840382E-37</v>
      </c>
      <c r="H120" s="39">
        <f t="shared" si="22"/>
        <v>2.3466289290669855E-35</v>
      </c>
      <c r="I120" s="39">
        <f t="shared" si="22"/>
        <v>1.1902160265985246E-33</v>
      </c>
      <c r="J120" s="39">
        <f t="shared" si="22"/>
        <v>5.1538784963197773E-32</v>
      </c>
      <c r="K120" s="39">
        <f t="shared" si="22"/>
        <v>1.9345540860862569E-30</v>
      </c>
      <c r="L120" s="39">
        <f t="shared" si="23"/>
        <v>6.3697455962922108E-29</v>
      </c>
      <c r="M120" s="39">
        <f t="shared" si="23"/>
        <v>1.8572582257310919E-27</v>
      </c>
      <c r="N120" s="39">
        <f t="shared" si="23"/>
        <v>4.832512347513244E-26</v>
      </c>
      <c r="O120" s="39">
        <f t="shared" si="23"/>
        <v>1.1292100247418365E-24</v>
      </c>
      <c r="P120" s="39">
        <f t="shared" si="23"/>
        <v>2.3821268495198046E-23</v>
      </c>
      <c r="Q120" s="39">
        <f t="shared" si="23"/>
        <v>4.5567950626107679E-22</v>
      </c>
      <c r="R120" s="39">
        <f t="shared" si="23"/>
        <v>7.9336148070451238E-21</v>
      </c>
      <c r="S120" s="39">
        <f t="shared" si="23"/>
        <v>1.261129474577533E-19</v>
      </c>
      <c r="T120" s="39">
        <f t="shared" si="23"/>
        <v>1.8351490613116627E-18</v>
      </c>
      <c r="U120" s="39">
        <f t="shared" si="23"/>
        <v>2.4500130122712499E-17</v>
      </c>
      <c r="V120" s="39">
        <f t="shared" si="23"/>
        <v>3.0064393426382344E-16</v>
      </c>
      <c r="W120" s="37">
        <v>0.88300000000000001</v>
      </c>
    </row>
    <row r="121" spans="2:23" x14ac:dyDescent="0.25">
      <c r="B121" s="39">
        <f t="shared" si="22"/>
        <v>8.1818916964170492E-48</v>
      </c>
      <c r="C121" s="39">
        <f t="shared" si="22"/>
        <v>3.2984157123364075E-45</v>
      </c>
      <c r="D121" s="39">
        <f t="shared" si="22"/>
        <v>6.5047649276456227E-43</v>
      </c>
      <c r="E121" s="39">
        <f t="shared" si="22"/>
        <v>8.3636263483360699E-41</v>
      </c>
      <c r="F121" s="39">
        <f t="shared" si="22"/>
        <v>7.8843002405991813E-39</v>
      </c>
      <c r="G121" s="39">
        <f t="shared" si="22"/>
        <v>5.8099761081591943E-37</v>
      </c>
      <c r="H121" s="39">
        <f t="shared" si="22"/>
        <v>3.4846335810597396E-35</v>
      </c>
      <c r="I121" s="39">
        <f t="shared" si="22"/>
        <v>1.7487884248775664E-33</v>
      </c>
      <c r="J121" s="39">
        <f t="shared" si="22"/>
        <v>7.4929287622148578E-32</v>
      </c>
      <c r="K121" s="39">
        <f t="shared" si="22"/>
        <v>2.7829889063545033E-30</v>
      </c>
      <c r="L121" s="39">
        <f t="shared" si="23"/>
        <v>9.0671986523104767E-29</v>
      </c>
      <c r="M121" s="39">
        <f t="shared" si="23"/>
        <v>2.6160805671505862E-27</v>
      </c>
      <c r="N121" s="39">
        <f t="shared" si="23"/>
        <v>6.7357659172226683E-26</v>
      </c>
      <c r="O121" s="39">
        <f t="shared" si="23"/>
        <v>1.5575120683983174E-24</v>
      </c>
      <c r="P121" s="39">
        <f t="shared" si="23"/>
        <v>3.2514108483317372E-23</v>
      </c>
      <c r="Q121" s="39">
        <f t="shared" si="23"/>
        <v>6.1549486598385652E-22</v>
      </c>
      <c r="R121" s="39">
        <f t="shared" si="23"/>
        <v>1.0604784545798658E-20</v>
      </c>
      <c r="S121" s="39">
        <f t="shared" si="23"/>
        <v>1.6682617592735096E-19</v>
      </c>
      <c r="T121" s="39">
        <f t="shared" si="23"/>
        <v>2.4024690254723612E-18</v>
      </c>
      <c r="U121" s="39">
        <f t="shared" si="23"/>
        <v>3.1742792349702839E-17</v>
      </c>
      <c r="V121" s="39">
        <f t="shared" si="23"/>
        <v>3.8550326214472047E-16</v>
      </c>
      <c r="W121" s="37">
        <v>0.88200000000000001</v>
      </c>
    </row>
    <row r="122" spans="2:23" x14ac:dyDescent="0.25">
      <c r="B122" s="39">
        <f t="shared" si="22"/>
        <v>1.1958830394913897E-47</v>
      </c>
      <c r="C122" s="39">
        <f t="shared" si="22"/>
        <v>4.7785946816800595E-45</v>
      </c>
      <c r="D122" s="39">
        <f t="shared" si="22"/>
        <v>9.3409701210468045E-43</v>
      </c>
      <c r="E122" s="39">
        <f t="shared" si="22"/>
        <v>1.1904915896738997E-40</v>
      </c>
      <c r="F122" s="39">
        <f t="shared" si="22"/>
        <v>1.1124281640562894E-38</v>
      </c>
      <c r="G122" s="39">
        <f t="shared" si="22"/>
        <v>8.1257990789151123E-37</v>
      </c>
      <c r="H122" s="39">
        <f t="shared" si="22"/>
        <v>4.8310061122507753E-35</v>
      </c>
      <c r="I122" s="39">
        <f t="shared" si="22"/>
        <v>2.4033240330628128E-33</v>
      </c>
      <c r="J122" s="39">
        <f t="shared" si="22"/>
        <v>1.0207682201899007E-31</v>
      </c>
      <c r="K122" s="39">
        <f t="shared" si="22"/>
        <v>3.7583170737198186E-30</v>
      </c>
      <c r="L122" s="39">
        <f t="shared" si="23"/>
        <v>1.2138567857073914E-28</v>
      </c>
      <c r="M122" s="39">
        <f t="shared" si="23"/>
        <v>3.471873064080875E-27</v>
      </c>
      <c r="N122" s="39">
        <f t="shared" si="23"/>
        <v>8.8618460475706778E-26</v>
      </c>
      <c r="O122" s="39">
        <f t="shared" si="23"/>
        <v>2.031417944822923E-24</v>
      </c>
      <c r="P122" s="39">
        <f t="shared" si="23"/>
        <v>4.2041345127689979E-23</v>
      </c>
      <c r="Q122" s="39">
        <f t="shared" si="23"/>
        <v>7.8899165389833587E-22</v>
      </c>
      <c r="R122" s="39">
        <f t="shared" si="23"/>
        <v>1.3477194248386603E-20</v>
      </c>
      <c r="S122" s="39">
        <f t="shared" si="23"/>
        <v>2.1019291104256527E-19</v>
      </c>
      <c r="T122" s="39">
        <f t="shared" si="23"/>
        <v>3.0010595444903055E-18</v>
      </c>
      <c r="U122" s="39">
        <f t="shared" si="23"/>
        <v>3.9312600347049043E-17</v>
      </c>
      <c r="V122" s="39">
        <f t="shared" si="23"/>
        <v>4.7336005709435367E-16</v>
      </c>
      <c r="W122" s="37">
        <v>0.88100000000000001</v>
      </c>
    </row>
    <row r="123" spans="2:23" x14ac:dyDescent="0.25">
      <c r="B123" s="39">
        <f t="shared" ref="B123:K132" si="24">_xlfn.HYPGEOM.DIST(B$2,comau,tongtheN*$W123,tongtheN,TRUE)</f>
        <v>1.8786779390721287E-47</v>
      </c>
      <c r="C123" s="39">
        <f t="shared" si="24"/>
        <v>7.4283159450001573E-45</v>
      </c>
      <c r="D123" s="39">
        <f t="shared" si="24"/>
        <v>1.4368634072039163E-42</v>
      </c>
      <c r="E123" s="39">
        <f t="shared" si="24"/>
        <v>1.8121325814041875E-40</v>
      </c>
      <c r="F123" s="39">
        <f t="shared" si="24"/>
        <v>1.6756471621308072E-38</v>
      </c>
      <c r="G123" s="39">
        <f t="shared" si="24"/>
        <v>1.2112408090829807E-36</v>
      </c>
      <c r="H123" s="39">
        <f t="shared" si="24"/>
        <v>7.126277018313866E-35</v>
      </c>
      <c r="I123" s="39">
        <f t="shared" si="24"/>
        <v>3.5083673494466897E-33</v>
      </c>
      <c r="J123" s="39">
        <f t="shared" si="24"/>
        <v>1.474668657803531E-31</v>
      </c>
      <c r="K123" s="39">
        <f t="shared" si="24"/>
        <v>5.3733151529065363E-30</v>
      </c>
      <c r="L123" s="39">
        <f t="shared" ref="L123:V132" si="25">_xlfn.HYPGEOM.DIST(L$2,comau,tongtheN*$W123,tongtheN,TRUE)</f>
        <v>1.7175326377047083E-28</v>
      </c>
      <c r="M123" s="39">
        <f t="shared" si="25"/>
        <v>4.8618008756435333E-27</v>
      </c>
      <c r="N123" s="39">
        <f t="shared" si="25"/>
        <v>1.2281757401324342E-25</v>
      </c>
      <c r="O123" s="39">
        <f t="shared" si="25"/>
        <v>2.7864154670136259E-24</v>
      </c>
      <c r="P123" s="39">
        <f t="shared" si="25"/>
        <v>5.7074334065171953E-23</v>
      </c>
      <c r="Q123" s="39">
        <f t="shared" si="25"/>
        <v>1.0601365889308664E-21</v>
      </c>
      <c r="R123" s="39">
        <f t="shared" si="25"/>
        <v>1.7923453819169622E-20</v>
      </c>
      <c r="S123" s="39">
        <f t="shared" si="25"/>
        <v>2.7668197253263713E-19</v>
      </c>
      <c r="T123" s="39">
        <f t="shared" si="25"/>
        <v>3.9100828394675534E-18</v>
      </c>
      <c r="U123" s="39">
        <f t="shared" si="25"/>
        <v>5.0699051340753419E-17</v>
      </c>
      <c r="V123" s="39">
        <f t="shared" si="25"/>
        <v>6.0426131666906524E-16</v>
      </c>
      <c r="W123" s="37">
        <v>0.88</v>
      </c>
    </row>
    <row r="124" spans="2:23" x14ac:dyDescent="0.25">
      <c r="B124" s="39">
        <f t="shared" si="24"/>
        <v>2.9394015990957312E-47</v>
      </c>
      <c r="C124" s="39">
        <f t="shared" si="24"/>
        <v>1.1501665588424752E-44</v>
      </c>
      <c r="D124" s="39">
        <f t="shared" si="24"/>
        <v>2.2016906811303234E-42</v>
      </c>
      <c r="E124" s="39">
        <f t="shared" si="24"/>
        <v>2.7479443230212207E-40</v>
      </c>
      <c r="F124" s="39">
        <f t="shared" si="24"/>
        <v>2.5146896191839435E-38</v>
      </c>
      <c r="G124" s="39">
        <f t="shared" si="24"/>
        <v>1.7989657748784297E-36</v>
      </c>
      <c r="H124" s="39">
        <f t="shared" si="24"/>
        <v>1.0474962340140259E-34</v>
      </c>
      <c r="I124" s="39">
        <f t="shared" si="24"/>
        <v>5.1038629088908745E-33</v>
      </c>
      <c r="J124" s="39">
        <f t="shared" si="24"/>
        <v>2.1232415764698565E-31</v>
      </c>
      <c r="K124" s="39">
        <f t="shared" si="24"/>
        <v>7.6571153859545045E-30</v>
      </c>
      <c r="L124" s="39">
        <f t="shared" si="25"/>
        <v>2.4224384470260983E-28</v>
      </c>
      <c r="M124" s="39">
        <f t="shared" si="25"/>
        <v>6.7869838277347609E-27</v>
      </c>
      <c r="N124" s="39">
        <f t="shared" si="25"/>
        <v>1.6969894897355154E-25</v>
      </c>
      <c r="O124" s="39">
        <f t="shared" si="25"/>
        <v>3.8107519840235232E-24</v>
      </c>
      <c r="P124" s="39">
        <f t="shared" si="25"/>
        <v>7.7260786132273967E-23</v>
      </c>
      <c r="Q124" s="39">
        <f t="shared" si="25"/>
        <v>1.4204990576868801E-21</v>
      </c>
      <c r="R124" s="39">
        <f t="shared" si="25"/>
        <v>2.377219124864864E-20</v>
      </c>
      <c r="S124" s="39">
        <f t="shared" si="25"/>
        <v>3.6324902001363847E-19</v>
      </c>
      <c r="T124" s="39">
        <f t="shared" si="25"/>
        <v>5.0815181873756494E-18</v>
      </c>
      <c r="U124" s="39">
        <f t="shared" si="25"/>
        <v>6.5222789253341211E-17</v>
      </c>
      <c r="V124" s="39">
        <f t="shared" si="25"/>
        <v>7.6952839158626912E-16</v>
      </c>
      <c r="W124" s="37">
        <v>0.879</v>
      </c>
    </row>
    <row r="125" spans="2:23" x14ac:dyDescent="0.25">
      <c r="B125" s="39">
        <f t="shared" si="24"/>
        <v>4.5807826818300567E-47</v>
      </c>
      <c r="C125" s="39">
        <f t="shared" si="24"/>
        <v>1.7739518032970902E-44</v>
      </c>
      <c r="D125" s="39">
        <f t="shared" si="24"/>
        <v>3.3608123204060083E-42</v>
      </c>
      <c r="E125" s="39">
        <f t="shared" si="24"/>
        <v>4.1515410874422018E-40</v>
      </c>
      <c r="F125" s="39">
        <f t="shared" si="24"/>
        <v>3.7601559466159389E-38</v>
      </c>
      <c r="G125" s="39">
        <f t="shared" si="24"/>
        <v>2.6623862066303738E-36</v>
      </c>
      <c r="H125" s="39">
        <f t="shared" si="24"/>
        <v>1.5343836792725526E-34</v>
      </c>
      <c r="I125" s="39">
        <f t="shared" si="24"/>
        <v>7.3998096043884112E-33</v>
      </c>
      <c r="J125" s="39">
        <f t="shared" si="24"/>
        <v>3.0469669326886078E-31</v>
      </c>
      <c r="K125" s="39">
        <f t="shared" si="24"/>
        <v>1.087644832113261E-29</v>
      </c>
      <c r="L125" s="39">
        <f t="shared" si="25"/>
        <v>3.4059250500274281E-28</v>
      </c>
      <c r="M125" s="39">
        <f t="shared" si="25"/>
        <v>9.4455335097443933E-27</v>
      </c>
      <c r="N125" s="39">
        <f t="shared" si="25"/>
        <v>2.3377774549481922E-25</v>
      </c>
      <c r="O125" s="39">
        <f t="shared" si="25"/>
        <v>5.1965619955034657E-24</v>
      </c>
      <c r="P125" s="39">
        <f t="shared" si="25"/>
        <v>1.0429251666427616E-22</v>
      </c>
      <c r="Q125" s="39">
        <f t="shared" si="25"/>
        <v>1.8981514844082341E-21</v>
      </c>
      <c r="R125" s="39">
        <f t="shared" si="25"/>
        <v>3.144578648714941E-20</v>
      </c>
      <c r="S125" s="39">
        <f t="shared" si="25"/>
        <v>4.7567312166994408E-19</v>
      </c>
      <c r="T125" s="39">
        <f t="shared" si="25"/>
        <v>6.5874347696349988E-18</v>
      </c>
      <c r="U125" s="39">
        <f t="shared" si="25"/>
        <v>8.3704512374176412E-17</v>
      </c>
      <c r="V125" s="39">
        <f t="shared" si="25"/>
        <v>9.7770768999579112E-16</v>
      </c>
      <c r="W125" s="37">
        <v>0.878</v>
      </c>
    </row>
    <row r="126" spans="2:23" x14ac:dyDescent="0.25">
      <c r="B126" s="39">
        <f t="shared" si="24"/>
        <v>6.6101390654699763E-47</v>
      </c>
      <c r="C126" s="39">
        <f t="shared" si="24"/>
        <v>2.5379929402738306E-44</v>
      </c>
      <c r="D126" s="39">
        <f t="shared" si="24"/>
        <v>4.7673377598721245E-42</v>
      </c>
      <c r="E126" s="39">
        <f t="shared" si="24"/>
        <v>5.8388789165380531E-40</v>
      </c>
      <c r="F126" s="39">
        <f t="shared" si="24"/>
        <v>5.2434830877623419E-38</v>
      </c>
      <c r="G126" s="39">
        <f t="shared" si="24"/>
        <v>3.6811574811842445E-36</v>
      </c>
      <c r="H126" s="39">
        <f t="shared" si="24"/>
        <v>2.1035464677496537E-34</v>
      </c>
      <c r="I126" s="39">
        <f t="shared" si="24"/>
        <v>1.0058865090264752E-32</v>
      </c>
      <c r="J126" s="39">
        <f t="shared" si="24"/>
        <v>4.1068800131696421E-31</v>
      </c>
      <c r="K126" s="39">
        <f t="shared" si="24"/>
        <v>1.4536263603864928E-29</v>
      </c>
      <c r="L126" s="39">
        <f t="shared" si="25"/>
        <v>4.5136493835853356E-28</v>
      </c>
      <c r="M126" s="39">
        <f t="shared" si="25"/>
        <v>1.2412291202333118E-26</v>
      </c>
      <c r="N126" s="39">
        <f t="shared" si="25"/>
        <v>3.0462609782726778E-25</v>
      </c>
      <c r="O126" s="39">
        <f t="shared" si="25"/>
        <v>6.7146650880703047E-24</v>
      </c>
      <c r="P126" s="39">
        <f t="shared" si="25"/>
        <v>1.3363234857202378E-22</v>
      </c>
      <c r="Q126" s="39">
        <f t="shared" si="25"/>
        <v>2.4118235976258154E-21</v>
      </c>
      <c r="R126" s="39">
        <f t="shared" si="25"/>
        <v>3.9622280665504306E-20</v>
      </c>
      <c r="S126" s="39">
        <f t="shared" si="25"/>
        <v>5.9436634328396511E-19</v>
      </c>
      <c r="T126" s="39">
        <f t="shared" si="25"/>
        <v>8.1627578898596409E-18</v>
      </c>
      <c r="U126" s="39">
        <f t="shared" si="25"/>
        <v>1.0286106739484717E-16</v>
      </c>
      <c r="V126" s="39">
        <f t="shared" si="25"/>
        <v>1.1915150649412762E-15</v>
      </c>
      <c r="W126" s="37">
        <v>0.877</v>
      </c>
    </row>
    <row r="127" spans="2:23" x14ac:dyDescent="0.25">
      <c r="B127" s="39">
        <f t="shared" si="24"/>
        <v>1.0228352467386721E-46</v>
      </c>
      <c r="C127" s="39">
        <f t="shared" si="24"/>
        <v>3.8873268215240558E-44</v>
      </c>
      <c r="D127" s="39">
        <f t="shared" si="24"/>
        <v>7.2278392391157862E-42</v>
      </c>
      <c r="E127" s="39">
        <f t="shared" si="24"/>
        <v>8.7627481541001574E-40</v>
      </c>
      <c r="F127" s="39">
        <f t="shared" si="24"/>
        <v>7.7896050212511688E-38</v>
      </c>
      <c r="G127" s="39">
        <f t="shared" si="24"/>
        <v>5.413412252124495E-36</v>
      </c>
      <c r="H127" s="39">
        <f t="shared" si="24"/>
        <v>3.0622202315872914E-34</v>
      </c>
      <c r="I127" s="39">
        <f t="shared" si="24"/>
        <v>1.4495640452429092E-32</v>
      </c>
      <c r="J127" s="39">
        <f t="shared" si="24"/>
        <v>5.8588328012115287E-31</v>
      </c>
      <c r="K127" s="39">
        <f t="shared" si="24"/>
        <v>2.0529063933919456E-29</v>
      </c>
      <c r="L127" s="39">
        <f t="shared" si="25"/>
        <v>6.310563010155403E-28</v>
      </c>
      <c r="M127" s="39">
        <f t="shared" si="25"/>
        <v>1.7179989854830707E-26</v>
      </c>
      <c r="N127" s="39">
        <f t="shared" si="25"/>
        <v>4.1742218120401582E-25</v>
      </c>
      <c r="O127" s="39">
        <f t="shared" si="25"/>
        <v>9.1091350104961704E-24</v>
      </c>
      <c r="P127" s="39">
        <f t="shared" si="25"/>
        <v>1.7947987295575993E-22</v>
      </c>
      <c r="Q127" s="39">
        <f t="shared" si="25"/>
        <v>3.2070681043242332E-21</v>
      </c>
      <c r="R127" s="39">
        <f t="shared" si="25"/>
        <v>5.2163636614310024E-20</v>
      </c>
      <c r="S127" s="39">
        <f t="shared" si="25"/>
        <v>7.7473961699775465E-19</v>
      </c>
      <c r="T127" s="39">
        <f t="shared" si="25"/>
        <v>1.0534628749790641E-17</v>
      </c>
      <c r="U127" s="39">
        <f t="shared" si="25"/>
        <v>1.3143829689895867E-16</v>
      </c>
      <c r="V127" s="39">
        <f t="shared" si="25"/>
        <v>1.5075338424828858E-15</v>
      </c>
      <c r="W127" s="37">
        <v>0.876</v>
      </c>
    </row>
    <row r="128" spans="2:23" x14ac:dyDescent="0.25">
      <c r="B128" s="39">
        <f t="shared" si="24"/>
        <v>1.5767360339258196E-46</v>
      </c>
      <c r="C128" s="39">
        <f t="shared" si="24"/>
        <v>5.9320469876368505E-44</v>
      </c>
      <c r="D128" s="39">
        <f t="shared" si="24"/>
        <v>1.0918638539422168E-41</v>
      </c>
      <c r="E128" s="39">
        <f t="shared" si="24"/>
        <v>1.310427775360347E-39</v>
      </c>
      <c r="F128" s="39">
        <f t="shared" si="24"/>
        <v>1.1532069604578373E-37</v>
      </c>
      <c r="G128" s="39">
        <f t="shared" si="24"/>
        <v>7.9339290166004317E-36</v>
      </c>
      <c r="H128" s="39">
        <f t="shared" si="24"/>
        <v>4.4430928410102305E-34</v>
      </c>
      <c r="I128" s="39">
        <f t="shared" si="24"/>
        <v>2.0822100518118959E-32</v>
      </c>
      <c r="J128" s="39">
        <f t="shared" si="24"/>
        <v>8.3318769995554416E-31</v>
      </c>
      <c r="K128" s="39">
        <f t="shared" si="24"/>
        <v>2.8903604907967578E-29</v>
      </c>
      <c r="L128" s="39">
        <f t="shared" si="25"/>
        <v>8.7964746529423392E-28</v>
      </c>
      <c r="M128" s="39">
        <f t="shared" si="25"/>
        <v>2.3709793289469088E-26</v>
      </c>
      <c r="N128" s="39">
        <f t="shared" si="25"/>
        <v>5.7036309461972706E-25</v>
      </c>
      <c r="O128" s="39">
        <f t="shared" si="25"/>
        <v>1.2323409073220118E-23</v>
      </c>
      <c r="P128" s="39">
        <f t="shared" si="25"/>
        <v>2.4041093640140753E-22</v>
      </c>
      <c r="Q128" s="39">
        <f t="shared" si="25"/>
        <v>4.2534214609499629E-21</v>
      </c>
      <c r="R128" s="39">
        <f t="shared" si="25"/>
        <v>6.8501018996435915E-20</v>
      </c>
      <c r="S128" s="39">
        <f t="shared" si="25"/>
        <v>1.0073750678652827E-18</v>
      </c>
      <c r="T128" s="39">
        <f t="shared" si="25"/>
        <v>1.3563396032007338E-17</v>
      </c>
      <c r="U128" s="39">
        <f t="shared" si="25"/>
        <v>1.675685959583254E-16</v>
      </c>
      <c r="V128" s="39">
        <f t="shared" si="25"/>
        <v>1.9031247361409843E-15</v>
      </c>
      <c r="W128" s="37">
        <v>0.875</v>
      </c>
    </row>
    <row r="129" spans="2:23" x14ac:dyDescent="0.25">
      <c r="B129" s="39">
        <f t="shared" si="24"/>
        <v>2.4215794407816821E-46</v>
      </c>
      <c r="C129" s="39">
        <f t="shared" si="24"/>
        <v>9.0194190711166802E-44</v>
      </c>
      <c r="D129" s="39">
        <f t="shared" si="24"/>
        <v>1.6435498619089462E-41</v>
      </c>
      <c r="E129" s="39">
        <f t="shared" si="24"/>
        <v>1.9528733291340112E-39</v>
      </c>
      <c r="F129" s="39">
        <f t="shared" si="24"/>
        <v>1.7014572128220569E-37</v>
      </c>
      <c r="G129" s="39">
        <f t="shared" si="24"/>
        <v>1.1589404305563668E-35</v>
      </c>
      <c r="H129" s="39">
        <f t="shared" si="24"/>
        <v>6.4257449796701971E-34</v>
      </c>
      <c r="I129" s="39">
        <f t="shared" si="24"/>
        <v>2.9814960519954334E-32</v>
      </c>
      <c r="J129" s="39">
        <f t="shared" si="24"/>
        <v>1.1812192256104246E-30</v>
      </c>
      <c r="K129" s="39">
        <f t="shared" si="24"/>
        <v>4.057177738302499E-29</v>
      </c>
      <c r="L129" s="39">
        <f t="shared" si="25"/>
        <v>1.2225637399790478E-27</v>
      </c>
      <c r="M129" s="39">
        <f t="shared" si="25"/>
        <v>3.2627815304303288E-26</v>
      </c>
      <c r="N129" s="39">
        <f t="shared" si="25"/>
        <v>7.7716929814530879E-25</v>
      </c>
      <c r="O129" s="39">
        <f t="shared" si="25"/>
        <v>1.6626689493072104E-23</v>
      </c>
      <c r="P129" s="39">
        <f t="shared" si="25"/>
        <v>3.2117864421650721E-22</v>
      </c>
      <c r="Q129" s="39">
        <f t="shared" si="25"/>
        <v>5.6267201537280555E-21</v>
      </c>
      <c r="R129" s="39">
        <f t="shared" si="25"/>
        <v>8.9731611128370418E-20</v>
      </c>
      <c r="S129" s="39">
        <f t="shared" si="25"/>
        <v>1.3067075695827769E-18</v>
      </c>
      <c r="T129" s="39">
        <f t="shared" si="25"/>
        <v>1.7422154194487629E-17</v>
      </c>
      <c r="U129" s="39">
        <f t="shared" si="25"/>
        <v>2.1314732445557875E-16</v>
      </c>
      <c r="V129" s="39">
        <f t="shared" si="25"/>
        <v>2.3972661218354304E-15</v>
      </c>
      <c r="W129" s="37">
        <v>0.874</v>
      </c>
    </row>
    <row r="130" spans="2:23" x14ac:dyDescent="0.25">
      <c r="B130" s="39">
        <f t="shared" si="24"/>
        <v>3.7055472048910971E-46</v>
      </c>
      <c r="C130" s="39">
        <f t="shared" si="24"/>
        <v>1.366469289003639E-43</v>
      </c>
      <c r="D130" s="39">
        <f t="shared" si="24"/>
        <v>2.4653462946502068E-41</v>
      </c>
      <c r="E130" s="39">
        <f t="shared" si="24"/>
        <v>2.9003401743754943E-39</v>
      </c>
      <c r="F130" s="39">
        <f t="shared" si="24"/>
        <v>2.5019683977337586E-37</v>
      </c>
      <c r="G130" s="39">
        <f t="shared" si="24"/>
        <v>1.6873841363108474E-35</v>
      </c>
      <c r="H130" s="39">
        <f t="shared" si="24"/>
        <v>9.263488490657431E-34</v>
      </c>
      <c r="I130" s="39">
        <f t="shared" si="24"/>
        <v>4.255883833209884E-32</v>
      </c>
      <c r="J130" s="39">
        <f t="shared" si="24"/>
        <v>1.6695396574346017E-30</v>
      </c>
      <c r="K130" s="39">
        <f t="shared" si="24"/>
        <v>5.6781555630906047E-29</v>
      </c>
      <c r="L130" s="39">
        <f t="shared" si="25"/>
        <v>1.6942525964634731E-27</v>
      </c>
      <c r="M130" s="39">
        <f t="shared" si="25"/>
        <v>4.477385488108723E-26</v>
      </c>
      <c r="N130" s="39">
        <f t="shared" si="25"/>
        <v>1.0560597703827145E-24</v>
      </c>
      <c r="O130" s="39">
        <f t="shared" si="25"/>
        <v>2.2372867062193056E-23</v>
      </c>
      <c r="P130" s="39">
        <f t="shared" si="25"/>
        <v>4.2796892595144101E-22</v>
      </c>
      <c r="Q130" s="39">
        <f t="shared" si="25"/>
        <v>7.4246752667446359E-21</v>
      </c>
      <c r="R130" s="39">
        <f t="shared" si="25"/>
        <v>1.1725494754765008E-19</v>
      </c>
      <c r="S130" s="39">
        <f t="shared" si="25"/>
        <v>1.6909658489440416E-18</v>
      </c>
      <c r="T130" s="39">
        <f t="shared" si="25"/>
        <v>2.232730704143517E-17</v>
      </c>
      <c r="U130" s="39">
        <f t="shared" si="25"/>
        <v>2.7052038761833366E-16</v>
      </c>
      <c r="V130" s="39">
        <f t="shared" si="25"/>
        <v>3.0132127998085287E-15</v>
      </c>
      <c r="W130" s="37">
        <v>0.873</v>
      </c>
    </row>
    <row r="131" spans="2:23" x14ac:dyDescent="0.25">
      <c r="B131" s="39">
        <f t="shared" si="24"/>
        <v>5.2677050380237812E-46</v>
      </c>
      <c r="C131" s="39">
        <f t="shared" si="24"/>
        <v>1.9265656383548871E-43</v>
      </c>
      <c r="D131" s="39">
        <f t="shared" si="24"/>
        <v>3.4473206102311206E-41</v>
      </c>
      <c r="E131" s="39">
        <f t="shared" si="24"/>
        <v>4.0223280456114247E-39</v>
      </c>
      <c r="F131" s="39">
        <f t="shared" si="24"/>
        <v>3.4414398930506574E-37</v>
      </c>
      <c r="G131" s="39">
        <f t="shared" si="24"/>
        <v>2.3020099317116893E-35</v>
      </c>
      <c r="H131" s="39">
        <f t="shared" si="24"/>
        <v>1.253452070148644E-33</v>
      </c>
      <c r="I131" s="39">
        <f t="shared" si="24"/>
        <v>5.7117339781816842E-32</v>
      </c>
      <c r="J131" s="39">
        <f t="shared" si="24"/>
        <v>2.2224148710801624E-30</v>
      </c>
      <c r="K131" s="39">
        <f t="shared" si="24"/>
        <v>7.4970612943184118E-29</v>
      </c>
      <c r="L131" s="39">
        <f t="shared" si="25"/>
        <v>2.2188224895675148E-27</v>
      </c>
      <c r="M131" s="39">
        <f t="shared" si="25"/>
        <v>5.8161395064142103E-26</v>
      </c>
      <c r="N131" s="39">
        <f t="shared" si="25"/>
        <v>1.3607242589924787E-24</v>
      </c>
      <c r="O131" s="39">
        <f t="shared" si="25"/>
        <v>2.8594336416349526E-23</v>
      </c>
      <c r="P131" s="39">
        <f t="shared" si="25"/>
        <v>5.4256641787328761E-22</v>
      </c>
      <c r="Q131" s="39">
        <f t="shared" si="25"/>
        <v>9.3369723544723358E-21</v>
      </c>
      <c r="R131" s="39">
        <f t="shared" si="25"/>
        <v>1.4626940179254324E-19</v>
      </c>
      <c r="S131" s="39">
        <f t="shared" si="25"/>
        <v>2.0924579733804295E-18</v>
      </c>
      <c r="T131" s="39">
        <f t="shared" si="25"/>
        <v>2.7407152049377333E-17</v>
      </c>
      <c r="U131" s="39">
        <f t="shared" si="25"/>
        <v>3.2941203657576084E-16</v>
      </c>
      <c r="V131" s="39">
        <f t="shared" si="25"/>
        <v>3.6398846468533982E-15</v>
      </c>
      <c r="W131" s="37">
        <v>0.872</v>
      </c>
    </row>
    <row r="132" spans="2:23" x14ac:dyDescent="0.25">
      <c r="B132" s="39">
        <f t="shared" si="24"/>
        <v>8.0082258008414199E-46</v>
      </c>
      <c r="C132" s="39">
        <f t="shared" si="24"/>
        <v>2.90018761574501E-43</v>
      </c>
      <c r="D132" s="39">
        <f t="shared" si="24"/>
        <v>5.1387473470508153E-41</v>
      </c>
      <c r="E132" s="39">
        <f t="shared" si="24"/>
        <v>5.9373450684073149E-39</v>
      </c>
      <c r="F132" s="39">
        <f t="shared" si="24"/>
        <v>5.0303724296541204E-37</v>
      </c>
      <c r="G132" s="39">
        <f t="shared" si="24"/>
        <v>3.3321017798377688E-35</v>
      </c>
      <c r="H132" s="39">
        <f t="shared" si="24"/>
        <v>1.7967014372847252E-33</v>
      </c>
      <c r="I132" s="39">
        <f t="shared" si="24"/>
        <v>8.1077307637693498E-32</v>
      </c>
      <c r="J132" s="39">
        <f t="shared" si="24"/>
        <v>3.1241058318460105E-30</v>
      </c>
      <c r="K132" s="39">
        <f t="shared" si="24"/>
        <v>1.0436793014983886E-28</v>
      </c>
      <c r="L132" s="39">
        <f t="shared" si="25"/>
        <v>3.0590049969049812E-27</v>
      </c>
      <c r="M132" s="39">
        <f t="shared" si="25"/>
        <v>7.9410941576882635E-26</v>
      </c>
      <c r="N132" s="39">
        <f t="shared" si="25"/>
        <v>1.8399665556981449E-24</v>
      </c>
      <c r="O132" s="39">
        <f t="shared" si="25"/>
        <v>3.8293102840077157E-23</v>
      </c>
      <c r="P132" s="39">
        <f t="shared" si="25"/>
        <v>7.1961590095425902E-22</v>
      </c>
      <c r="Q132" s="39">
        <f t="shared" si="25"/>
        <v>1.2265010295401614E-20</v>
      </c>
      <c r="R132" s="39">
        <f t="shared" si="25"/>
        <v>1.9029885387351016E-19</v>
      </c>
      <c r="S132" s="39">
        <f t="shared" si="25"/>
        <v>2.6962942217071244E-18</v>
      </c>
      <c r="T132" s="39">
        <f t="shared" si="25"/>
        <v>3.497916947404461E-17</v>
      </c>
      <c r="U132" s="39">
        <f t="shared" si="25"/>
        <v>4.1641610343655438E-16</v>
      </c>
      <c r="V132" s="39">
        <f t="shared" si="25"/>
        <v>4.5574909850291662E-15</v>
      </c>
      <c r="W132" s="37">
        <v>0.871</v>
      </c>
    </row>
    <row r="133" spans="2:23" x14ac:dyDescent="0.25">
      <c r="B133" s="39">
        <f t="shared" ref="B133:K142" si="26">_xlfn.HYPGEOM.DIST(B$2,comau,tongtheN*$W133,tongtheN,TRUE)</f>
        <v>1.2132190761867262E-45</v>
      </c>
      <c r="C133" s="39">
        <f t="shared" si="26"/>
        <v>4.3509912834866616E-43</v>
      </c>
      <c r="D133" s="39">
        <f t="shared" si="26"/>
        <v>7.6345664011514676E-41</v>
      </c>
      <c r="E133" s="39">
        <f t="shared" si="26"/>
        <v>8.7355491051365718E-39</v>
      </c>
      <c r="F133" s="39">
        <f t="shared" si="26"/>
        <v>7.3295061190465541E-37</v>
      </c>
      <c r="G133" s="39">
        <f t="shared" si="26"/>
        <v>4.8081206887869186E-35</v>
      </c>
      <c r="H133" s="39">
        <f t="shared" si="26"/>
        <v>2.5675650845752564E-33</v>
      </c>
      <c r="I133" s="39">
        <f t="shared" si="26"/>
        <v>1.1474645201449478E-31</v>
      </c>
      <c r="J133" s="39">
        <f t="shared" si="26"/>
        <v>4.3789107413680517E-30</v>
      </c>
      <c r="K133" s="39">
        <f t="shared" si="26"/>
        <v>1.4488182096941588E-28</v>
      </c>
      <c r="L133" s="39">
        <f t="shared" ref="L133:V142" si="27">_xlfn.HYPGEOM.DIST(L$2,comau,tongtheN*$W133,tongtheN,TRUE)</f>
        <v>4.2057127636943512E-27</v>
      </c>
      <c r="M133" s="39">
        <f t="shared" si="27"/>
        <v>1.0813307774206096E-25</v>
      </c>
      <c r="N133" s="39">
        <f t="shared" si="27"/>
        <v>2.4814939944653975E-24</v>
      </c>
      <c r="O133" s="39">
        <f t="shared" si="27"/>
        <v>5.1151140084345639E-23</v>
      </c>
      <c r="P133" s="39">
        <f t="shared" si="27"/>
        <v>9.5208004199843328E-22</v>
      </c>
      <c r="Q133" s="39">
        <f t="shared" si="27"/>
        <v>1.6072565109088119E-20</v>
      </c>
      <c r="R133" s="39">
        <f t="shared" si="27"/>
        <v>2.4700444969038088E-19</v>
      </c>
      <c r="S133" s="39">
        <f t="shared" si="27"/>
        <v>3.4665234430998994E-18</v>
      </c>
      <c r="T133" s="39">
        <f t="shared" si="27"/>
        <v>4.4545284007338867E-17</v>
      </c>
      <c r="U133" s="39">
        <f t="shared" si="27"/>
        <v>5.2528195108339728E-16</v>
      </c>
      <c r="V133" s="39">
        <f t="shared" si="27"/>
        <v>5.6947034242355885E-15</v>
      </c>
      <c r="W133" s="37">
        <v>0.87</v>
      </c>
    </row>
    <row r="134" spans="2:23" x14ac:dyDescent="0.25">
      <c r="B134" s="39">
        <f t="shared" si="26"/>
        <v>1.8317033717968679E-45</v>
      </c>
      <c r="C134" s="39">
        <f t="shared" si="26"/>
        <v>6.5057077592897963E-43</v>
      </c>
      <c r="D134" s="39">
        <f t="shared" si="26"/>
        <v>1.1305423622677466E-40</v>
      </c>
      <c r="E134" s="39">
        <f t="shared" si="26"/>
        <v>1.2811339127553893E-38</v>
      </c>
      <c r="F134" s="39">
        <f t="shared" si="26"/>
        <v>1.064600439976633E-36</v>
      </c>
      <c r="G134" s="39">
        <f t="shared" si="26"/>
        <v>6.9167279030648762E-35</v>
      </c>
      <c r="H134" s="39">
        <f t="shared" si="26"/>
        <v>3.6581880057420106E-33</v>
      </c>
      <c r="I134" s="39">
        <f t="shared" si="26"/>
        <v>1.6192314366602253E-31</v>
      </c>
      <c r="J134" s="39">
        <f t="shared" si="26"/>
        <v>6.1202163614625006E-30</v>
      </c>
      <c r="K134" s="39">
        <f t="shared" si="26"/>
        <v>2.0056335167416935E-28</v>
      </c>
      <c r="L134" s="39">
        <f t="shared" si="27"/>
        <v>5.7666067274503343E-27</v>
      </c>
      <c r="M134" s="39">
        <f t="shared" si="27"/>
        <v>1.468549028711245E-25</v>
      </c>
      <c r="N134" s="39">
        <f t="shared" si="27"/>
        <v>3.3380933449982938E-24</v>
      </c>
      <c r="O134" s="39">
        <f t="shared" si="27"/>
        <v>6.8155707099246641E-23</v>
      </c>
      <c r="P134" s="39">
        <f t="shared" si="27"/>
        <v>1.256575080709509E-21</v>
      </c>
      <c r="Q134" s="39">
        <f t="shared" si="27"/>
        <v>2.1012357666483778E-20</v>
      </c>
      <c r="R134" s="39">
        <f t="shared" si="27"/>
        <v>3.1987158427459987E-19</v>
      </c>
      <c r="S134" s="39">
        <f t="shared" si="27"/>
        <v>4.4468570869791794E-18</v>
      </c>
      <c r="T134" s="39">
        <f t="shared" si="27"/>
        <v>5.6605151535410561E-17</v>
      </c>
      <c r="U134" s="39">
        <f t="shared" si="27"/>
        <v>6.6122485807083547E-16</v>
      </c>
      <c r="V134" s="39">
        <f t="shared" si="27"/>
        <v>7.1012991826619707E-15</v>
      </c>
      <c r="W134" s="37">
        <v>0.86899999999999999</v>
      </c>
    </row>
    <row r="135" spans="2:23" x14ac:dyDescent="0.25">
      <c r="B135" s="39">
        <f t="shared" si="26"/>
        <v>2.5753330352765348E-45</v>
      </c>
      <c r="C135" s="39">
        <f t="shared" si="26"/>
        <v>9.0737808412295429E-43</v>
      </c>
      <c r="D135" s="39">
        <f t="shared" si="26"/>
        <v>1.56423047569454E-40</v>
      </c>
      <c r="E135" s="39">
        <f t="shared" si="26"/>
        <v>1.7584632864850114E-38</v>
      </c>
      <c r="F135" s="39">
        <f t="shared" si="26"/>
        <v>1.4496228521169519E-36</v>
      </c>
      <c r="G135" s="39">
        <f t="shared" si="26"/>
        <v>9.3433677787842147E-35</v>
      </c>
      <c r="H135" s="39">
        <f t="shared" si="26"/>
        <v>4.9023908594693436E-33</v>
      </c>
      <c r="I135" s="39">
        <f t="shared" si="26"/>
        <v>2.152756096461689E-31</v>
      </c>
      <c r="J135" s="39">
        <f t="shared" si="26"/>
        <v>8.0723788512159657E-30</v>
      </c>
      <c r="K135" s="39">
        <f t="shared" si="26"/>
        <v>2.624460962970403E-28</v>
      </c>
      <c r="L135" s="39">
        <f t="shared" si="27"/>
        <v>7.4863068649380351E-27</v>
      </c>
      <c r="M135" s="39">
        <f t="shared" si="27"/>
        <v>1.8914703120553336E-25</v>
      </c>
      <c r="N135" s="39">
        <f t="shared" si="27"/>
        <v>4.2655835342509302E-24</v>
      </c>
      <c r="O135" s="39">
        <f t="shared" si="27"/>
        <v>8.6408464356027951E-23</v>
      </c>
      <c r="P135" s="39">
        <f t="shared" si="27"/>
        <v>1.5805996058461406E-21</v>
      </c>
      <c r="Q135" s="39">
        <f t="shared" si="27"/>
        <v>2.6223639622025575E-20</v>
      </c>
      <c r="R135" s="39">
        <f t="shared" si="27"/>
        <v>3.9608109543568568E-19</v>
      </c>
      <c r="S135" s="39">
        <f t="shared" si="27"/>
        <v>5.4633314584653263E-18</v>
      </c>
      <c r="T135" s="39">
        <f t="shared" si="27"/>
        <v>6.9002063376782052E-17</v>
      </c>
      <c r="U135" s="39">
        <f t="shared" si="27"/>
        <v>7.9976619572068328E-16</v>
      </c>
      <c r="V135" s="39">
        <f t="shared" si="27"/>
        <v>8.5224735489124298E-15</v>
      </c>
      <c r="W135" s="37">
        <v>0.86799999999999999</v>
      </c>
    </row>
    <row r="136" spans="2:23" x14ac:dyDescent="0.25">
      <c r="B136" s="39">
        <f t="shared" si="26"/>
        <v>3.8644338748273491E-45</v>
      </c>
      <c r="C136" s="39">
        <f t="shared" si="26"/>
        <v>1.3486120712363864E-42</v>
      </c>
      <c r="D136" s="39">
        <f t="shared" si="26"/>
        <v>2.3027740248615939E-40</v>
      </c>
      <c r="E136" s="39">
        <f t="shared" si="26"/>
        <v>2.5641373138542232E-38</v>
      </c>
      <c r="F136" s="39">
        <f t="shared" si="26"/>
        <v>2.0937556480954572E-36</v>
      </c>
      <c r="G136" s="39">
        <f t="shared" si="26"/>
        <v>1.3367280009229345E-34</v>
      </c>
      <c r="H136" s="39">
        <f t="shared" si="26"/>
        <v>6.9473926119745E-33</v>
      </c>
      <c r="I136" s="39">
        <f t="shared" si="26"/>
        <v>3.0219603617325409E-31</v>
      </c>
      <c r="J136" s="39">
        <f t="shared" si="26"/>
        <v>1.1224868699784303E-29</v>
      </c>
      <c r="K136" s="39">
        <f t="shared" si="26"/>
        <v>3.615026441187771E-28</v>
      </c>
      <c r="L136" s="39">
        <f t="shared" si="27"/>
        <v>1.0214956192315107E-26</v>
      </c>
      <c r="M136" s="39">
        <f t="shared" si="27"/>
        <v>2.5566537000278502E-25</v>
      </c>
      <c r="N136" s="39">
        <f t="shared" si="27"/>
        <v>5.7116341362464686E-24</v>
      </c>
      <c r="O136" s="39">
        <f t="shared" si="27"/>
        <v>1.1461828992018345E-22</v>
      </c>
      <c r="P136" s="39">
        <f t="shared" si="27"/>
        <v>2.0770238576165092E-21</v>
      </c>
      <c r="Q136" s="39">
        <f t="shared" si="27"/>
        <v>3.4138226952144362E-20</v>
      </c>
      <c r="R136" s="39">
        <f t="shared" si="27"/>
        <v>5.1081898953678004E-19</v>
      </c>
      <c r="S136" s="39">
        <f t="shared" si="27"/>
        <v>6.9804290125179314E-18</v>
      </c>
      <c r="T136" s="39">
        <f t="shared" si="27"/>
        <v>8.7344428345604283E-17</v>
      </c>
      <c r="U136" s="39">
        <f t="shared" si="27"/>
        <v>1.0029791026692467E-15</v>
      </c>
      <c r="V136" s="39">
        <f t="shared" si="27"/>
        <v>1.0589065376229407E-14</v>
      </c>
      <c r="W136" s="37">
        <v>0.86699999999999999</v>
      </c>
    </row>
    <row r="137" spans="2:23" x14ac:dyDescent="0.25">
      <c r="B137" s="39">
        <f t="shared" si="26"/>
        <v>5.7798790048792295E-45</v>
      </c>
      <c r="C137" s="39">
        <f t="shared" si="26"/>
        <v>1.9980019862805603E-42</v>
      </c>
      <c r="D137" s="39">
        <f t="shared" si="26"/>
        <v>3.3794160712419806E-40</v>
      </c>
      <c r="E137" s="39">
        <f t="shared" si="26"/>
        <v>3.7275079811709899E-38</v>
      </c>
      <c r="F137" s="39">
        <f t="shared" si="26"/>
        <v>3.0150587566102875E-36</v>
      </c>
      <c r="G137" s="39">
        <f t="shared" si="26"/>
        <v>1.9068251233489243E-34</v>
      </c>
      <c r="H137" s="39">
        <f t="shared" si="26"/>
        <v>9.8173278162577916E-33</v>
      </c>
      <c r="I137" s="39">
        <f t="shared" si="26"/>
        <v>4.2302836127270994E-31</v>
      </c>
      <c r="J137" s="39">
        <f t="shared" si="26"/>
        <v>1.5565997410882617E-29</v>
      </c>
      <c r="K137" s="39">
        <f t="shared" si="26"/>
        <v>4.9662419724644189E-28</v>
      </c>
      <c r="L137" s="39">
        <f t="shared" si="27"/>
        <v>1.3902068946879482E-26</v>
      </c>
      <c r="M137" s="39">
        <f t="shared" si="27"/>
        <v>3.4470474567673812E-25</v>
      </c>
      <c r="N137" s="39">
        <f t="shared" si="27"/>
        <v>7.6291147087690986E-24</v>
      </c>
      <c r="O137" s="39">
        <f t="shared" si="27"/>
        <v>1.5167436281045999E-22</v>
      </c>
      <c r="P137" s="39">
        <f t="shared" si="27"/>
        <v>2.7230174590363058E-21</v>
      </c>
      <c r="Q137" s="39">
        <f t="shared" si="27"/>
        <v>4.4341146206731021E-20</v>
      </c>
      <c r="R137" s="39">
        <f t="shared" si="27"/>
        <v>6.573497137556543E-19</v>
      </c>
      <c r="S137" s="39">
        <f t="shared" si="27"/>
        <v>8.8998297774202426E-18</v>
      </c>
      <c r="T137" s="39">
        <f t="shared" si="27"/>
        <v>1.1033461479841439E-16</v>
      </c>
      <c r="U137" s="39">
        <f t="shared" si="27"/>
        <v>1.2553144664866554E-15</v>
      </c>
      <c r="V137" s="39">
        <f t="shared" si="27"/>
        <v>1.3131359856823937E-14</v>
      </c>
      <c r="W137" s="37">
        <v>0.86599999999999999</v>
      </c>
    </row>
    <row r="138" spans="2:23" x14ac:dyDescent="0.25">
      <c r="B138" s="39">
        <f t="shared" si="26"/>
        <v>8.6169722234440434E-45</v>
      </c>
      <c r="C138" s="39">
        <f t="shared" si="26"/>
        <v>2.9507818033103587E-42</v>
      </c>
      <c r="D138" s="39">
        <f t="shared" si="26"/>
        <v>4.944170789228186E-40</v>
      </c>
      <c r="E138" s="39">
        <f t="shared" si="26"/>
        <v>5.4023959342234081E-38</v>
      </c>
      <c r="F138" s="39">
        <f t="shared" si="26"/>
        <v>4.3289749958781955E-36</v>
      </c>
      <c r="G138" s="39">
        <f t="shared" si="26"/>
        <v>2.7122337041749514E-34</v>
      </c>
      <c r="H138" s="39">
        <f t="shared" si="26"/>
        <v>1.3833816117352921E-32</v>
      </c>
      <c r="I138" s="39">
        <f t="shared" si="26"/>
        <v>5.9054937679817191E-31</v>
      </c>
      <c r="J138" s="39">
        <f t="shared" si="26"/>
        <v>2.1528180419195418E-29</v>
      </c>
      <c r="K138" s="39">
        <f t="shared" si="26"/>
        <v>6.8046777200552812E-28</v>
      </c>
      <c r="L138" s="39">
        <f t="shared" si="27"/>
        <v>1.8871837151853336E-26</v>
      </c>
      <c r="M138" s="39">
        <f t="shared" si="27"/>
        <v>4.6359941781398925E-25</v>
      </c>
      <c r="N138" s="39">
        <f t="shared" si="27"/>
        <v>1.0165682690679895E-23</v>
      </c>
      <c r="O138" s="39">
        <f t="shared" si="27"/>
        <v>2.0023840551947816E-22</v>
      </c>
      <c r="P138" s="39">
        <f t="shared" si="27"/>
        <v>3.5617591113910738E-21</v>
      </c>
      <c r="Q138" s="39">
        <f t="shared" si="27"/>
        <v>5.7465370172320518E-20</v>
      </c>
      <c r="R138" s="39">
        <f t="shared" si="27"/>
        <v>8.4408727823007819E-19</v>
      </c>
      <c r="S138" s="39">
        <f t="shared" si="27"/>
        <v>1.1323240793348201E-17</v>
      </c>
      <c r="T138" s="39">
        <f t="shared" si="27"/>
        <v>1.3909316076081163E-16</v>
      </c>
      <c r="U138" s="39">
        <f t="shared" si="27"/>
        <v>1.5680449029018501E-15</v>
      </c>
      <c r="V138" s="39">
        <f t="shared" si="27"/>
        <v>1.625305190528155E-14</v>
      </c>
      <c r="W138" s="37">
        <v>0.86499999999999999</v>
      </c>
    </row>
    <row r="139" spans="2:23" x14ac:dyDescent="0.25">
      <c r="B139" s="39">
        <f t="shared" si="26"/>
        <v>1.1990396777343418E-44</v>
      </c>
      <c r="C139" s="39">
        <f t="shared" si="26"/>
        <v>4.0740431825713116E-42</v>
      </c>
      <c r="D139" s="39">
        <f t="shared" si="26"/>
        <v>6.7732341832041764E-40</v>
      </c>
      <c r="E139" s="39">
        <f t="shared" si="26"/>
        <v>7.3435757924398921E-38</v>
      </c>
      <c r="F139" s="39">
        <f t="shared" si="26"/>
        <v>5.8388762190447007E-36</v>
      </c>
      <c r="G139" s="39">
        <f t="shared" si="26"/>
        <v>3.6299347968009997E-34</v>
      </c>
      <c r="H139" s="39">
        <f t="shared" si="26"/>
        <v>1.8371549076491916E-32</v>
      </c>
      <c r="I139" s="39">
        <f t="shared" si="26"/>
        <v>7.7820969129662616E-31</v>
      </c>
      <c r="J139" s="39">
        <f t="shared" si="26"/>
        <v>2.8150687537356525E-29</v>
      </c>
      <c r="K139" s="39">
        <f t="shared" si="26"/>
        <v>8.8294810248061107E-28</v>
      </c>
      <c r="L139" s="39">
        <f t="shared" si="27"/>
        <v>2.4299227126271207E-26</v>
      </c>
      <c r="M139" s="39">
        <f t="shared" si="27"/>
        <v>5.9234758221224644E-25</v>
      </c>
      <c r="N139" s="39">
        <f t="shared" si="27"/>
        <v>1.288933806260372E-23</v>
      </c>
      <c r="O139" s="39">
        <f t="shared" si="27"/>
        <v>2.5194556819855784E-22</v>
      </c>
      <c r="P139" s="39">
        <f t="shared" si="27"/>
        <v>4.4472773976633522E-21</v>
      </c>
      <c r="Q139" s="39">
        <f t="shared" si="27"/>
        <v>7.1205145056266029E-20</v>
      </c>
      <c r="R139" s="39">
        <f t="shared" si="27"/>
        <v>1.0379425160873937E-18</v>
      </c>
      <c r="S139" s="39">
        <f t="shared" si="27"/>
        <v>1.3817927362421682E-17</v>
      </c>
      <c r="T139" s="39">
        <f t="shared" si="27"/>
        <v>1.6844951262747595E-16</v>
      </c>
      <c r="U139" s="39">
        <f t="shared" si="27"/>
        <v>1.8846039569363281E-15</v>
      </c>
      <c r="V139" s="39">
        <f t="shared" si="27"/>
        <v>1.938653420525859E-14</v>
      </c>
      <c r="W139" s="37">
        <v>0.86399999999999999</v>
      </c>
    </row>
    <row r="140" spans="2:23" x14ac:dyDescent="0.25">
      <c r="B140" s="39">
        <f t="shared" si="26"/>
        <v>1.7773200515859419E-44</v>
      </c>
      <c r="C140" s="39">
        <f t="shared" si="26"/>
        <v>5.9829485963245955E-42</v>
      </c>
      <c r="D140" s="39">
        <f t="shared" si="26"/>
        <v>9.8548163115998803E-40</v>
      </c>
      <c r="E140" s="39">
        <f t="shared" si="26"/>
        <v>1.0585907408782833E-37</v>
      </c>
      <c r="F140" s="39">
        <f t="shared" si="26"/>
        <v>8.339176117366999E-36</v>
      </c>
      <c r="G140" s="39">
        <f t="shared" si="26"/>
        <v>5.1365486536151532E-34</v>
      </c>
      <c r="H140" s="39">
        <f t="shared" si="26"/>
        <v>2.5757424904110063E-32</v>
      </c>
      <c r="I140" s="39">
        <f t="shared" si="26"/>
        <v>1.0810425999490732E-30</v>
      </c>
      <c r="J140" s="39">
        <f t="shared" si="26"/>
        <v>3.8746293764935623E-29</v>
      </c>
      <c r="K140" s="39">
        <f t="shared" si="26"/>
        <v>1.2041396724896922E-27</v>
      </c>
      <c r="L140" s="39">
        <f t="shared" si="27"/>
        <v>3.2835246757837226E-26</v>
      </c>
      <c r="M140" s="39">
        <f t="shared" si="27"/>
        <v>7.9311519142150343E-25</v>
      </c>
      <c r="N140" s="39">
        <f t="shared" si="27"/>
        <v>1.7100462847590069E-23</v>
      </c>
      <c r="O140" s="39">
        <f t="shared" si="27"/>
        <v>3.3121306318025932E-22</v>
      </c>
      <c r="P140" s="39">
        <f t="shared" si="27"/>
        <v>5.7932788626558392E-21</v>
      </c>
      <c r="Q140" s="39">
        <f t="shared" si="27"/>
        <v>9.1913055388427771E-20</v>
      </c>
      <c r="R140" s="39">
        <f t="shared" si="27"/>
        <v>1.3276421404327087E-18</v>
      </c>
      <c r="S140" s="39">
        <f t="shared" si="27"/>
        <v>1.7514550472399693E-17</v>
      </c>
      <c r="T140" s="39">
        <f t="shared" si="27"/>
        <v>2.1158305324662282E-16</v>
      </c>
      <c r="U140" s="39">
        <f t="shared" si="27"/>
        <v>2.3458117469550662E-15</v>
      </c>
      <c r="V140" s="39">
        <f t="shared" si="27"/>
        <v>2.3913456384921008E-14</v>
      </c>
      <c r="W140" s="37">
        <v>0.86299999999999999</v>
      </c>
    </row>
    <row r="141" spans="2:23" x14ac:dyDescent="0.25">
      <c r="B141" s="39">
        <f t="shared" si="26"/>
        <v>2.6264082204589644E-44</v>
      </c>
      <c r="C141" s="39">
        <f t="shared" si="26"/>
        <v>8.7598625020439911E-42</v>
      </c>
      <c r="D141" s="39">
        <f t="shared" si="26"/>
        <v>1.4296217503467726E-39</v>
      </c>
      <c r="E141" s="39">
        <f t="shared" si="26"/>
        <v>1.5215859659759793E-37</v>
      </c>
      <c r="F141" s="39">
        <f t="shared" si="26"/>
        <v>1.1876611905091431E-35</v>
      </c>
      <c r="G141" s="39">
        <f t="shared" si="26"/>
        <v>7.24848267371048E-34</v>
      </c>
      <c r="H141" s="39">
        <f t="shared" si="26"/>
        <v>3.6015523062027179E-32</v>
      </c>
      <c r="I141" s="39">
        <f t="shared" si="26"/>
        <v>1.4977765639589585E-30</v>
      </c>
      <c r="J141" s="39">
        <f t="shared" si="26"/>
        <v>5.3193275656674007E-29</v>
      </c>
      <c r="K141" s="39">
        <f t="shared" si="26"/>
        <v>1.6380654421017224E-27</v>
      </c>
      <c r="L141" s="39">
        <f t="shared" si="27"/>
        <v>4.4261692956578547E-26</v>
      </c>
      <c r="M141" s="39">
        <f t="shared" si="27"/>
        <v>1.059407340689388E-24</v>
      </c>
      <c r="N141" s="39">
        <f t="shared" si="27"/>
        <v>2.2634935271279957E-23</v>
      </c>
      <c r="O141" s="39">
        <f t="shared" si="27"/>
        <v>4.344395389109132E-22</v>
      </c>
      <c r="P141" s="39">
        <f t="shared" si="27"/>
        <v>7.5301347464551871E-21</v>
      </c>
      <c r="Q141" s="39">
        <f t="shared" si="27"/>
        <v>1.1839081508760936E-19</v>
      </c>
      <c r="R141" s="39">
        <f t="shared" si="27"/>
        <v>1.6946911136884158E-18</v>
      </c>
      <c r="S141" s="39">
        <f t="shared" si="27"/>
        <v>2.2155606129864704E-17</v>
      </c>
      <c r="T141" s="39">
        <f t="shared" si="27"/>
        <v>2.6524502425725638E-16</v>
      </c>
      <c r="U141" s="39">
        <f t="shared" si="27"/>
        <v>2.9143928626734069E-15</v>
      </c>
      <c r="V141" s="39">
        <f t="shared" si="27"/>
        <v>2.9443740918937481E-14</v>
      </c>
      <c r="W141" s="37">
        <v>0.86199999999999999</v>
      </c>
    </row>
    <row r="142" spans="2:23" x14ac:dyDescent="0.25">
      <c r="B142" s="39">
        <f t="shared" si="26"/>
        <v>3.8694036241299322E-44</v>
      </c>
      <c r="C142" s="39">
        <f t="shared" si="26"/>
        <v>1.2787685259968458E-41</v>
      </c>
      <c r="D142" s="39">
        <f t="shared" si="26"/>
        <v>2.0679199979818138E-39</v>
      </c>
      <c r="E142" s="39">
        <f t="shared" si="26"/>
        <v>2.18088185345805E-37</v>
      </c>
      <c r="F142" s="39">
        <f t="shared" si="26"/>
        <v>1.6867721553537913E-35</v>
      </c>
      <c r="G142" s="39">
        <f t="shared" si="26"/>
        <v>1.0201038068948502E-33</v>
      </c>
      <c r="H142" s="39">
        <f t="shared" si="26"/>
        <v>5.0225657319792837E-32</v>
      </c>
      <c r="I142" s="39">
        <f t="shared" si="26"/>
        <v>2.0697927232404257E-30</v>
      </c>
      <c r="J142" s="39">
        <f t="shared" si="26"/>
        <v>7.2842663923960984E-29</v>
      </c>
      <c r="K142" s="39">
        <f t="shared" si="26"/>
        <v>2.2228747510887818E-27</v>
      </c>
      <c r="L142" s="39">
        <f t="shared" si="27"/>
        <v>5.9521229874030823E-26</v>
      </c>
      <c r="M142" s="39">
        <f t="shared" si="27"/>
        <v>1.41179791076911E-24</v>
      </c>
      <c r="N142" s="39">
        <f t="shared" si="27"/>
        <v>2.9892355506466151E-23</v>
      </c>
      <c r="O142" s="39">
        <f t="shared" si="27"/>
        <v>5.6857439509928689E-22</v>
      </c>
      <c r="P142" s="39">
        <f t="shared" si="27"/>
        <v>9.7666053831598186E-21</v>
      </c>
      <c r="Q142" s="39">
        <f t="shared" si="27"/>
        <v>1.5217658920247759E-19</v>
      </c>
      <c r="R142" s="39">
        <f t="shared" si="27"/>
        <v>2.1588153138440167E-18</v>
      </c>
      <c r="S142" s="39">
        <f t="shared" si="27"/>
        <v>2.7971130351755889E-17</v>
      </c>
      <c r="T142" s="39">
        <f t="shared" si="27"/>
        <v>3.318804109766956E-16</v>
      </c>
      <c r="U142" s="39">
        <f t="shared" si="27"/>
        <v>3.6140757464337047E-15</v>
      </c>
      <c r="V142" s="39">
        <f t="shared" si="27"/>
        <v>3.6187951254082257E-14</v>
      </c>
      <c r="W142" s="37">
        <v>0.86099999999999999</v>
      </c>
    </row>
    <row r="143" spans="2:23" x14ac:dyDescent="0.25">
      <c r="B143" s="39">
        <f t="shared" ref="B143:K152" si="28">_xlfn.HYPGEOM.DIST(B$2,comau,tongtheN*$W143,tongtheN,TRUE)</f>
        <v>5.3319876681926417E-44</v>
      </c>
      <c r="C143" s="39">
        <f t="shared" si="28"/>
        <v>1.7487794066148085E-41</v>
      </c>
      <c r="D143" s="39">
        <f t="shared" si="28"/>
        <v>2.8065901985896881E-39</v>
      </c>
      <c r="E143" s="39">
        <f t="shared" si="28"/>
        <v>2.937540094494174E-37</v>
      </c>
      <c r="F143" s="39">
        <f t="shared" si="28"/>
        <v>2.2548555324667762E-35</v>
      </c>
      <c r="G143" s="39">
        <f t="shared" si="28"/>
        <v>1.3533856739747151E-33</v>
      </c>
      <c r="H143" s="39">
        <f t="shared" si="28"/>
        <v>6.6133583035261805E-32</v>
      </c>
      <c r="I143" s="39">
        <f t="shared" si="28"/>
        <v>2.7048727965678913E-30</v>
      </c>
      <c r="J143" s="39">
        <f t="shared" si="28"/>
        <v>9.4478670443694613E-29</v>
      </c>
      <c r="K143" s="39">
        <f t="shared" si="28"/>
        <v>2.861510586796539E-27</v>
      </c>
      <c r="L143" s="39">
        <f t="shared" ref="L143:V152" si="29">_xlfn.HYPGEOM.DIST(L$2,comau,tongtheN*$W143,tongtheN,TRUE)</f>
        <v>7.6048242113089757E-26</v>
      </c>
      <c r="M143" s="39">
        <f t="shared" si="29"/>
        <v>1.7903226780059321E-24</v>
      </c>
      <c r="N143" s="39">
        <f t="shared" si="29"/>
        <v>3.7624008529449032E-23</v>
      </c>
      <c r="O143" s="39">
        <f t="shared" si="29"/>
        <v>7.1030212125119859E-22</v>
      </c>
      <c r="P143" s="39">
        <f t="shared" si="29"/>
        <v>1.2110307847021356E-20</v>
      </c>
      <c r="Q143" s="39">
        <f t="shared" si="29"/>
        <v>1.872923647459343E-19</v>
      </c>
      <c r="R143" s="39">
        <f t="shared" si="29"/>
        <v>2.6372632882423717E-18</v>
      </c>
      <c r="S143" s="39">
        <f t="shared" si="29"/>
        <v>3.3917124613813697E-17</v>
      </c>
      <c r="T143" s="39">
        <f t="shared" si="29"/>
        <v>3.9945425674962578E-16</v>
      </c>
      <c r="U143" s="39">
        <f t="shared" si="29"/>
        <v>4.3178219086623373E-15</v>
      </c>
      <c r="V143" s="39">
        <f t="shared" si="29"/>
        <v>4.291601260489769E-14</v>
      </c>
      <c r="W143" s="37">
        <v>0.86</v>
      </c>
    </row>
    <row r="144" spans="2:23" x14ac:dyDescent="0.25">
      <c r="B144" s="39">
        <f t="shared" si="28"/>
        <v>7.8129082948796719E-44</v>
      </c>
      <c r="C144" s="39">
        <f t="shared" si="28"/>
        <v>2.5393383643125309E-41</v>
      </c>
      <c r="D144" s="39">
        <f t="shared" si="28"/>
        <v>4.0386057977417182E-39</v>
      </c>
      <c r="E144" s="39">
        <f t="shared" si="28"/>
        <v>4.1889789012930116E-37</v>
      </c>
      <c r="F144" s="39">
        <f t="shared" si="28"/>
        <v>3.1865447996717222E-35</v>
      </c>
      <c r="G144" s="39">
        <f t="shared" si="28"/>
        <v>1.8954174884538558E-33</v>
      </c>
      <c r="H144" s="39">
        <f t="shared" si="28"/>
        <v>9.1789387502441625E-32</v>
      </c>
      <c r="I144" s="39">
        <f t="shared" si="28"/>
        <v>3.7205704627609652E-30</v>
      </c>
      <c r="J144" s="39">
        <f t="shared" si="28"/>
        <v>1.2879349950805315E-28</v>
      </c>
      <c r="K144" s="39">
        <f t="shared" si="28"/>
        <v>3.8659682990729614E-27</v>
      </c>
      <c r="L144" s="39">
        <f t="shared" si="29"/>
        <v>1.0182636056782259E-25</v>
      </c>
      <c r="M144" s="39">
        <f t="shared" si="29"/>
        <v>2.3758329295125914E-24</v>
      </c>
      <c r="N144" s="39">
        <f t="shared" si="29"/>
        <v>4.9484446431974815E-23</v>
      </c>
      <c r="O144" s="39">
        <f t="shared" si="29"/>
        <v>9.2591573106413399E-22</v>
      </c>
      <c r="P144" s="39">
        <f t="shared" si="29"/>
        <v>1.5646384042334929E-20</v>
      </c>
      <c r="Q144" s="39">
        <f t="shared" si="29"/>
        <v>2.3983646749553082E-19</v>
      </c>
      <c r="R144" s="39">
        <f t="shared" si="29"/>
        <v>3.3472721877597724E-18</v>
      </c>
      <c r="S144" s="39">
        <f t="shared" si="29"/>
        <v>4.2668285724949459E-17</v>
      </c>
      <c r="T144" s="39">
        <f t="shared" si="29"/>
        <v>4.9809054110638588E-16</v>
      </c>
      <c r="U144" s="39">
        <f t="shared" si="29"/>
        <v>5.3366378250942983E-15</v>
      </c>
      <c r="V144" s="39">
        <f t="shared" si="29"/>
        <v>5.2576431652903266E-14</v>
      </c>
      <c r="W144" s="37">
        <v>0.85899999999999999</v>
      </c>
    </row>
    <row r="145" spans="2:23" x14ac:dyDescent="0.25">
      <c r="B145" s="39">
        <f t="shared" si="28"/>
        <v>1.1415046210626035E-43</v>
      </c>
      <c r="C145" s="39">
        <f t="shared" si="28"/>
        <v>3.6768308586486845E-41</v>
      </c>
      <c r="D145" s="39">
        <f t="shared" si="28"/>
        <v>5.79532196006502E-39</v>
      </c>
      <c r="E145" s="39">
        <f t="shared" si="28"/>
        <v>5.9573378204832801E-37</v>
      </c>
      <c r="F145" s="39">
        <f t="shared" si="28"/>
        <v>4.491247565738537E-35</v>
      </c>
      <c r="G145" s="39">
        <f t="shared" si="28"/>
        <v>2.6476450322149342E-33</v>
      </c>
      <c r="H145" s="39">
        <f t="shared" si="28"/>
        <v>1.2707505305861305E-31</v>
      </c>
      <c r="I145" s="39">
        <f t="shared" si="28"/>
        <v>5.1049960034755058E-30</v>
      </c>
      <c r="J145" s="39">
        <f t="shared" si="28"/>
        <v>1.7514712391303445E-28</v>
      </c>
      <c r="K145" s="39">
        <f t="shared" si="28"/>
        <v>5.2106963085115041E-27</v>
      </c>
      <c r="L145" s="39">
        <f t="shared" si="29"/>
        <v>1.3602896354629225E-25</v>
      </c>
      <c r="M145" s="39">
        <f t="shared" si="29"/>
        <v>3.1457639230728393E-24</v>
      </c>
      <c r="N145" s="39">
        <f t="shared" si="29"/>
        <v>6.494167294162278E-23</v>
      </c>
      <c r="O145" s="39">
        <f t="shared" si="29"/>
        <v>1.2044154413031486E-21</v>
      </c>
      <c r="P145" s="39">
        <f t="shared" si="29"/>
        <v>2.0173192228904515E-20</v>
      </c>
      <c r="Q145" s="39">
        <f t="shared" si="29"/>
        <v>3.0650494224827518E-19</v>
      </c>
      <c r="R145" s="39">
        <f t="shared" si="29"/>
        <v>4.2401469379364119E-18</v>
      </c>
      <c r="S145" s="39">
        <f t="shared" si="29"/>
        <v>5.3575824792253869E-17</v>
      </c>
      <c r="T145" s="39">
        <f t="shared" si="29"/>
        <v>6.1994355565351241E-16</v>
      </c>
      <c r="U145" s="39">
        <f t="shared" si="29"/>
        <v>6.5841301652252394E-15</v>
      </c>
      <c r="V145" s="39">
        <f t="shared" si="29"/>
        <v>6.4300675184317451E-14</v>
      </c>
      <c r="W145" s="37">
        <v>0.85799999999999998</v>
      </c>
    </row>
    <row r="146" spans="2:23" x14ac:dyDescent="0.25">
      <c r="B146" s="39">
        <f t="shared" si="28"/>
        <v>1.6630409214914641E-43</v>
      </c>
      <c r="C146" s="39">
        <f t="shared" si="28"/>
        <v>5.3090009705850279E-41</v>
      </c>
      <c r="D146" s="39">
        <f t="shared" si="28"/>
        <v>8.2934540108010511E-39</v>
      </c>
      <c r="E146" s="39">
        <f t="shared" si="28"/>
        <v>8.4495519330967016E-37</v>
      </c>
      <c r="F146" s="39">
        <f t="shared" si="28"/>
        <v>6.3135979013406917E-35</v>
      </c>
      <c r="G146" s="39">
        <f t="shared" si="28"/>
        <v>3.6889527270647955E-33</v>
      </c>
      <c r="H146" s="39">
        <f t="shared" si="28"/>
        <v>1.7548581413761547E-31</v>
      </c>
      <c r="I146" s="39">
        <f t="shared" si="28"/>
        <v>6.9874793038861176E-30</v>
      </c>
      <c r="J146" s="39">
        <f t="shared" si="28"/>
        <v>2.3761652325853143E-28</v>
      </c>
      <c r="K146" s="39">
        <f t="shared" si="28"/>
        <v>7.0068535217130045E-27</v>
      </c>
      <c r="L146" s="39">
        <f t="shared" si="29"/>
        <v>1.8130823880803628E-25</v>
      </c>
      <c r="M146" s="39">
        <f t="shared" si="29"/>
        <v>4.1560088082102295E-24</v>
      </c>
      <c r="N146" s="39">
        <f t="shared" si="29"/>
        <v>8.5043943140541704E-23</v>
      </c>
      <c r="O146" s="39">
        <f t="shared" si="29"/>
        <v>1.5634043876256084E-21</v>
      </c>
      <c r="P146" s="39">
        <f t="shared" si="29"/>
        <v>2.5956753231799025E-20</v>
      </c>
      <c r="Q146" s="39">
        <f t="shared" si="29"/>
        <v>3.9093065619145436E-19</v>
      </c>
      <c r="R146" s="39">
        <f t="shared" si="29"/>
        <v>5.360873958661933E-18</v>
      </c>
      <c r="S146" s="39">
        <f t="shared" si="29"/>
        <v>6.7146305468920028E-17</v>
      </c>
      <c r="T146" s="39">
        <f t="shared" si="29"/>
        <v>7.702120542769062E-16</v>
      </c>
      <c r="U146" s="39">
        <f t="shared" si="29"/>
        <v>8.109014228232343E-15</v>
      </c>
      <c r="V146" s="39">
        <f t="shared" si="29"/>
        <v>7.850612791198607E-14</v>
      </c>
      <c r="W146" s="37">
        <v>0.85699999999999998</v>
      </c>
    </row>
    <row r="147" spans="2:23" x14ac:dyDescent="0.25">
      <c r="B147" s="39">
        <f t="shared" si="28"/>
        <v>2.4160562703916762E-43</v>
      </c>
      <c r="C147" s="39">
        <f t="shared" si="28"/>
        <v>7.6446244897131266E-41</v>
      </c>
      <c r="D147" s="39">
        <f t="shared" si="28"/>
        <v>1.1836486323520178E-38</v>
      </c>
      <c r="E147" s="39">
        <f t="shared" si="28"/>
        <v>1.1952805195417091E-36</v>
      </c>
      <c r="F147" s="39">
        <f t="shared" si="28"/>
        <v>8.8525158524952796E-35</v>
      </c>
      <c r="G147" s="39">
        <f t="shared" si="28"/>
        <v>5.1268591431760342E-33</v>
      </c>
      <c r="H147" s="39">
        <f t="shared" si="28"/>
        <v>2.4174289989629645E-31</v>
      </c>
      <c r="I147" s="39">
        <f t="shared" si="28"/>
        <v>9.5411479475371513E-30</v>
      </c>
      <c r="J147" s="39">
        <f t="shared" si="28"/>
        <v>3.2161044110045251E-28</v>
      </c>
      <c r="K147" s="39">
        <f t="shared" si="28"/>
        <v>9.4005884001270522E-27</v>
      </c>
      <c r="L147" s="39">
        <f t="shared" si="29"/>
        <v>2.4111997983883192E-25</v>
      </c>
      <c r="M147" s="39">
        <f t="shared" si="29"/>
        <v>5.4787442408707918E-24</v>
      </c>
      <c r="N147" s="39">
        <f t="shared" si="29"/>
        <v>1.1113278773594834E-22</v>
      </c>
      <c r="O147" s="39">
        <f t="shared" si="29"/>
        <v>2.0252090157433664E-21</v>
      </c>
      <c r="P147" s="39">
        <f t="shared" si="29"/>
        <v>3.3331447699163629E-20</v>
      </c>
      <c r="Q147" s="39">
        <f t="shared" si="29"/>
        <v>4.9763915046422387E-19</v>
      </c>
      <c r="R147" s="39">
        <f t="shared" si="29"/>
        <v>6.7649921050556542E-18</v>
      </c>
      <c r="S147" s="39">
        <f t="shared" si="29"/>
        <v>8.3999514605621524E-17</v>
      </c>
      <c r="T147" s="39">
        <f t="shared" si="29"/>
        <v>9.5519977299958922E-16</v>
      </c>
      <c r="U147" s="39">
        <f t="shared" si="29"/>
        <v>9.969829815118093E-15</v>
      </c>
      <c r="V147" s="39">
        <f t="shared" si="29"/>
        <v>9.5689845597645417E-14</v>
      </c>
      <c r="W147" s="37">
        <v>0.85599999999999998</v>
      </c>
    </row>
    <row r="148" spans="2:23" x14ac:dyDescent="0.25">
      <c r="B148" s="39">
        <f t="shared" si="28"/>
        <v>3.2912236532615617E-43</v>
      </c>
      <c r="C148" s="39">
        <f t="shared" si="28"/>
        <v>1.0337327842169612E-40</v>
      </c>
      <c r="D148" s="39">
        <f t="shared" si="28"/>
        <v>1.5888417242633098E-38</v>
      </c>
      <c r="E148" s="39">
        <f t="shared" si="28"/>
        <v>1.5927122766637877E-36</v>
      </c>
      <c r="F148" s="39">
        <f t="shared" si="28"/>
        <v>1.1709755495372395E-34</v>
      </c>
      <c r="G148" s="39">
        <f t="shared" si="28"/>
        <v>6.7320934805479035E-33</v>
      </c>
      <c r="H148" s="39">
        <f t="shared" si="28"/>
        <v>3.1511869330725022E-31</v>
      </c>
      <c r="I148" s="39">
        <f t="shared" si="28"/>
        <v>1.2346584942860499E-29</v>
      </c>
      <c r="J148" s="39">
        <f t="shared" si="28"/>
        <v>4.1314859262614332E-28</v>
      </c>
      <c r="K148" s="39">
        <f t="shared" si="28"/>
        <v>1.1988512235906737E-26</v>
      </c>
      <c r="L148" s="39">
        <f t="shared" si="29"/>
        <v>3.0526838211193382E-25</v>
      </c>
      <c r="M148" s="39">
        <f t="shared" si="29"/>
        <v>6.8860846250698921E-24</v>
      </c>
      <c r="N148" s="39">
        <f t="shared" si="29"/>
        <v>1.3866940388137211E-22</v>
      </c>
      <c r="O148" s="39">
        <f t="shared" si="29"/>
        <v>2.5087645520118675E-21</v>
      </c>
      <c r="P148" s="39">
        <f t="shared" si="29"/>
        <v>4.0992126441589871E-20</v>
      </c>
      <c r="Q148" s="39">
        <f t="shared" si="29"/>
        <v>6.0760558060004728E-19</v>
      </c>
      <c r="R148" s="39">
        <f t="shared" si="29"/>
        <v>8.2004996352926912E-18</v>
      </c>
      <c r="S148" s="39">
        <f t="shared" si="29"/>
        <v>1.010928921549704E-16</v>
      </c>
      <c r="T148" s="39">
        <f t="shared" si="29"/>
        <v>1.1413374892332365E-15</v>
      </c>
      <c r="U148" s="39">
        <f t="shared" si="29"/>
        <v>1.1827393788215698E-14</v>
      </c>
      <c r="V148" s="39">
        <f t="shared" si="29"/>
        <v>1.1270787527226277E-13</v>
      </c>
      <c r="W148" s="37">
        <v>0.85499999999999998</v>
      </c>
    </row>
    <row r="149" spans="2:23" x14ac:dyDescent="0.25">
      <c r="B149" s="39">
        <f t="shared" si="28"/>
        <v>4.757398123269902E-43</v>
      </c>
      <c r="C149" s="39">
        <f t="shared" si="28"/>
        <v>1.4811706114104543E-40</v>
      </c>
      <c r="D149" s="39">
        <f t="shared" si="28"/>
        <v>2.2566633541413102E-38</v>
      </c>
      <c r="E149" s="39">
        <f t="shared" si="28"/>
        <v>2.2424227559653171E-36</v>
      </c>
      <c r="F149" s="39">
        <f t="shared" si="28"/>
        <v>1.6342810005230748E-34</v>
      </c>
      <c r="G149" s="39">
        <f t="shared" si="28"/>
        <v>9.3139207985207152E-33</v>
      </c>
      <c r="H149" s="39">
        <f t="shared" si="28"/>
        <v>4.3218020461778087E-31</v>
      </c>
      <c r="I149" s="39">
        <f t="shared" si="28"/>
        <v>1.6786134907861262E-29</v>
      </c>
      <c r="J149" s="39">
        <f t="shared" si="28"/>
        <v>5.5683715940114098E-28</v>
      </c>
      <c r="K149" s="39">
        <f t="shared" si="28"/>
        <v>1.6018073231411082E-26</v>
      </c>
      <c r="L149" s="39">
        <f t="shared" si="29"/>
        <v>4.0434764501360471E-25</v>
      </c>
      <c r="M149" s="39">
        <f t="shared" si="29"/>
        <v>9.0422955974380764E-24</v>
      </c>
      <c r="N149" s="39">
        <f t="shared" si="29"/>
        <v>1.8052006647014949E-22</v>
      </c>
      <c r="O149" s="39">
        <f t="shared" si="29"/>
        <v>3.2377892962293555E-21</v>
      </c>
      <c r="P149" s="39">
        <f t="shared" si="29"/>
        <v>5.2449148921260912E-20</v>
      </c>
      <c r="Q149" s="39">
        <f t="shared" si="29"/>
        <v>7.7075205758938244E-19</v>
      </c>
      <c r="R149" s="39">
        <f t="shared" si="29"/>
        <v>1.03132128441927E-17</v>
      </c>
      <c r="S149" s="39">
        <f t="shared" si="29"/>
        <v>1.2604946159345251E-16</v>
      </c>
      <c r="T149" s="39">
        <f t="shared" si="29"/>
        <v>1.4109361490968076E-15</v>
      </c>
      <c r="U149" s="39">
        <f t="shared" si="29"/>
        <v>1.4496450984357103E-14</v>
      </c>
      <c r="V149" s="39">
        <f t="shared" si="29"/>
        <v>1.3696607268113789E-13</v>
      </c>
      <c r="W149" s="37">
        <v>0.85399999999999998</v>
      </c>
    </row>
    <row r="150" spans="2:23" x14ac:dyDescent="0.25">
      <c r="B150" s="39">
        <f t="shared" si="28"/>
        <v>6.8582096000145364E-43</v>
      </c>
      <c r="C150" s="39">
        <f t="shared" si="28"/>
        <v>2.1166803869261807E-40</v>
      </c>
      <c r="D150" s="39">
        <f t="shared" si="28"/>
        <v>3.1969107043463982E-38</v>
      </c>
      <c r="E150" s="39">
        <f t="shared" si="28"/>
        <v>3.1491936817140663E-36</v>
      </c>
      <c r="F150" s="39">
        <f t="shared" si="28"/>
        <v>2.2752620233563048E-34</v>
      </c>
      <c r="G150" s="39">
        <f t="shared" si="28"/>
        <v>1.2854782456225865E-32</v>
      </c>
      <c r="H150" s="39">
        <f t="shared" si="28"/>
        <v>5.9132918043061833E-31</v>
      </c>
      <c r="I150" s="39">
        <f t="shared" si="28"/>
        <v>2.276943192016219E-29</v>
      </c>
      <c r="J150" s="39">
        <f t="shared" si="28"/>
        <v>7.4880993642104794E-28</v>
      </c>
      <c r="K150" s="39">
        <f t="shared" si="28"/>
        <v>2.1355045023271238E-26</v>
      </c>
      <c r="L150" s="39">
        <f t="shared" si="29"/>
        <v>5.344375473027511E-25</v>
      </c>
      <c r="M150" s="39">
        <f t="shared" si="29"/>
        <v>1.1848889760734162E-23</v>
      </c>
      <c r="N150" s="39">
        <f t="shared" si="29"/>
        <v>2.3452359512784794E-22</v>
      </c>
      <c r="O150" s="39">
        <f t="shared" si="29"/>
        <v>4.170393527269769E-21</v>
      </c>
      <c r="P150" s="39">
        <f t="shared" si="29"/>
        <v>6.6979163782354072E-20</v>
      </c>
      <c r="Q150" s="39">
        <f t="shared" si="29"/>
        <v>9.7587537570979977E-19</v>
      </c>
      <c r="R150" s="39">
        <f t="shared" si="29"/>
        <v>1.2946660980207114E-17</v>
      </c>
      <c r="S150" s="39">
        <f t="shared" si="29"/>
        <v>1.5688984984410365E-16</v>
      </c>
      <c r="T150" s="39">
        <f t="shared" si="29"/>
        <v>1.7412351326640552E-15</v>
      </c>
      <c r="U150" s="39">
        <f t="shared" si="29"/>
        <v>1.7738396908613654E-14</v>
      </c>
      <c r="V150" s="39">
        <f t="shared" si="29"/>
        <v>1.6617856425101055E-13</v>
      </c>
      <c r="W150" s="37">
        <v>0.85299999999999998</v>
      </c>
    </row>
    <row r="151" spans="2:23" x14ac:dyDescent="0.25">
      <c r="B151" s="39">
        <f t="shared" si="28"/>
        <v>9.8604828441056103E-43</v>
      </c>
      <c r="C151" s="39">
        <f t="shared" si="28"/>
        <v>3.0170015241210275E-40</v>
      </c>
      <c r="D151" s="39">
        <f t="shared" si="28"/>
        <v>4.5173952832919703E-38</v>
      </c>
      <c r="E151" s="39">
        <f t="shared" si="28"/>
        <v>4.4116278047473421E-36</v>
      </c>
      <c r="F151" s="39">
        <f t="shared" si="28"/>
        <v>3.1599296611328052E-34</v>
      </c>
      <c r="G151" s="39">
        <f t="shared" si="28"/>
        <v>1.7699535637093817E-32</v>
      </c>
      <c r="H151" s="39">
        <f t="shared" si="28"/>
        <v>8.0720209861078931E-31</v>
      </c>
      <c r="I151" s="39">
        <f t="shared" si="28"/>
        <v>3.0815253010749842E-29</v>
      </c>
      <c r="J151" s="39">
        <f t="shared" si="28"/>
        <v>1.0047326430592956E-27</v>
      </c>
      <c r="K151" s="39">
        <f t="shared" si="28"/>
        <v>2.8408587765753169E-26</v>
      </c>
      <c r="L151" s="39">
        <f t="shared" si="29"/>
        <v>7.0488992096099944E-25</v>
      </c>
      <c r="M151" s="39">
        <f t="shared" si="29"/>
        <v>1.5494665861426002E-23</v>
      </c>
      <c r="N151" s="39">
        <f t="shared" si="29"/>
        <v>3.0407201277331414E-22</v>
      </c>
      <c r="O151" s="39">
        <f t="shared" si="29"/>
        <v>5.3611448040949381E-21</v>
      </c>
      <c r="P151" s="39">
        <f t="shared" si="29"/>
        <v>8.5372143929730882E-20</v>
      </c>
      <c r="Q151" s="39">
        <f t="shared" si="29"/>
        <v>1.2333101709454503E-18</v>
      </c>
      <c r="R151" s="39">
        <f t="shared" si="29"/>
        <v>1.6223438408633588E-17</v>
      </c>
      <c r="S151" s="39">
        <f t="shared" si="29"/>
        <v>1.9493644107671306E-16</v>
      </c>
      <c r="T151" s="39">
        <f t="shared" si="29"/>
        <v>2.1452344829672139E-15</v>
      </c>
      <c r="U151" s="39">
        <f t="shared" si="29"/>
        <v>2.1669916753844039E-14</v>
      </c>
      <c r="V151" s="39">
        <f t="shared" si="29"/>
        <v>2.0130291739660335E-13</v>
      </c>
      <c r="W151" s="37">
        <v>0.85199999999999998</v>
      </c>
    </row>
    <row r="152" spans="2:23" x14ac:dyDescent="0.25">
      <c r="B152" s="39">
        <f t="shared" si="28"/>
        <v>1.3317876876875307E-42</v>
      </c>
      <c r="C152" s="39">
        <f t="shared" si="28"/>
        <v>4.045675042375218E-40</v>
      </c>
      <c r="D152" s="39">
        <f t="shared" si="28"/>
        <v>6.0143118517837263E-38</v>
      </c>
      <c r="E152" s="39">
        <f t="shared" si="28"/>
        <v>5.8315345592997921E-36</v>
      </c>
      <c r="F152" s="39">
        <f t="shared" si="28"/>
        <v>4.1471651598842365E-34</v>
      </c>
      <c r="G152" s="39">
        <f t="shared" si="28"/>
        <v>2.3063729666668543E-32</v>
      </c>
      <c r="H152" s="39">
        <f t="shared" si="28"/>
        <v>1.0443535864611766E-30</v>
      </c>
      <c r="I152" s="39">
        <f t="shared" si="28"/>
        <v>3.9585172278896634E-29</v>
      </c>
      <c r="J152" s="39">
        <f t="shared" si="28"/>
        <v>1.2815123430390863E-27</v>
      </c>
      <c r="K152" s="39">
        <f t="shared" si="28"/>
        <v>3.5977536374407104E-26</v>
      </c>
      <c r="L152" s="39">
        <f t="shared" si="29"/>
        <v>8.8637327263334687E-25</v>
      </c>
      <c r="M152" s="39">
        <f t="shared" si="29"/>
        <v>1.934618315727862E-23</v>
      </c>
      <c r="N152" s="39">
        <f t="shared" si="29"/>
        <v>3.7697408342551836E-22</v>
      </c>
      <c r="O152" s="39">
        <f t="shared" si="29"/>
        <v>6.5996192273966703E-21</v>
      </c>
      <c r="P152" s="39">
        <f t="shared" si="29"/>
        <v>1.0435379919956761E-19</v>
      </c>
      <c r="Q152" s="39">
        <f t="shared" si="29"/>
        <v>1.4969237824341793E-18</v>
      </c>
      <c r="R152" s="39">
        <f t="shared" si="29"/>
        <v>1.9552859587782686E-17</v>
      </c>
      <c r="S152" s="39">
        <f t="shared" si="29"/>
        <v>2.3329491806804803E-16</v>
      </c>
      <c r="T152" s="39">
        <f t="shared" si="29"/>
        <v>2.5493938701774786E-15</v>
      </c>
      <c r="U152" s="39">
        <f t="shared" si="29"/>
        <v>2.5572583453617794E-14</v>
      </c>
      <c r="V152" s="39">
        <f t="shared" si="29"/>
        <v>2.3590011261196322E-13</v>
      </c>
      <c r="W152" s="37">
        <v>0.85099999999999998</v>
      </c>
    </row>
    <row r="153" spans="2:23" x14ac:dyDescent="0.25">
      <c r="B153" s="39">
        <f t="shared" ref="B153:K162" si="30">_xlfn.HYPGEOM.DIST(B$2,comau,tongtheN*$W153,tongtheN,TRUE)</f>
        <v>1.9056803162350925E-42</v>
      </c>
      <c r="C153" s="39">
        <f t="shared" si="30"/>
        <v>5.7396008406840974E-40</v>
      </c>
      <c r="D153" s="39">
        <f t="shared" si="30"/>
        <v>8.4597338914748755E-38</v>
      </c>
      <c r="E153" s="39">
        <f t="shared" si="30"/>
        <v>8.1327633268629388E-36</v>
      </c>
      <c r="F153" s="39">
        <f t="shared" si="30"/>
        <v>5.7345009294184976E-34</v>
      </c>
      <c r="G153" s="39">
        <f t="shared" si="30"/>
        <v>3.1620402070845914E-32</v>
      </c>
      <c r="H153" s="39">
        <f t="shared" si="30"/>
        <v>1.4196573964057651E-30</v>
      </c>
      <c r="I153" s="39">
        <f t="shared" si="30"/>
        <v>5.3354530629697294E-29</v>
      </c>
      <c r="J153" s="39">
        <f t="shared" si="30"/>
        <v>1.7126516439137445E-27</v>
      </c>
      <c r="K153" s="39">
        <f t="shared" si="30"/>
        <v>4.7674913187203041E-26</v>
      </c>
      <c r="L153" s="39">
        <f t="shared" ref="L153:V162" si="31">_xlfn.HYPGEOM.DIST(L$2,comau,tongtheN*$W153,tongtheN,TRUE)</f>
        <v>1.1646414364374024E-24</v>
      </c>
      <c r="M153" s="39">
        <f t="shared" si="31"/>
        <v>2.5205360486273083E-23</v>
      </c>
      <c r="N153" s="39">
        <f t="shared" si="31"/>
        <v>4.8700809667210589E-22</v>
      </c>
      <c r="O153" s="39">
        <f t="shared" si="31"/>
        <v>8.4542636639451611E-21</v>
      </c>
      <c r="P153" s="39">
        <f t="shared" si="31"/>
        <v>1.32557003278175E-19</v>
      </c>
      <c r="Q153" s="39">
        <f t="shared" si="31"/>
        <v>1.8855455806724643E-18</v>
      </c>
      <c r="R153" s="39">
        <f t="shared" si="31"/>
        <v>2.4422840061702264E-17</v>
      </c>
      <c r="S153" s="39">
        <f t="shared" si="31"/>
        <v>2.889651692705257E-16</v>
      </c>
      <c r="T153" s="39">
        <f t="shared" si="31"/>
        <v>3.1313925728664169E-15</v>
      </c>
      <c r="U153" s="39">
        <f t="shared" si="31"/>
        <v>3.1148836787333386E-14</v>
      </c>
      <c r="V153" s="39">
        <f t="shared" si="31"/>
        <v>2.8494997216245783E-13</v>
      </c>
      <c r="W153" s="37">
        <v>0.85</v>
      </c>
    </row>
    <row r="154" spans="2:23" x14ac:dyDescent="0.25">
      <c r="B154" s="39">
        <f t="shared" si="30"/>
        <v>2.7199286816660941E-42</v>
      </c>
      <c r="C154" s="39">
        <f t="shared" si="30"/>
        <v>8.1224614762279332E-40</v>
      </c>
      <c r="D154" s="39">
        <f t="shared" si="30"/>
        <v>1.1870405106252973E-37</v>
      </c>
      <c r="E154" s="39">
        <f t="shared" si="30"/>
        <v>1.1314991776088129E-35</v>
      </c>
      <c r="F154" s="39">
        <f t="shared" si="30"/>
        <v>7.9108553960719083E-34</v>
      </c>
      <c r="G154" s="39">
        <f t="shared" si="30"/>
        <v>4.3252518368644859E-32</v>
      </c>
      <c r="H154" s="39">
        <f t="shared" si="30"/>
        <v>1.9255211127006292E-30</v>
      </c>
      <c r="I154" s="39">
        <f t="shared" si="30"/>
        <v>7.1756516851489076E-29</v>
      </c>
      <c r="J154" s="39">
        <f t="shared" si="30"/>
        <v>2.2839628713038301E-27</v>
      </c>
      <c r="K154" s="39">
        <f t="shared" si="30"/>
        <v>6.3044120534353871E-26</v>
      </c>
      <c r="L154" s="39">
        <f t="shared" si="31"/>
        <v>1.5271665045391261E-24</v>
      </c>
      <c r="M154" s="39">
        <f t="shared" si="31"/>
        <v>3.2774149026809551E-23</v>
      </c>
      <c r="N154" s="39">
        <f t="shared" si="31"/>
        <v>6.2794851660135287E-22</v>
      </c>
      <c r="O154" s="39">
        <f t="shared" si="31"/>
        <v>1.0809810843569693E-20</v>
      </c>
      <c r="P154" s="39">
        <f t="shared" si="31"/>
        <v>1.6807559884677118E-19</v>
      </c>
      <c r="Q154" s="39">
        <f t="shared" si="31"/>
        <v>2.3708500859308526E-18</v>
      </c>
      <c r="R154" s="39">
        <f t="shared" si="31"/>
        <v>3.045326407785615E-17</v>
      </c>
      <c r="S154" s="39">
        <f t="shared" si="31"/>
        <v>3.5732183934902189E-16</v>
      </c>
      <c r="T154" s="39">
        <f t="shared" si="31"/>
        <v>3.840024044999468E-15</v>
      </c>
      <c r="U154" s="39">
        <f t="shared" si="31"/>
        <v>3.7881474175417269E-14</v>
      </c>
      <c r="V154" s="39">
        <f t="shared" si="31"/>
        <v>3.4367569926491982E-13</v>
      </c>
      <c r="W154" s="37">
        <v>0.84899999999999998</v>
      </c>
    </row>
    <row r="155" spans="2:23" x14ac:dyDescent="0.25">
      <c r="B155" s="39">
        <f t="shared" si="30"/>
        <v>3.8723362401922833E-42</v>
      </c>
      <c r="C155" s="39">
        <f t="shared" si="30"/>
        <v>1.1466324332099479E-39</v>
      </c>
      <c r="D155" s="39">
        <f t="shared" si="30"/>
        <v>1.6616036334752039E-37</v>
      </c>
      <c r="E155" s="39">
        <f t="shared" si="30"/>
        <v>1.5705284710651495E-35</v>
      </c>
      <c r="F155" s="39">
        <f t="shared" si="30"/>
        <v>1.0888024314239518E-33</v>
      </c>
      <c r="G155" s="39">
        <f t="shared" si="30"/>
        <v>5.9030373320953715E-32</v>
      </c>
      <c r="H155" s="39">
        <f t="shared" si="30"/>
        <v>2.6058858572586829E-30</v>
      </c>
      <c r="I155" s="39">
        <f t="shared" si="30"/>
        <v>9.6297710309537151E-29</v>
      </c>
      <c r="J155" s="39">
        <f t="shared" si="30"/>
        <v>3.0394552616667738E-27</v>
      </c>
      <c r="K155" s="39">
        <f t="shared" si="30"/>
        <v>8.319707874771405E-26</v>
      </c>
      <c r="L155" s="39">
        <f t="shared" si="31"/>
        <v>1.9985333250992686E-24</v>
      </c>
      <c r="M155" s="39">
        <f t="shared" si="31"/>
        <v>4.2532683350946566E-23</v>
      </c>
      <c r="N155" s="39">
        <f t="shared" si="31"/>
        <v>8.0814016304057329E-22</v>
      </c>
      <c r="O155" s="39">
        <f t="shared" si="31"/>
        <v>1.3796124193489683E-20</v>
      </c>
      <c r="P155" s="39">
        <f t="shared" si="31"/>
        <v>2.1272826824675462E-19</v>
      </c>
      <c r="Q155" s="39">
        <f t="shared" si="31"/>
        <v>2.9758532220849314E-18</v>
      </c>
      <c r="R155" s="39">
        <f t="shared" si="31"/>
        <v>3.7908242540626138E-17</v>
      </c>
      <c r="S155" s="39">
        <f t="shared" si="31"/>
        <v>4.4112072683117989E-16</v>
      </c>
      <c r="T155" s="39">
        <f t="shared" si="31"/>
        <v>4.7014940568992551E-15</v>
      </c>
      <c r="U155" s="39">
        <f t="shared" si="31"/>
        <v>4.5998013144323003E-14</v>
      </c>
      <c r="V155" s="39">
        <f t="shared" si="31"/>
        <v>4.1388320219065581E-13</v>
      </c>
      <c r="W155" s="37">
        <v>0.84799999999999998</v>
      </c>
    </row>
    <row r="156" spans="2:23" x14ac:dyDescent="0.25">
      <c r="B156" s="39">
        <f t="shared" si="30"/>
        <v>5.1879562800270805E-42</v>
      </c>
      <c r="C156" s="39">
        <f t="shared" si="30"/>
        <v>1.5254522155292523E-39</v>
      </c>
      <c r="D156" s="39">
        <f t="shared" si="30"/>
        <v>2.1951111325891603E-37</v>
      </c>
      <c r="E156" s="39">
        <f t="shared" si="30"/>
        <v>2.0603128375855581E-35</v>
      </c>
      <c r="F156" s="39">
        <f t="shared" si="30"/>
        <v>1.4183987101156268E-33</v>
      </c>
      <c r="G156" s="39">
        <f t="shared" si="30"/>
        <v>7.6364289987395501E-32</v>
      </c>
      <c r="H156" s="39">
        <f t="shared" si="30"/>
        <v>3.3476451231553856E-30</v>
      </c>
      <c r="I156" s="39">
        <f t="shared" si="30"/>
        <v>1.228493776399612E-28</v>
      </c>
      <c r="J156" s="39">
        <f t="shared" si="30"/>
        <v>3.8506098953236578E-27</v>
      </c>
      <c r="K156" s="39">
        <f t="shared" si="30"/>
        <v>1.0467005764985115E-25</v>
      </c>
      <c r="L156" s="39">
        <f t="shared" si="31"/>
        <v>2.4969527091011662E-24</v>
      </c>
      <c r="M156" s="39">
        <f t="shared" si="31"/>
        <v>5.277281199033013E-23</v>
      </c>
      <c r="N156" s="39">
        <f t="shared" si="31"/>
        <v>9.95787692696864E-22</v>
      </c>
      <c r="O156" s="39">
        <f t="shared" si="31"/>
        <v>1.6882390680730587E-20</v>
      </c>
      <c r="P156" s="39">
        <f t="shared" si="31"/>
        <v>2.5852534813625592E-19</v>
      </c>
      <c r="Q156" s="39">
        <f t="shared" si="31"/>
        <v>3.5916575801839361E-18</v>
      </c>
      <c r="R156" s="39">
        <f t="shared" si="31"/>
        <v>4.5438828133556374E-17</v>
      </c>
      <c r="S156" s="39">
        <f t="shared" si="31"/>
        <v>5.2512865596090591E-16</v>
      </c>
      <c r="T156" s="39">
        <f t="shared" si="31"/>
        <v>5.558579859133653E-15</v>
      </c>
      <c r="U156" s="39">
        <f t="shared" si="31"/>
        <v>5.4012201782037097E-14</v>
      </c>
      <c r="V156" s="39">
        <f t="shared" si="31"/>
        <v>4.8268173615665395E-13</v>
      </c>
      <c r="W156" s="37">
        <v>0.84699999999999998</v>
      </c>
    </row>
    <row r="157" spans="2:23" x14ac:dyDescent="0.25">
      <c r="B157" s="39">
        <f t="shared" si="30"/>
        <v>7.3527461552475798E-42</v>
      </c>
      <c r="C157" s="39">
        <f t="shared" si="30"/>
        <v>2.1439433452605492E-39</v>
      </c>
      <c r="D157" s="39">
        <f t="shared" si="30"/>
        <v>3.0594041915554035E-37</v>
      </c>
      <c r="E157" s="39">
        <f t="shared" si="30"/>
        <v>2.8476290442448567E-35</v>
      </c>
      <c r="F157" s="39">
        <f t="shared" si="30"/>
        <v>1.9441186408535897E-33</v>
      </c>
      <c r="G157" s="39">
        <f t="shared" si="30"/>
        <v>1.0379902692919243E-31</v>
      </c>
      <c r="H157" s="39">
        <f t="shared" si="30"/>
        <v>4.5125839049430495E-30</v>
      </c>
      <c r="I157" s="39">
        <f t="shared" si="30"/>
        <v>1.6422761749088011E-28</v>
      </c>
      <c r="J157" s="39">
        <f t="shared" si="30"/>
        <v>5.1049866950302449E-27</v>
      </c>
      <c r="K157" s="39">
        <f t="shared" si="30"/>
        <v>1.3762077286286187E-25</v>
      </c>
      <c r="L157" s="39">
        <f t="shared" si="31"/>
        <v>3.2559141198478665E-24</v>
      </c>
      <c r="M157" s="39">
        <f t="shared" si="31"/>
        <v>6.8246236109049836E-23</v>
      </c>
      <c r="N157" s="39">
        <f t="shared" si="31"/>
        <v>1.2771617991111308E-21</v>
      </c>
      <c r="O157" s="39">
        <f t="shared" si="31"/>
        <v>2.147478281879847E-20</v>
      </c>
      <c r="P157" s="39">
        <f t="shared" si="31"/>
        <v>3.2615101921160431E-19</v>
      </c>
      <c r="Q157" s="39">
        <f t="shared" si="31"/>
        <v>4.4940362093878596E-18</v>
      </c>
      <c r="R157" s="39">
        <f t="shared" si="31"/>
        <v>5.6389758313503746E-17</v>
      </c>
      <c r="S157" s="39">
        <f t="shared" si="31"/>
        <v>6.4636217802344778E-16</v>
      </c>
      <c r="T157" s="39">
        <f t="shared" si="31"/>
        <v>6.7860498456785962E-15</v>
      </c>
      <c r="U157" s="39">
        <f t="shared" si="31"/>
        <v>6.5402477166380919E-14</v>
      </c>
      <c r="V157" s="39">
        <f t="shared" si="31"/>
        <v>5.7972063639692996E-13</v>
      </c>
      <c r="W157" s="37">
        <v>0.84599999999999997</v>
      </c>
    </row>
    <row r="158" spans="2:23" x14ac:dyDescent="0.25">
      <c r="B158" s="39">
        <f t="shared" si="30"/>
        <v>1.0395694803411274E-41</v>
      </c>
      <c r="C158" s="39">
        <f t="shared" si="30"/>
        <v>3.0060781618218879E-39</v>
      </c>
      <c r="D158" s="39">
        <f t="shared" si="30"/>
        <v>4.254132404926415E-37</v>
      </c>
      <c r="E158" s="39">
        <f t="shared" si="30"/>
        <v>3.9268918623754002E-35</v>
      </c>
      <c r="F158" s="39">
        <f t="shared" si="30"/>
        <v>2.6587892644126086E-33</v>
      </c>
      <c r="G158" s="39">
        <f t="shared" si="30"/>
        <v>1.4078433840928601E-31</v>
      </c>
      <c r="H158" s="39">
        <f t="shared" si="30"/>
        <v>6.0700266612605695E-30</v>
      </c>
      <c r="I158" s="39">
        <f t="shared" si="30"/>
        <v>2.1908878190170766E-28</v>
      </c>
      <c r="J158" s="39">
        <f t="shared" si="30"/>
        <v>6.7543204264989216E-27</v>
      </c>
      <c r="K158" s="39">
        <f t="shared" si="30"/>
        <v>1.805879068213573E-25</v>
      </c>
      <c r="L158" s="39">
        <f t="shared" si="31"/>
        <v>4.2374037852852721E-24</v>
      </c>
      <c r="M158" s="39">
        <f t="shared" si="31"/>
        <v>8.8091205675065021E-23</v>
      </c>
      <c r="N158" s="39">
        <f t="shared" si="31"/>
        <v>1.6350518084705481E-21</v>
      </c>
      <c r="O158" s="39">
        <f t="shared" si="31"/>
        <v>2.7267859915324483E-20</v>
      </c>
      <c r="P158" s="39">
        <f t="shared" si="31"/>
        <v>4.1075489888257337E-19</v>
      </c>
      <c r="Q158" s="39">
        <f t="shared" si="31"/>
        <v>5.6136784692433634E-18</v>
      </c>
      <c r="R158" s="39">
        <f t="shared" si="31"/>
        <v>6.9865625249298006E-17</v>
      </c>
      <c r="S158" s="39">
        <f t="shared" si="31"/>
        <v>7.943231157728338E-16</v>
      </c>
      <c r="T158" s="39">
        <f t="shared" si="31"/>
        <v>8.2718393989550078E-15</v>
      </c>
      <c r="U158" s="39">
        <f t="shared" si="31"/>
        <v>7.9076809100241782E-14</v>
      </c>
      <c r="V158" s="39">
        <f t="shared" si="31"/>
        <v>6.9526443344337687E-13</v>
      </c>
      <c r="W158" s="37">
        <v>0.84499999999999997</v>
      </c>
    </row>
    <row r="159" spans="2:23" x14ac:dyDescent="0.25">
      <c r="B159" s="39">
        <f t="shared" si="30"/>
        <v>1.466299195646672E-41</v>
      </c>
      <c r="C159" s="39">
        <f t="shared" si="30"/>
        <v>4.2050738542510358E-39</v>
      </c>
      <c r="D159" s="39">
        <f t="shared" si="30"/>
        <v>5.901912435394519E-37</v>
      </c>
      <c r="E159" s="39">
        <f t="shared" si="30"/>
        <v>5.4031030765405781E-35</v>
      </c>
      <c r="F159" s="39">
        <f t="shared" si="30"/>
        <v>3.6282313478152236E-33</v>
      </c>
      <c r="G159" s="39">
        <f t="shared" si="30"/>
        <v>1.9054009634890363E-31</v>
      </c>
      <c r="H159" s="39">
        <f t="shared" si="30"/>
        <v>8.1479415452999493E-30</v>
      </c>
      <c r="I159" s="39">
        <f t="shared" si="30"/>
        <v>2.9168027602041322E-28</v>
      </c>
      <c r="J159" s="39">
        <f t="shared" si="30"/>
        <v>8.9187215912100345E-27</v>
      </c>
      <c r="K159" s="39">
        <f t="shared" si="30"/>
        <v>2.365092442034908E-25</v>
      </c>
      <c r="L159" s="39">
        <f t="shared" si="31"/>
        <v>5.504303602178914E-24</v>
      </c>
      <c r="M159" s="39">
        <f t="shared" si="31"/>
        <v>1.1349659085215186E-22</v>
      </c>
      <c r="N159" s="39">
        <f t="shared" si="31"/>
        <v>2.0894610369987764E-21</v>
      </c>
      <c r="O159" s="39">
        <f t="shared" si="31"/>
        <v>3.4562981022980522E-20</v>
      </c>
      <c r="P159" s="39">
        <f t="shared" si="31"/>
        <v>5.1642266039830073E-19</v>
      </c>
      <c r="Q159" s="39">
        <f t="shared" si="31"/>
        <v>7.0006384614719872E-18</v>
      </c>
      <c r="R159" s="39">
        <f t="shared" si="31"/>
        <v>8.6422454619036336E-17</v>
      </c>
      <c r="S159" s="39">
        <f t="shared" si="31"/>
        <v>9.7462767891401527E-16</v>
      </c>
      <c r="T159" s="39">
        <f t="shared" si="31"/>
        <v>1.0067645717265787E-14</v>
      </c>
      <c r="U159" s="39">
        <f t="shared" si="31"/>
        <v>9.5469650032163269E-14</v>
      </c>
      <c r="V159" s="39">
        <f t="shared" si="31"/>
        <v>8.3265091658825598E-13</v>
      </c>
      <c r="W159" s="37">
        <v>0.84399999999999997</v>
      </c>
    </row>
    <row r="160" spans="2:23" x14ac:dyDescent="0.25">
      <c r="B160" s="39">
        <f t="shared" si="30"/>
        <v>1.9494698074709087E-41</v>
      </c>
      <c r="C160" s="39">
        <f t="shared" si="30"/>
        <v>5.5524817275729918E-39</v>
      </c>
      <c r="D160" s="39">
        <f t="shared" si="30"/>
        <v>7.7397914361546568E-37</v>
      </c>
      <c r="E160" s="39">
        <f t="shared" si="30"/>
        <v>7.0373014981181264E-35</v>
      </c>
      <c r="F160" s="39">
        <f t="shared" si="30"/>
        <v>4.6934018704174894E-33</v>
      </c>
      <c r="G160" s="39">
        <f t="shared" si="30"/>
        <v>2.4480061914591037E-31</v>
      </c>
      <c r="H160" s="39">
        <f t="shared" si="30"/>
        <v>1.0397069196281964E-29</v>
      </c>
      <c r="I160" s="39">
        <f t="shared" si="30"/>
        <v>3.6966690907248548E-28</v>
      </c>
      <c r="J160" s="39">
        <f t="shared" si="30"/>
        <v>1.1226651600904954E-26</v>
      </c>
      <c r="K160" s="39">
        <f t="shared" si="30"/>
        <v>2.9569472967232837E-25</v>
      </c>
      <c r="L160" s="39">
        <f t="shared" si="31"/>
        <v>6.8351718770135588E-24</v>
      </c>
      <c r="M160" s="39">
        <f t="shared" si="31"/>
        <v>1.3998623082078015E-22</v>
      </c>
      <c r="N160" s="39">
        <f t="shared" si="31"/>
        <v>2.5597418071967402E-21</v>
      </c>
      <c r="O160" s="39">
        <f t="shared" si="31"/>
        <v>4.2056826226762413E-20</v>
      </c>
      <c r="P160" s="39">
        <f t="shared" si="31"/>
        <v>6.241632071734253E-19</v>
      </c>
      <c r="Q160" s="39">
        <f t="shared" si="31"/>
        <v>8.4043160780329381E-18</v>
      </c>
      <c r="R160" s="39">
        <f t="shared" si="31"/>
        <v>1.0305465460598253E-16</v>
      </c>
      <c r="S160" s="39">
        <f t="shared" si="31"/>
        <v>1.1544115112363883E-15</v>
      </c>
      <c r="T160" s="39">
        <f t="shared" si="31"/>
        <v>1.1845012675392407E-14</v>
      </c>
      <c r="U160" s="39">
        <f t="shared" si="31"/>
        <v>1.1157417126516485E-13</v>
      </c>
      <c r="V160" s="39">
        <f t="shared" si="31"/>
        <v>9.666234829685515E-13</v>
      </c>
      <c r="W160" s="37">
        <v>0.84299999999999997</v>
      </c>
    </row>
    <row r="161" spans="2:23" x14ac:dyDescent="0.25">
      <c r="B161" s="39">
        <f t="shared" si="30"/>
        <v>2.737945872891709E-41</v>
      </c>
      <c r="C161" s="39">
        <f t="shared" si="30"/>
        <v>7.7346018027795555E-39</v>
      </c>
      <c r="D161" s="39">
        <f t="shared" si="30"/>
        <v>1.0693665240816691E-36</v>
      </c>
      <c r="E161" s="39">
        <f t="shared" si="30"/>
        <v>9.6439300875467851E-35</v>
      </c>
      <c r="F161" s="39">
        <f t="shared" si="30"/>
        <v>6.3795539064820131E-33</v>
      </c>
      <c r="G161" s="39">
        <f t="shared" si="30"/>
        <v>3.300455689732137E-31</v>
      </c>
      <c r="H161" s="39">
        <f t="shared" si="30"/>
        <v>1.3903859072809872E-29</v>
      </c>
      <c r="I161" s="39">
        <f t="shared" si="30"/>
        <v>4.9034560665942636E-28</v>
      </c>
      <c r="J161" s="39">
        <f t="shared" si="30"/>
        <v>1.4771125019576997E-26</v>
      </c>
      <c r="K161" s="39">
        <f t="shared" si="30"/>
        <v>3.8590724286563224E-25</v>
      </c>
      <c r="L161" s="39">
        <f t="shared" si="31"/>
        <v>8.8484924952993521E-24</v>
      </c>
      <c r="M161" s="39">
        <f t="shared" si="31"/>
        <v>1.7975883602130912E-22</v>
      </c>
      <c r="N161" s="39">
        <f t="shared" si="31"/>
        <v>3.2605499252504211E-21</v>
      </c>
      <c r="O161" s="39">
        <f t="shared" si="31"/>
        <v>5.3140515353203964E-20</v>
      </c>
      <c r="P161" s="39">
        <f t="shared" si="31"/>
        <v>7.823245324012041E-19</v>
      </c>
      <c r="Q161" s="39">
        <f t="shared" si="31"/>
        <v>1.0449506610470482E-17</v>
      </c>
      <c r="R161" s="39">
        <f t="shared" si="31"/>
        <v>1.2710742716915406E-16</v>
      </c>
      <c r="S161" s="39">
        <f t="shared" si="31"/>
        <v>1.4124704379717838E-15</v>
      </c>
      <c r="T161" s="39">
        <f t="shared" si="31"/>
        <v>1.4377235459332523E-14</v>
      </c>
      <c r="U161" s="39">
        <f t="shared" si="31"/>
        <v>1.3434783618331145E-13</v>
      </c>
      <c r="V161" s="39">
        <f t="shared" si="31"/>
        <v>1.1546698793666979E-12</v>
      </c>
      <c r="W161" s="37">
        <v>0.84199999999999997</v>
      </c>
    </row>
    <row r="162" spans="2:23" x14ac:dyDescent="0.25">
      <c r="B162" s="39">
        <f t="shared" si="30"/>
        <v>3.8365218170478305E-41</v>
      </c>
      <c r="C162" s="39">
        <f t="shared" si="30"/>
        <v>1.0750128609432456E-38</v>
      </c>
      <c r="D162" s="39">
        <f t="shared" si="30"/>
        <v>1.4742432611230716E-36</v>
      </c>
      <c r="E162" s="39">
        <f t="shared" si="30"/>
        <v>1.3187652789613247E-34</v>
      </c>
      <c r="F162" s="39">
        <f t="shared" si="30"/>
        <v>8.6532391393436885E-33</v>
      </c>
      <c r="G162" s="39">
        <f t="shared" si="30"/>
        <v>4.4405968864692911E-31</v>
      </c>
      <c r="H162" s="39">
        <f t="shared" si="30"/>
        <v>1.8556070242905856E-29</v>
      </c>
      <c r="I162" s="39">
        <f t="shared" si="30"/>
        <v>6.4914297709143323E-28</v>
      </c>
      <c r="J162" s="39">
        <f t="shared" si="30"/>
        <v>1.9397392556136697E-26</v>
      </c>
      <c r="K162" s="39">
        <f t="shared" si="30"/>
        <v>5.0269987200134341E-25</v>
      </c>
      <c r="L162" s="39">
        <f t="shared" si="31"/>
        <v>1.1433932850084782E-23</v>
      </c>
      <c r="M162" s="39">
        <f t="shared" si="31"/>
        <v>2.3042077863592046E-22</v>
      </c>
      <c r="N162" s="39">
        <f t="shared" si="31"/>
        <v>4.1460251645471513E-21</v>
      </c>
      <c r="O162" s="39">
        <f t="shared" si="31"/>
        <v>6.7031863785479633E-20</v>
      </c>
      <c r="P162" s="39">
        <f t="shared" si="31"/>
        <v>9.7895300243172362E-19</v>
      </c>
      <c r="Q162" s="39">
        <f t="shared" si="31"/>
        <v>1.2971646507403912E-17</v>
      </c>
      <c r="R162" s="39">
        <f t="shared" si="31"/>
        <v>1.565308428240011E-16</v>
      </c>
      <c r="S162" s="39">
        <f t="shared" si="31"/>
        <v>1.7256133708907204E-15</v>
      </c>
      <c r="T162" s="39">
        <f t="shared" si="31"/>
        <v>1.7425303524597908E-14</v>
      </c>
      <c r="U162" s="39">
        <f t="shared" si="31"/>
        <v>1.6154088627807596E-13</v>
      </c>
      <c r="V162" s="39">
        <f t="shared" si="31"/>
        <v>1.3774084758805267E-12</v>
      </c>
      <c r="W162" s="37">
        <v>0.84099999999999997</v>
      </c>
    </row>
    <row r="163" spans="2:23" x14ac:dyDescent="0.25">
      <c r="B163" s="39">
        <f t="shared" ref="B163:K172" si="32">_xlfn.HYPGEOM.DIST(B$2,comau,tongtheN*$W163,tongtheN,TRUE)</f>
        <v>5.3637472707125834E-41</v>
      </c>
      <c r="C163" s="39">
        <f t="shared" si="32"/>
        <v>1.490827164748917E-38</v>
      </c>
      <c r="D163" s="39">
        <f t="shared" si="32"/>
        <v>2.0280082950139659E-36</v>
      </c>
      <c r="E163" s="39">
        <f t="shared" si="32"/>
        <v>1.7995295830543159E-34</v>
      </c>
      <c r="F163" s="39">
        <f t="shared" si="32"/>
        <v>1.1712918375371783E-32</v>
      </c>
      <c r="G163" s="39">
        <f t="shared" si="32"/>
        <v>5.9624774097858973E-31</v>
      </c>
      <c r="H163" s="39">
        <f t="shared" si="32"/>
        <v>2.4715790421090673E-29</v>
      </c>
      <c r="I163" s="39">
        <f t="shared" si="32"/>
        <v>8.5770142512354047E-28</v>
      </c>
      <c r="J163" s="39">
        <f t="shared" si="32"/>
        <v>2.5424395522813602E-26</v>
      </c>
      <c r="K163" s="39">
        <f t="shared" si="32"/>
        <v>6.5362985887804148E-25</v>
      </c>
      <c r="L163" s="39">
        <f t="shared" ref="L163:V172" si="33">_xlfn.HYPGEOM.DIST(L$2,comau,tongtheN*$W163,tongtheN,TRUE)</f>
        <v>1.4748198460942536E-23</v>
      </c>
      <c r="M163" s="39">
        <f t="shared" si="33"/>
        <v>2.9484223760768522E-22</v>
      </c>
      <c r="N163" s="39">
        <f t="shared" si="33"/>
        <v>5.2629509150154893E-21</v>
      </c>
      <c r="O163" s="39">
        <f t="shared" si="33"/>
        <v>8.4413660979411576E-20</v>
      </c>
      <c r="P163" s="39">
        <f t="shared" si="33"/>
        <v>1.223016193034776E-18</v>
      </c>
      <c r="Q163" s="39">
        <f t="shared" si="33"/>
        <v>1.6077163280146134E-17</v>
      </c>
      <c r="R163" s="39">
        <f t="shared" si="33"/>
        <v>1.9247015993959171E-16</v>
      </c>
      <c r="S163" s="39">
        <f t="shared" si="33"/>
        <v>2.1050459102358439E-15</v>
      </c>
      <c r="T163" s="39">
        <f t="shared" si="33"/>
        <v>2.1089131135398549E-14</v>
      </c>
      <c r="U163" s="39">
        <f t="shared" si="33"/>
        <v>1.9396662566635712E-13</v>
      </c>
      <c r="V163" s="39">
        <f t="shared" si="33"/>
        <v>1.6408912414265611E-12</v>
      </c>
      <c r="W163" s="37">
        <v>0.84</v>
      </c>
    </row>
    <row r="164" spans="2:23" x14ac:dyDescent="0.25">
      <c r="B164" s="39">
        <f t="shared" si="32"/>
        <v>7.4822091763169652E-41</v>
      </c>
      <c r="C164" s="39">
        <f t="shared" si="32"/>
        <v>2.0629641050565271E-38</v>
      </c>
      <c r="D164" s="39">
        <f t="shared" si="32"/>
        <v>2.7838179199925001E-36</v>
      </c>
      <c r="E164" s="39">
        <f t="shared" si="32"/>
        <v>2.4504212090640929E-34</v>
      </c>
      <c r="F164" s="39">
        <f t="shared" si="32"/>
        <v>1.5822004080540596E-32</v>
      </c>
      <c r="G164" s="39">
        <f t="shared" si="32"/>
        <v>7.9899077069630379E-31</v>
      </c>
      <c r="H164" s="39">
        <f t="shared" si="32"/>
        <v>3.2855814014375333E-29</v>
      </c>
      <c r="I164" s="39">
        <f t="shared" si="32"/>
        <v>1.1310992154209978E-27</v>
      </c>
      <c r="J164" s="39">
        <f t="shared" si="32"/>
        <v>3.3261838097273381E-26</v>
      </c>
      <c r="K164" s="39">
        <f t="shared" si="32"/>
        <v>8.4832605437272819E-25</v>
      </c>
      <c r="L164" s="39">
        <f t="shared" si="33"/>
        <v>1.8989326753760621E-23</v>
      </c>
      <c r="M164" s="39">
        <f t="shared" si="33"/>
        <v>3.7662090336069948E-22</v>
      </c>
      <c r="N164" s="39">
        <f t="shared" si="33"/>
        <v>6.6694916755756037E-21</v>
      </c>
      <c r="O164" s="39">
        <f t="shared" si="33"/>
        <v>1.0612789094315927E-19</v>
      </c>
      <c r="P164" s="39">
        <f t="shared" si="33"/>
        <v>1.5254824619659348E-18</v>
      </c>
      <c r="Q164" s="39">
        <f t="shared" si="33"/>
        <v>1.9895169406666375E-17</v>
      </c>
      <c r="R164" s="39">
        <f t="shared" si="33"/>
        <v>2.3630342272866074E-16</v>
      </c>
      <c r="S164" s="39">
        <f t="shared" si="33"/>
        <v>2.564141308350727E-15</v>
      </c>
      <c r="T164" s="39">
        <f t="shared" si="33"/>
        <v>2.5486986396087187E-14</v>
      </c>
      <c r="U164" s="39">
        <f t="shared" si="33"/>
        <v>2.3257988483730711E-13</v>
      </c>
      <c r="V164" s="39">
        <f t="shared" si="33"/>
        <v>1.9521650553423287E-12</v>
      </c>
      <c r="W164" s="37">
        <v>0.83899999999999997</v>
      </c>
    </row>
    <row r="165" spans="2:23" x14ac:dyDescent="0.25">
      <c r="B165" s="39">
        <f t="shared" si="32"/>
        <v>9.8574997098728593E-41</v>
      </c>
      <c r="C165" s="39">
        <f t="shared" si="32"/>
        <v>2.6997853866412946E-38</v>
      </c>
      <c r="D165" s="39">
        <f t="shared" si="32"/>
        <v>3.6189472135368365E-36</v>
      </c>
      <c r="E165" s="39">
        <f t="shared" si="32"/>
        <v>3.1643845582212853E-34</v>
      </c>
      <c r="F165" s="39">
        <f t="shared" si="32"/>
        <v>2.0296463539865452E-32</v>
      </c>
      <c r="G165" s="39">
        <f t="shared" si="32"/>
        <v>1.0181560020229493E-30</v>
      </c>
      <c r="H165" s="39">
        <f t="shared" si="32"/>
        <v>4.1591236955795168E-29</v>
      </c>
      <c r="I165" s="39">
        <f t="shared" si="32"/>
        <v>1.4223640237000253E-27</v>
      </c>
      <c r="J165" s="39">
        <f t="shared" si="32"/>
        <v>4.155087964451001E-26</v>
      </c>
      <c r="K165" s="39">
        <f t="shared" si="32"/>
        <v>1.0527475323244476E-24</v>
      </c>
      <c r="L165" s="39">
        <f t="shared" si="33"/>
        <v>2.3410034060889806E-23</v>
      </c>
      <c r="M165" s="39">
        <f t="shared" si="33"/>
        <v>4.6124495967870904E-22</v>
      </c>
      <c r="N165" s="39">
        <f t="shared" si="33"/>
        <v>8.1144382033113188E-21</v>
      </c>
      <c r="O165" s="39">
        <f t="shared" si="33"/>
        <v>1.2827370686099414E-19</v>
      </c>
      <c r="P165" s="39">
        <f t="shared" si="33"/>
        <v>1.8317310957879804E-18</v>
      </c>
      <c r="Q165" s="39">
        <f t="shared" si="33"/>
        <v>2.3733001267282576E-17</v>
      </c>
      <c r="R165" s="39">
        <f t="shared" si="33"/>
        <v>2.8004630374305276E-16</v>
      </c>
      <c r="S165" s="39">
        <f t="shared" si="33"/>
        <v>3.0189857890224622E-15</v>
      </c>
      <c r="T165" s="39">
        <f t="shared" si="33"/>
        <v>2.9812716973269768E-14</v>
      </c>
      <c r="U165" s="39">
        <f t="shared" si="33"/>
        <v>2.7028633722594827E-13</v>
      </c>
      <c r="V165" s="39">
        <f t="shared" si="33"/>
        <v>2.2539409942007665E-12</v>
      </c>
      <c r="W165" s="37">
        <v>0.83799999999999997</v>
      </c>
    </row>
    <row r="166" spans="2:23" x14ac:dyDescent="0.25">
      <c r="B166" s="39">
        <f t="shared" si="32"/>
        <v>1.3695716636341767E-40</v>
      </c>
      <c r="C166" s="39">
        <f t="shared" si="32"/>
        <v>3.7212230484945364E-38</v>
      </c>
      <c r="D166" s="39">
        <f t="shared" si="32"/>
        <v>4.9485844936913836E-36</v>
      </c>
      <c r="E166" s="39">
        <f t="shared" si="32"/>
        <v>4.2927354849247032E-34</v>
      </c>
      <c r="F166" s="39">
        <f t="shared" si="32"/>
        <v>2.7315884459451973E-32</v>
      </c>
      <c r="G166" s="39">
        <f t="shared" si="32"/>
        <v>1.3594498221528402E-30</v>
      </c>
      <c r="H166" s="39">
        <f t="shared" si="32"/>
        <v>5.5094551209522212E-29</v>
      </c>
      <c r="I166" s="39">
        <f t="shared" si="32"/>
        <v>1.8693024845287558E-27</v>
      </c>
      <c r="J166" s="39">
        <f t="shared" si="32"/>
        <v>5.4177028463975541E-26</v>
      </c>
      <c r="K166" s="39">
        <f t="shared" si="32"/>
        <v>1.3618507831685151E-24</v>
      </c>
      <c r="L166" s="39">
        <f t="shared" si="33"/>
        <v>3.0045674592612779E-23</v>
      </c>
      <c r="M166" s="39">
        <f t="shared" si="33"/>
        <v>5.8734131708546516E-22</v>
      </c>
      <c r="N166" s="39">
        <f t="shared" si="33"/>
        <v>1.0251817773608517E-20</v>
      </c>
      <c r="O166" s="39">
        <f t="shared" si="33"/>
        <v>1.6079338919655465E-19</v>
      </c>
      <c r="P166" s="39">
        <f t="shared" si="33"/>
        <v>2.2781648734162484E-18</v>
      </c>
      <c r="Q166" s="39">
        <f t="shared" si="33"/>
        <v>2.928693439146285E-17</v>
      </c>
      <c r="R166" s="39">
        <f t="shared" si="33"/>
        <v>3.4288937930247548E-16</v>
      </c>
      <c r="S166" s="39">
        <f t="shared" si="33"/>
        <v>3.6676976596379606E-15</v>
      </c>
      <c r="T166" s="39">
        <f t="shared" si="33"/>
        <v>3.5937500787262671E-14</v>
      </c>
      <c r="U166" s="39">
        <f t="shared" si="33"/>
        <v>3.2328841055529421E-13</v>
      </c>
      <c r="V166" s="39">
        <f t="shared" si="33"/>
        <v>2.675066144868304E-12</v>
      </c>
      <c r="W166" s="37">
        <v>0.83699999999999997</v>
      </c>
    </row>
    <row r="167" spans="2:23" x14ac:dyDescent="0.25">
      <c r="B167" s="39">
        <f t="shared" si="32"/>
        <v>1.8987567859162637E-40</v>
      </c>
      <c r="C167" s="39">
        <f t="shared" si="32"/>
        <v>5.1183243541159064E-38</v>
      </c>
      <c r="D167" s="39">
        <f t="shared" si="32"/>
        <v>6.7528077405930964E-36</v>
      </c>
      <c r="E167" s="39">
        <f t="shared" si="32"/>
        <v>5.8116924516532061E-34</v>
      </c>
      <c r="F167" s="39">
        <f t="shared" si="32"/>
        <v>3.6690422542777465E-32</v>
      </c>
      <c r="G167" s="39">
        <f t="shared" si="32"/>
        <v>1.8116465795319897E-30</v>
      </c>
      <c r="H167" s="39">
        <f t="shared" si="32"/>
        <v>7.2844329369908164E-29</v>
      </c>
      <c r="I167" s="39">
        <f t="shared" si="32"/>
        <v>2.4521526448010902E-27</v>
      </c>
      <c r="J167" s="39">
        <f t="shared" si="32"/>
        <v>7.0512806563246768E-26</v>
      </c>
      <c r="K167" s="39">
        <f t="shared" si="32"/>
        <v>1.7586175707872196E-24</v>
      </c>
      <c r="L167" s="39">
        <f t="shared" si="33"/>
        <v>3.8496137245983586E-23</v>
      </c>
      <c r="M167" s="39">
        <f t="shared" si="33"/>
        <v>7.466608945812259E-22</v>
      </c>
      <c r="N167" s="39">
        <f t="shared" si="33"/>
        <v>1.2931111293985617E-20</v>
      </c>
      <c r="O167" s="39">
        <f t="shared" si="33"/>
        <v>2.0123794107670664E-19</v>
      </c>
      <c r="P167" s="39">
        <f t="shared" si="33"/>
        <v>2.8290346234096229E-18</v>
      </c>
      <c r="Q167" s="39">
        <f t="shared" si="33"/>
        <v>3.6086383282713099E-17</v>
      </c>
      <c r="R167" s="39">
        <f t="shared" si="33"/>
        <v>4.1922280024900875E-16</v>
      </c>
      <c r="S167" s="39">
        <f t="shared" si="33"/>
        <v>4.449498976091623E-15</v>
      </c>
      <c r="T167" s="39">
        <f t="shared" si="33"/>
        <v>4.3261117342690256E-14</v>
      </c>
      <c r="U167" s="39">
        <f t="shared" si="33"/>
        <v>3.8616963509417089E-13</v>
      </c>
      <c r="V167" s="39">
        <f t="shared" si="33"/>
        <v>3.1707852070030219E-12</v>
      </c>
      <c r="W167" s="37">
        <v>0.83599999999999997</v>
      </c>
    </row>
    <row r="168" spans="2:23" x14ac:dyDescent="0.25">
      <c r="B168" s="39">
        <f t="shared" si="32"/>
        <v>2.6268340005404877E-40</v>
      </c>
      <c r="C168" s="39">
        <f t="shared" si="32"/>
        <v>7.0253409926081567E-38</v>
      </c>
      <c r="D168" s="39">
        <f t="shared" si="32"/>
        <v>9.1961073261425863E-36</v>
      </c>
      <c r="E168" s="39">
        <f t="shared" si="32"/>
        <v>7.8524662378140402E-34</v>
      </c>
      <c r="F168" s="39">
        <f t="shared" si="32"/>
        <v>4.9186258180284307E-32</v>
      </c>
      <c r="G168" s="39">
        <f t="shared" si="32"/>
        <v>2.409661434349764E-30</v>
      </c>
      <c r="H168" s="39">
        <f t="shared" si="32"/>
        <v>9.6133264175375437E-29</v>
      </c>
      <c r="I168" s="39">
        <f t="shared" si="32"/>
        <v>3.210885414109078E-27</v>
      </c>
      <c r="J168" s="39">
        <f t="shared" si="32"/>
        <v>9.1611230944129957E-26</v>
      </c>
      <c r="K168" s="39">
        <f t="shared" si="32"/>
        <v>2.2670424929152647E-24</v>
      </c>
      <c r="L168" s="39">
        <f t="shared" si="33"/>
        <v>4.92398988965497E-23</v>
      </c>
      <c r="M168" s="39">
        <f t="shared" si="33"/>
        <v>9.4763144106622848E-22</v>
      </c>
      <c r="N168" s="39">
        <f t="shared" si="33"/>
        <v>1.628442337800132E-20</v>
      </c>
      <c r="O168" s="39">
        <f t="shared" si="33"/>
        <v>2.514614598888894E-19</v>
      </c>
      <c r="P168" s="39">
        <f t="shared" si="33"/>
        <v>3.5077574778226839E-18</v>
      </c>
      <c r="Q168" s="39">
        <f t="shared" si="33"/>
        <v>4.4398597069656005E-17</v>
      </c>
      <c r="R168" s="39">
        <f t="shared" si="33"/>
        <v>5.1181196262458201E-16</v>
      </c>
      <c r="S168" s="39">
        <f t="shared" si="33"/>
        <v>5.3904071774264451E-15</v>
      </c>
      <c r="T168" s="39">
        <f t="shared" si="33"/>
        <v>5.2006621779731197E-14</v>
      </c>
      <c r="U168" s="39">
        <f t="shared" si="33"/>
        <v>4.6067570285352861E-13</v>
      </c>
      <c r="V168" s="39">
        <f t="shared" si="33"/>
        <v>3.7535866612693528E-12</v>
      </c>
      <c r="W168" s="37">
        <v>0.83499999999999996</v>
      </c>
    </row>
    <row r="169" spans="2:23" x14ac:dyDescent="0.25">
      <c r="B169" s="39">
        <f t="shared" si="32"/>
        <v>3.4372162886732901E-40</v>
      </c>
      <c r="C169" s="39">
        <f t="shared" si="32"/>
        <v>9.1327745305369225E-38</v>
      </c>
      <c r="D169" s="39">
        <f t="shared" si="32"/>
        <v>1.1876911723123681E-35</v>
      </c>
      <c r="E169" s="39">
        <f t="shared" si="32"/>
        <v>1.0075644899810256E-33</v>
      </c>
      <c r="F169" s="39">
        <f t="shared" si="32"/>
        <v>6.2701940702848656E-32</v>
      </c>
      <c r="G169" s="39">
        <f t="shared" si="32"/>
        <v>3.0518756450271494E-30</v>
      </c>
      <c r="H169" s="39">
        <f t="shared" si="32"/>
        <v>1.2096544734408321E-28</v>
      </c>
      <c r="I169" s="39">
        <f t="shared" si="32"/>
        <v>4.0141405864493618E-27</v>
      </c>
      <c r="J169" s="39">
        <f t="shared" si="32"/>
        <v>1.1378891500056561E-25</v>
      </c>
      <c r="K169" s="39">
        <f t="shared" si="32"/>
        <v>2.7976782868298352E-24</v>
      </c>
      <c r="L169" s="39">
        <f t="shared" si="33"/>
        <v>6.0373397964856703E-23</v>
      </c>
      <c r="M169" s="39">
        <f t="shared" si="33"/>
        <v>1.1544147023637339E-21</v>
      </c>
      <c r="N169" s="39">
        <f t="shared" si="33"/>
        <v>1.9710259981651298E-20</v>
      </c>
      <c r="O169" s="39">
        <f t="shared" si="33"/>
        <v>3.0240763191634878E-19</v>
      </c>
      <c r="P169" s="39">
        <f t="shared" si="33"/>
        <v>4.1913710597922818E-18</v>
      </c>
      <c r="Q169" s="39">
        <f t="shared" si="33"/>
        <v>5.2711462278385663E-17</v>
      </c>
      <c r="R169" s="39">
        <f t="shared" si="33"/>
        <v>6.0375356000200947E-16</v>
      </c>
      <c r="S169" s="39">
        <f t="shared" si="33"/>
        <v>6.3181316773046923E-15</v>
      </c>
      <c r="T169" s="39">
        <f t="shared" si="33"/>
        <v>6.0568687172922921E-14</v>
      </c>
      <c r="U169" s="39">
        <f t="shared" si="33"/>
        <v>5.3310416111815621E-13</v>
      </c>
      <c r="V169" s="39">
        <f t="shared" si="33"/>
        <v>4.3161405865089001E-12</v>
      </c>
      <c r="W169" s="37">
        <v>0.83399999999999996</v>
      </c>
    </row>
    <row r="170" spans="2:23" x14ac:dyDescent="0.25">
      <c r="B170" s="39">
        <f t="shared" si="32"/>
        <v>4.7370922301561435E-40</v>
      </c>
      <c r="C170" s="39">
        <f t="shared" si="32"/>
        <v>1.2488716544281534E-37</v>
      </c>
      <c r="D170" s="39">
        <f t="shared" si="32"/>
        <v>1.6115075636971028E-35</v>
      </c>
      <c r="E170" s="39">
        <f t="shared" si="32"/>
        <v>1.3564978612241236E-33</v>
      </c>
      <c r="F170" s="39">
        <f t="shared" si="32"/>
        <v>8.3762266794325358E-32</v>
      </c>
      <c r="G170" s="39">
        <f t="shared" si="32"/>
        <v>4.0453792132684553E-30</v>
      </c>
      <c r="H170" s="39">
        <f t="shared" si="32"/>
        <v>1.5910453216721074E-28</v>
      </c>
      <c r="I170" s="39">
        <f t="shared" si="32"/>
        <v>5.2389772169844226E-27</v>
      </c>
      <c r="J170" s="39">
        <f t="shared" si="32"/>
        <v>1.4736372138006646E-25</v>
      </c>
      <c r="K170" s="39">
        <f t="shared" si="32"/>
        <v>3.5952504107622274E-24</v>
      </c>
      <c r="L170" s="39">
        <f t="shared" si="33"/>
        <v>7.6987795766807045E-23</v>
      </c>
      <c r="M170" s="39">
        <f t="shared" si="33"/>
        <v>1.4607882082060637E-21</v>
      </c>
      <c r="N170" s="39">
        <f t="shared" si="33"/>
        <v>2.4749775149447063E-20</v>
      </c>
      <c r="O170" s="39">
        <f t="shared" si="33"/>
        <v>3.7681626638892923E-19</v>
      </c>
      <c r="P170" s="39">
        <f t="shared" si="33"/>
        <v>5.1826947778716722E-18</v>
      </c>
      <c r="Q170" s="39">
        <f t="shared" si="33"/>
        <v>6.4680299349770644E-17</v>
      </c>
      <c r="R170" s="39">
        <f t="shared" si="33"/>
        <v>7.3518916249823016E-16</v>
      </c>
      <c r="S170" s="39">
        <f t="shared" si="33"/>
        <v>7.6349416574776329E-15</v>
      </c>
      <c r="T170" s="39">
        <f t="shared" si="33"/>
        <v>7.2635402684293834E-14</v>
      </c>
      <c r="U170" s="39">
        <f t="shared" si="33"/>
        <v>6.34455515792513E-13</v>
      </c>
      <c r="V170" s="39">
        <f t="shared" si="33"/>
        <v>5.0977640478069097E-12</v>
      </c>
      <c r="W170" s="37">
        <v>0.83299999999999996</v>
      </c>
    </row>
    <row r="171" spans="2:23" x14ac:dyDescent="0.25">
      <c r="B171" s="39">
        <f t="shared" si="32"/>
        <v>6.5152131839511158E-40</v>
      </c>
      <c r="C171" s="39">
        <f t="shared" si="32"/>
        <v>1.7043656054146719E-37</v>
      </c>
      <c r="D171" s="39">
        <f t="shared" si="32"/>
        <v>2.1822729950191199E-35</v>
      </c>
      <c r="E171" s="39">
        <f t="shared" si="32"/>
        <v>1.8227674972663451E-33</v>
      </c>
      <c r="F171" s="39">
        <f t="shared" si="32"/>
        <v>1.1168625186183986E-31</v>
      </c>
      <c r="G171" s="39">
        <f t="shared" si="32"/>
        <v>5.3524598157517133E-30</v>
      </c>
      <c r="H171" s="39">
        <f t="shared" si="32"/>
        <v>2.0889277363493374E-28</v>
      </c>
      <c r="I171" s="39">
        <f t="shared" si="32"/>
        <v>6.8255544161407184E-27</v>
      </c>
      <c r="J171" s="39">
        <f t="shared" si="32"/>
        <v>1.9051821428745814E-25</v>
      </c>
      <c r="K171" s="39">
        <f t="shared" si="32"/>
        <v>4.6124703260890587E-24</v>
      </c>
      <c r="L171" s="39">
        <f t="shared" si="33"/>
        <v>9.8014189926776454E-23</v>
      </c>
      <c r="M171" s="39">
        <f t="shared" si="33"/>
        <v>1.8455302340686927E-21</v>
      </c>
      <c r="N171" s="39">
        <f t="shared" si="33"/>
        <v>3.1029611280597596E-20</v>
      </c>
      <c r="O171" s="39">
        <f t="shared" si="33"/>
        <v>4.6882454909264872E-19</v>
      </c>
      <c r="P171" s="39">
        <f t="shared" si="33"/>
        <v>6.399065670424604E-18</v>
      </c>
      <c r="Q171" s="39">
        <f t="shared" si="33"/>
        <v>7.9253411197845788E-17</v>
      </c>
      <c r="R171" s="39">
        <f t="shared" si="33"/>
        <v>8.9399485549846984E-16</v>
      </c>
      <c r="S171" s="39">
        <f t="shared" si="33"/>
        <v>9.2137584501837536E-15</v>
      </c>
      <c r="T171" s="39">
        <f t="shared" si="33"/>
        <v>8.6992153151263852E-14</v>
      </c>
      <c r="U171" s="39">
        <f t="shared" si="33"/>
        <v>7.5411798232788204E-13</v>
      </c>
      <c r="V171" s="39">
        <f t="shared" si="33"/>
        <v>6.0135419314532937E-12</v>
      </c>
      <c r="W171" s="37">
        <v>0.83199999999999996</v>
      </c>
    </row>
    <row r="172" spans="2:23" x14ac:dyDescent="0.25">
      <c r="B172" s="39">
        <f t="shared" si="32"/>
        <v>8.9426964462817662E-40</v>
      </c>
      <c r="C172" s="39">
        <f t="shared" si="32"/>
        <v>2.3213926576365072E-37</v>
      </c>
      <c r="D172" s="39">
        <f t="shared" si="32"/>
        <v>2.9494734211544068E-35</v>
      </c>
      <c r="E172" s="39">
        <f t="shared" si="32"/>
        <v>2.4446678722365432E-33</v>
      </c>
      <c r="F172" s="39">
        <f t="shared" si="32"/>
        <v>1.4864323515254388E-31</v>
      </c>
      <c r="G172" s="39">
        <f t="shared" si="32"/>
        <v>7.0690231586081256E-30</v>
      </c>
      <c r="H172" s="39">
        <f t="shared" si="32"/>
        <v>2.7377496478437127E-28</v>
      </c>
      <c r="I172" s="39">
        <f t="shared" si="32"/>
        <v>8.8772082613853788E-27</v>
      </c>
      <c r="J172" s="39">
        <f t="shared" si="32"/>
        <v>2.4589349645094594E-25</v>
      </c>
      <c r="K172" s="39">
        <f t="shared" si="32"/>
        <v>5.9077237011904498E-24</v>
      </c>
      <c r="L172" s="39">
        <f t="shared" si="33"/>
        <v>1.2458210696587944E-22</v>
      </c>
      <c r="M172" s="39">
        <f t="shared" si="33"/>
        <v>2.3279421598872398E-21</v>
      </c>
      <c r="N172" s="39">
        <f t="shared" si="33"/>
        <v>3.8843285363504413E-20</v>
      </c>
      <c r="O172" s="39">
        <f t="shared" si="33"/>
        <v>5.8242899886028827E-19</v>
      </c>
      <c r="P172" s="39">
        <f t="shared" si="33"/>
        <v>7.8894515611183076E-18</v>
      </c>
      <c r="Q172" s="39">
        <f t="shared" si="33"/>
        <v>9.697293939460391E-17</v>
      </c>
      <c r="R172" s="39">
        <f t="shared" si="33"/>
        <v>1.0856126831576854E-15</v>
      </c>
      <c r="S172" s="39">
        <f t="shared" si="33"/>
        <v>1.1104248557852372E-14</v>
      </c>
      <c r="T172" s="39">
        <f t="shared" si="33"/>
        <v>1.040519746685769E-13</v>
      </c>
      <c r="U172" s="39">
        <f t="shared" si="33"/>
        <v>8.9522699924353666E-13</v>
      </c>
      <c r="V172" s="39">
        <f t="shared" si="33"/>
        <v>7.0852296915133401E-12</v>
      </c>
      <c r="W172" s="37">
        <v>0.83099999999999996</v>
      </c>
    </row>
    <row r="173" spans="2:23" x14ac:dyDescent="0.25">
      <c r="B173" s="39">
        <f t="shared" ref="B173:K182" si="34">_xlfn.HYPGEOM.DIST(B$2,comau,tongtheN*$W173,tongtheN,TRUE)</f>
        <v>1.1625807650246294E-39</v>
      </c>
      <c r="C173" s="39">
        <f t="shared" si="34"/>
        <v>2.9986217152108792E-37</v>
      </c>
      <c r="D173" s="39">
        <f t="shared" si="34"/>
        <v>3.7856368065686724E-35</v>
      </c>
      <c r="E173" s="39">
        <f t="shared" si="34"/>
        <v>3.1177313723255115E-33</v>
      </c>
      <c r="F173" s="39">
        <f t="shared" si="34"/>
        <v>1.8836116621766963E-31</v>
      </c>
      <c r="G173" s="39">
        <f t="shared" si="34"/>
        <v>8.9009443648902887E-30</v>
      </c>
      <c r="H173" s="39">
        <f t="shared" si="34"/>
        <v>3.4253423848713813E-28</v>
      </c>
      <c r="I173" s="39">
        <f t="shared" si="34"/>
        <v>1.1036297722236042E-26</v>
      </c>
      <c r="J173" s="39">
        <f t="shared" si="34"/>
        <v>3.0376239726386006E-25</v>
      </c>
      <c r="K173" s="39">
        <f t="shared" si="34"/>
        <v>7.2518766747757268E-24</v>
      </c>
      <c r="L173" s="39">
        <f t="shared" ref="L173:V182" si="35">_xlfn.HYPGEOM.DIST(L$2,comau,tongtheN*$W173,tongtheN,TRUE)</f>
        <v>1.5196113972582889E-22</v>
      </c>
      <c r="M173" s="39">
        <f t="shared" si="35"/>
        <v>2.8216240584997794E-21</v>
      </c>
      <c r="N173" s="39">
        <f t="shared" si="35"/>
        <v>4.6783915578404906E-20</v>
      </c>
      <c r="O173" s="39">
        <f t="shared" si="35"/>
        <v>6.9707725884078272E-19</v>
      </c>
      <c r="P173" s="39">
        <f t="shared" si="35"/>
        <v>9.3830891388406669E-18</v>
      </c>
      <c r="Q173" s="39">
        <f t="shared" si="35"/>
        <v>1.1460791877083957E-16</v>
      </c>
      <c r="R173" s="39">
        <f t="shared" si="35"/>
        <v>1.2749939149405652E-15</v>
      </c>
      <c r="S173" s="39">
        <f t="shared" si="35"/>
        <v>1.295972555113334E-14</v>
      </c>
      <c r="T173" s="39">
        <f t="shared" si="35"/>
        <v>1.2067988603056994E-13</v>
      </c>
      <c r="U173" s="39">
        <f t="shared" si="35"/>
        <v>1.0318116654681932E-12</v>
      </c>
      <c r="V173" s="39">
        <f t="shared" si="35"/>
        <v>8.115381707554041E-12</v>
      </c>
      <c r="W173" s="37">
        <v>0.83</v>
      </c>
    </row>
    <row r="174" spans="2:23" x14ac:dyDescent="0.25">
      <c r="B174" s="39">
        <f t="shared" si="34"/>
        <v>1.5899512818947371E-39</v>
      </c>
      <c r="C174" s="39">
        <f t="shared" si="34"/>
        <v>4.0696813830926306E-37</v>
      </c>
      <c r="D174" s="39">
        <f t="shared" si="34"/>
        <v>5.0986972601026571E-35</v>
      </c>
      <c r="E174" s="39">
        <f t="shared" si="34"/>
        <v>4.1671974316244602E-33</v>
      </c>
      <c r="F174" s="39">
        <f t="shared" si="34"/>
        <v>2.4985350920458579E-31</v>
      </c>
      <c r="G174" s="39">
        <f t="shared" si="34"/>
        <v>1.1717164202209654E-29</v>
      </c>
      <c r="H174" s="39">
        <f t="shared" si="34"/>
        <v>4.4749323058527462E-28</v>
      </c>
      <c r="I174" s="39">
        <f t="shared" si="34"/>
        <v>1.4308882278656811E-26</v>
      </c>
      <c r="J174" s="39">
        <f t="shared" si="34"/>
        <v>3.9085887531084322E-25</v>
      </c>
      <c r="K174" s="39">
        <f t="shared" si="34"/>
        <v>9.2607031556244021E-24</v>
      </c>
      <c r="L174" s="39">
        <f t="shared" si="35"/>
        <v>1.9259175836550198E-22</v>
      </c>
      <c r="M174" s="39">
        <f t="shared" si="35"/>
        <v>3.5491146391976025E-21</v>
      </c>
      <c r="N174" s="39">
        <f t="shared" si="35"/>
        <v>5.8403302257352593E-20</v>
      </c>
      <c r="O174" s="39">
        <f t="shared" si="35"/>
        <v>8.63666511396441E-19</v>
      </c>
      <c r="P174" s="39">
        <f t="shared" si="35"/>
        <v>1.1538247720965381E-17</v>
      </c>
      <c r="Q174" s="39">
        <f t="shared" si="35"/>
        <v>1.3987567329165646E-16</v>
      </c>
      <c r="R174" s="39">
        <f t="shared" si="35"/>
        <v>1.5444509444157384E-15</v>
      </c>
      <c r="S174" s="39">
        <f t="shared" si="35"/>
        <v>1.5581360579447936E-14</v>
      </c>
      <c r="T174" s="39">
        <f t="shared" si="35"/>
        <v>1.440102554949393E-13</v>
      </c>
      <c r="U174" s="39">
        <f t="shared" si="35"/>
        <v>1.2221193364278502E-12</v>
      </c>
      <c r="V174" s="39">
        <f t="shared" si="35"/>
        <v>9.5407571293645864E-12</v>
      </c>
      <c r="W174" s="37">
        <v>0.82899999999999996</v>
      </c>
    </row>
    <row r="175" spans="2:23" x14ac:dyDescent="0.25">
      <c r="B175" s="39">
        <f t="shared" si="34"/>
        <v>2.1701928381561115E-39</v>
      </c>
      <c r="C175" s="39">
        <f t="shared" si="34"/>
        <v>5.512773096823171E-37</v>
      </c>
      <c r="D175" s="39">
        <f t="shared" si="34"/>
        <v>6.8543709867262044E-35</v>
      </c>
      <c r="E175" s="39">
        <f t="shared" si="34"/>
        <v>5.559742072612761E-33</v>
      </c>
      <c r="F175" s="39">
        <f t="shared" si="34"/>
        <v>3.3082762648616476E-31</v>
      </c>
      <c r="G175" s="39">
        <f t="shared" si="34"/>
        <v>1.5397428376782875E-29</v>
      </c>
      <c r="H175" s="39">
        <f t="shared" si="34"/>
        <v>5.8361329686304339E-28</v>
      </c>
      <c r="I175" s="39">
        <f t="shared" si="34"/>
        <v>1.8520861601099787E-26</v>
      </c>
      <c r="J175" s="39">
        <f t="shared" si="34"/>
        <v>5.021067157190775E-25</v>
      </c>
      <c r="K175" s="39">
        <f t="shared" si="34"/>
        <v>1.1807133749105745E-23</v>
      </c>
      <c r="L175" s="39">
        <f t="shared" si="35"/>
        <v>2.4370625078280869E-22</v>
      </c>
      <c r="M175" s="39">
        <f t="shared" si="35"/>
        <v>4.4573992597096306E-21</v>
      </c>
      <c r="N175" s="39">
        <f t="shared" si="35"/>
        <v>7.2800717237042936E-20</v>
      </c>
      <c r="O175" s="39">
        <f t="shared" si="35"/>
        <v>1.0685268030799957E-18</v>
      </c>
      <c r="P175" s="39">
        <f t="shared" si="35"/>
        <v>1.4168529520764052E-17</v>
      </c>
      <c r="Q175" s="39">
        <f t="shared" si="35"/>
        <v>1.7048154000537952E-16</v>
      </c>
      <c r="R175" s="39">
        <f t="shared" si="35"/>
        <v>1.8683765478757057E-15</v>
      </c>
      <c r="S175" s="39">
        <f t="shared" si="35"/>
        <v>1.8709228805292149E-14</v>
      </c>
      <c r="T175" s="39">
        <f t="shared" si="35"/>
        <v>1.7163644709073908E-13</v>
      </c>
      <c r="U175" s="39">
        <f t="shared" si="35"/>
        <v>1.445775877690894E-12</v>
      </c>
      <c r="V175" s="39">
        <f t="shared" si="35"/>
        <v>1.1203339605493333E-11</v>
      </c>
      <c r="W175" s="37">
        <v>0.82799999999999996</v>
      </c>
    </row>
    <row r="176" spans="2:23" x14ac:dyDescent="0.25">
      <c r="B176" s="39">
        <f t="shared" si="34"/>
        <v>2.9564948668924505E-39</v>
      </c>
      <c r="C176" s="39">
        <f t="shared" si="34"/>
        <v>7.453513597567467E-37</v>
      </c>
      <c r="D176" s="39">
        <f t="shared" si="34"/>
        <v>9.1975911901235467E-35</v>
      </c>
      <c r="E176" s="39">
        <f t="shared" si="34"/>
        <v>7.4042348464055447E-33</v>
      </c>
      <c r="F176" s="39">
        <f t="shared" si="34"/>
        <v>4.3727020053366167E-31</v>
      </c>
      <c r="G176" s="39">
        <f t="shared" si="34"/>
        <v>2.019865519858724E-29</v>
      </c>
      <c r="H176" s="39">
        <f t="shared" si="34"/>
        <v>7.5985238142290086E-28</v>
      </c>
      <c r="I176" s="39">
        <f t="shared" si="34"/>
        <v>2.3933087448052976E-26</v>
      </c>
      <c r="J176" s="39">
        <f t="shared" si="34"/>
        <v>6.4397771406023559E-25</v>
      </c>
      <c r="K176" s="39">
        <f t="shared" si="34"/>
        <v>1.5030049698696479E-23</v>
      </c>
      <c r="L176" s="39">
        <f t="shared" si="35"/>
        <v>3.0791275550949271E-22</v>
      </c>
      <c r="M176" s="39">
        <f t="shared" si="35"/>
        <v>5.5897409812605298E-21</v>
      </c>
      <c r="N176" s="39">
        <f t="shared" si="35"/>
        <v>9.0614796130948404E-20</v>
      </c>
      <c r="O176" s="39">
        <f t="shared" si="35"/>
        <v>1.3200990083218631E-18</v>
      </c>
      <c r="P176" s="39">
        <f t="shared" si="35"/>
        <v>1.7374325548276408E-17</v>
      </c>
      <c r="Q176" s="39">
        <f t="shared" si="35"/>
        <v>2.0750438042145894E-16</v>
      </c>
      <c r="R176" s="39">
        <f t="shared" si="35"/>
        <v>2.2572824000393959E-15</v>
      </c>
      <c r="S176" s="39">
        <f t="shared" si="35"/>
        <v>2.2436444251200417E-14</v>
      </c>
      <c r="T176" s="39">
        <f t="shared" si="35"/>
        <v>2.043100184304278E-13</v>
      </c>
      <c r="U176" s="39">
        <f t="shared" si="35"/>
        <v>1.708318256959522E-12</v>
      </c>
      <c r="V176" s="39">
        <f t="shared" si="35"/>
        <v>1.31404122836757E-11</v>
      </c>
      <c r="W176" s="37">
        <v>0.82699999999999996</v>
      </c>
    </row>
    <row r="177" spans="2:23" x14ac:dyDescent="0.25">
      <c r="B177" s="39">
        <f t="shared" si="34"/>
        <v>3.8198399446084771E-39</v>
      </c>
      <c r="C177" s="39">
        <f t="shared" si="34"/>
        <v>9.569780148021019E-37</v>
      </c>
      <c r="D177" s="39">
        <f t="shared" si="34"/>
        <v>1.1735206320001505E-34</v>
      </c>
      <c r="E177" s="39">
        <f t="shared" si="34"/>
        <v>9.3880501451488E-33</v>
      </c>
      <c r="F177" s="39">
        <f t="shared" si="34"/>
        <v>5.5096828245285192E-31</v>
      </c>
      <c r="G177" s="39">
        <f t="shared" si="34"/>
        <v>2.5292026652815015E-29</v>
      </c>
      <c r="H177" s="39">
        <f t="shared" si="34"/>
        <v>9.4553556374439416E-28</v>
      </c>
      <c r="I177" s="39">
        <f t="shared" si="34"/>
        <v>2.9596332115872328E-26</v>
      </c>
      <c r="J177" s="39">
        <f t="shared" si="34"/>
        <v>7.9141385719120564E-25</v>
      </c>
      <c r="K177" s="39">
        <f t="shared" si="34"/>
        <v>1.83565080198946E-23</v>
      </c>
      <c r="L177" s="39">
        <f t="shared" si="35"/>
        <v>3.7372955328551268E-22</v>
      </c>
      <c r="M177" s="39">
        <f t="shared" si="35"/>
        <v>6.7425614584418052E-21</v>
      </c>
      <c r="N177" s="39">
        <f t="shared" si="35"/>
        <v>1.0862737237642015E-19</v>
      </c>
      <c r="O177" s="39">
        <f t="shared" si="35"/>
        <v>1.5727408257830294E-18</v>
      </c>
      <c r="P177" s="39">
        <f t="shared" si="35"/>
        <v>2.057182451913985E-17</v>
      </c>
      <c r="Q177" s="39">
        <f t="shared" si="35"/>
        <v>2.4418004838450481E-16</v>
      </c>
      <c r="R177" s="39">
        <f t="shared" si="35"/>
        <v>2.6399206357345597E-15</v>
      </c>
      <c r="S177" s="39">
        <f t="shared" si="35"/>
        <v>2.6078661021252224E-14</v>
      </c>
      <c r="T177" s="39">
        <f t="shared" si="35"/>
        <v>2.3602154263434315E-13</v>
      </c>
      <c r="U177" s="39">
        <f t="shared" si="35"/>
        <v>1.9614000784643436E-12</v>
      </c>
      <c r="V177" s="39">
        <f t="shared" si="35"/>
        <v>1.4995012386998863E-11</v>
      </c>
      <c r="W177" s="37">
        <v>0.82599999999999996</v>
      </c>
    </row>
    <row r="178" spans="2:23" x14ac:dyDescent="0.25">
      <c r="B178" s="39">
        <f t="shared" si="34"/>
        <v>5.1858314532136507E-39</v>
      </c>
      <c r="C178" s="39">
        <f t="shared" si="34"/>
        <v>1.2894894022881448E-36</v>
      </c>
      <c r="D178" s="39">
        <f t="shared" si="34"/>
        <v>1.5694681490266449E-34</v>
      </c>
      <c r="E178" s="39">
        <f t="shared" si="34"/>
        <v>1.2461965827015423E-32</v>
      </c>
      <c r="F178" s="39">
        <f t="shared" si="34"/>
        <v>7.2592306817419323E-31</v>
      </c>
      <c r="G178" s="39">
        <f t="shared" si="34"/>
        <v>3.3075315199618766E-29</v>
      </c>
      <c r="H178" s="39">
        <f t="shared" si="34"/>
        <v>1.2273210091713578E-27</v>
      </c>
      <c r="I178" s="39">
        <f t="shared" si="34"/>
        <v>3.813131438828376E-26</v>
      </c>
      <c r="J178" s="39">
        <f t="shared" si="34"/>
        <v>1.0120799835006354E-24</v>
      </c>
      <c r="K178" s="39">
        <f t="shared" si="34"/>
        <v>2.3300881860865813E-23</v>
      </c>
      <c r="L178" s="39">
        <f t="shared" si="35"/>
        <v>4.7088486556664739E-22</v>
      </c>
      <c r="M178" s="39">
        <f t="shared" si="35"/>
        <v>8.4325943414201255E-21</v>
      </c>
      <c r="N178" s="39">
        <f t="shared" si="35"/>
        <v>1.3485240556563219E-19</v>
      </c>
      <c r="O178" s="39">
        <f t="shared" si="35"/>
        <v>1.9380455249218179E-18</v>
      </c>
      <c r="P178" s="39">
        <f t="shared" si="35"/>
        <v>2.5163522368521581E-17</v>
      </c>
      <c r="Q178" s="39">
        <f t="shared" si="35"/>
        <v>2.9648669045601068E-16</v>
      </c>
      <c r="R178" s="39">
        <f t="shared" si="35"/>
        <v>3.1819042280018121E-15</v>
      </c>
      <c r="S178" s="39">
        <f t="shared" si="35"/>
        <v>3.1202383142816365E-14</v>
      </c>
      <c r="T178" s="39">
        <f t="shared" si="35"/>
        <v>2.803274803932977E-13</v>
      </c>
      <c r="U178" s="39">
        <f t="shared" si="35"/>
        <v>2.3125833592877339E-12</v>
      </c>
      <c r="V178" s="39">
        <f t="shared" si="35"/>
        <v>1.7550973508203244E-11</v>
      </c>
      <c r="W178" s="37">
        <v>0.82499999999999996</v>
      </c>
    </row>
    <row r="179" spans="2:23" x14ac:dyDescent="0.25">
      <c r="B179" s="39">
        <f t="shared" si="34"/>
        <v>7.027236257102419E-39</v>
      </c>
      <c r="C179" s="39">
        <f t="shared" si="34"/>
        <v>1.7343742851691006E-36</v>
      </c>
      <c r="D179" s="39">
        <f t="shared" si="34"/>
        <v>2.095269004606986E-34</v>
      </c>
      <c r="E179" s="39">
        <f t="shared" si="34"/>
        <v>1.6513512384018076E-32</v>
      </c>
      <c r="F179" s="39">
        <f t="shared" si="34"/>
        <v>9.5480030545246437E-31</v>
      </c>
      <c r="G179" s="39">
        <f t="shared" si="34"/>
        <v>4.3181575217421165E-29</v>
      </c>
      <c r="H179" s="39">
        <f t="shared" si="34"/>
        <v>1.5904819370792618E-27</v>
      </c>
      <c r="I179" s="39">
        <f t="shared" si="34"/>
        <v>4.9049213141911621E-26</v>
      </c>
      <c r="J179" s="39">
        <f t="shared" si="34"/>
        <v>1.2922557965247937E-24</v>
      </c>
      <c r="K179" s="39">
        <f t="shared" si="34"/>
        <v>2.9532020945551325E-23</v>
      </c>
      <c r="L179" s="39">
        <f t="shared" si="35"/>
        <v>5.9241570905445204E-22</v>
      </c>
      <c r="M179" s="39">
        <f t="shared" si="35"/>
        <v>1.0530961901111388E-20</v>
      </c>
      <c r="N179" s="39">
        <f t="shared" si="35"/>
        <v>1.6717241895166447E-19</v>
      </c>
      <c r="O179" s="39">
        <f t="shared" si="35"/>
        <v>2.3849168044984281E-18</v>
      </c>
      <c r="P179" s="39">
        <f t="shared" si="35"/>
        <v>3.0738906602261148E-17</v>
      </c>
      <c r="Q179" s="39">
        <f t="shared" si="35"/>
        <v>3.5952945768570244E-16</v>
      </c>
      <c r="R179" s="39">
        <f t="shared" si="35"/>
        <v>3.8303058598910643E-15</v>
      </c>
      <c r="S179" s="39">
        <f t="shared" si="35"/>
        <v>3.7286893867300452E-14</v>
      </c>
      <c r="T179" s="39">
        <f t="shared" si="35"/>
        <v>3.3255347897439995E-13</v>
      </c>
      <c r="U179" s="39">
        <f t="shared" si="35"/>
        <v>2.7234926559392053E-12</v>
      </c>
      <c r="V179" s="39">
        <f t="shared" si="35"/>
        <v>2.0519604915753873E-11</v>
      </c>
      <c r="W179" s="37">
        <v>0.82399999999999995</v>
      </c>
    </row>
    <row r="180" spans="2:23" x14ac:dyDescent="0.25">
      <c r="B180" s="39">
        <f t="shared" si="34"/>
        <v>9.5050278247695092E-39</v>
      </c>
      <c r="C180" s="39">
        <f t="shared" si="34"/>
        <v>2.3285557980347626E-36</v>
      </c>
      <c r="D180" s="39">
        <f t="shared" si="34"/>
        <v>2.7922989128850084E-34</v>
      </c>
      <c r="E180" s="39">
        <f t="shared" si="34"/>
        <v>2.1844556077083915E-32</v>
      </c>
      <c r="F180" s="39">
        <f t="shared" si="34"/>
        <v>1.2537223426595062E-30</v>
      </c>
      <c r="G180" s="39">
        <f t="shared" si="34"/>
        <v>5.6282813778776725E-29</v>
      </c>
      <c r="H180" s="39">
        <f t="shared" si="34"/>
        <v>2.0577759193902762E-27</v>
      </c>
      <c r="I180" s="39">
        <f t="shared" si="34"/>
        <v>6.2993680829759527E-26</v>
      </c>
      <c r="J180" s="39">
        <f t="shared" si="34"/>
        <v>1.6474516945155231E-24</v>
      </c>
      <c r="K180" s="39">
        <f t="shared" si="34"/>
        <v>3.7373207384049269E-23</v>
      </c>
      <c r="L180" s="39">
        <f t="shared" si="35"/>
        <v>7.4421875527441523E-22</v>
      </c>
      <c r="M180" s="39">
        <f t="shared" si="35"/>
        <v>1.313266525838508E-20</v>
      </c>
      <c r="N180" s="39">
        <f t="shared" si="35"/>
        <v>2.0694946970532197E-19</v>
      </c>
      <c r="O180" s="39">
        <f t="shared" si="35"/>
        <v>2.9308392031216263E-18</v>
      </c>
      <c r="P180" s="39">
        <f t="shared" si="35"/>
        <v>3.7499943064267094E-17</v>
      </c>
      <c r="Q180" s="39">
        <f t="shared" si="35"/>
        <v>4.3541627286391491E-16</v>
      </c>
      <c r="R180" s="39">
        <f t="shared" si="35"/>
        <v>4.6050714308708593E-15</v>
      </c>
      <c r="S180" s="39">
        <f t="shared" si="35"/>
        <v>4.450377574645538E-14</v>
      </c>
      <c r="T180" s="39">
        <f t="shared" si="35"/>
        <v>3.9404439633122005E-13</v>
      </c>
      <c r="U180" s="39">
        <f t="shared" si="35"/>
        <v>3.2037489062948668E-12</v>
      </c>
      <c r="V180" s="39">
        <f t="shared" si="35"/>
        <v>2.3963807799186557E-11</v>
      </c>
      <c r="W180" s="37">
        <v>0.82299999999999995</v>
      </c>
    </row>
    <row r="181" spans="2:23" x14ac:dyDescent="0.25">
      <c r="B181" s="39">
        <f t="shared" si="34"/>
        <v>1.2208396042421243E-38</v>
      </c>
      <c r="C181" s="39">
        <f t="shared" si="34"/>
        <v>2.9724632808423994E-36</v>
      </c>
      <c r="D181" s="39">
        <f t="shared" si="34"/>
        <v>3.5425755636651826E-34</v>
      </c>
      <c r="E181" s="39">
        <f t="shared" si="34"/>
        <v>2.7544226109645631E-32</v>
      </c>
      <c r="F181" s="39">
        <f t="shared" si="34"/>
        <v>1.5711645199079955E-30</v>
      </c>
      <c r="G181" s="39">
        <f t="shared" si="34"/>
        <v>7.0102240902925684E-29</v>
      </c>
      <c r="H181" s="39">
        <f t="shared" si="34"/>
        <v>2.5473750351046962E-27</v>
      </c>
      <c r="I181" s="39">
        <f t="shared" si="34"/>
        <v>7.7505668006354266E-26</v>
      </c>
      <c r="J181" s="39">
        <f t="shared" si="34"/>
        <v>2.014623352714207E-24</v>
      </c>
      <c r="K181" s="39">
        <f t="shared" si="34"/>
        <v>4.5424414581599822E-23</v>
      </c>
      <c r="L181" s="39">
        <f t="shared" si="35"/>
        <v>8.9904317843324801E-22</v>
      </c>
      <c r="M181" s="39">
        <f t="shared" si="35"/>
        <v>1.576837914781918E-20</v>
      </c>
      <c r="N181" s="39">
        <f t="shared" si="35"/>
        <v>2.4697677101389438E-19</v>
      </c>
      <c r="O181" s="39">
        <f t="shared" si="35"/>
        <v>3.476521196497643E-18</v>
      </c>
      <c r="P181" s="39">
        <f t="shared" si="35"/>
        <v>4.4212820199758735E-17</v>
      </c>
      <c r="Q181" s="39">
        <f t="shared" si="35"/>
        <v>5.1025910030003831E-16</v>
      </c>
      <c r="R181" s="39">
        <f t="shared" si="35"/>
        <v>5.3640759054900689E-15</v>
      </c>
      <c r="S181" s="39">
        <f t="shared" si="35"/>
        <v>5.1526659901678015E-14</v>
      </c>
      <c r="T181" s="39">
        <f t="shared" si="35"/>
        <v>4.5348325773971514E-13</v>
      </c>
      <c r="U181" s="39">
        <f t="shared" si="35"/>
        <v>3.6648836564414874E-12</v>
      </c>
      <c r="V181" s="39">
        <f t="shared" si="35"/>
        <v>2.7248847156726886E-11</v>
      </c>
      <c r="W181" s="37">
        <v>0.82199999999999995</v>
      </c>
    </row>
    <row r="182" spans="2:23" x14ac:dyDescent="0.25">
      <c r="B182" s="39">
        <f t="shared" si="34"/>
        <v>1.6458507456025292E-38</v>
      </c>
      <c r="C182" s="39">
        <f t="shared" si="34"/>
        <v>3.9778856326804543E-36</v>
      </c>
      <c r="D182" s="39">
        <f t="shared" si="34"/>
        <v>4.7061105369284958E-34</v>
      </c>
      <c r="E182" s="39">
        <f t="shared" si="34"/>
        <v>3.6323198016934718E-32</v>
      </c>
      <c r="F182" s="39">
        <f t="shared" si="34"/>
        <v>2.0567855550684243E-30</v>
      </c>
      <c r="G182" s="39">
        <f t="shared" si="34"/>
        <v>9.1099605638233466E-29</v>
      </c>
      <c r="H182" s="39">
        <f t="shared" si="34"/>
        <v>3.286231770616305E-27</v>
      </c>
      <c r="I182" s="39">
        <f t="shared" si="34"/>
        <v>9.9257423871468315E-26</v>
      </c>
      <c r="J182" s="39">
        <f t="shared" si="34"/>
        <v>2.5612456757768697E-24</v>
      </c>
      <c r="K182" s="39">
        <f t="shared" si="34"/>
        <v>5.7329511746417655E-23</v>
      </c>
      <c r="L182" s="39">
        <f t="shared" si="35"/>
        <v>1.1264314620203185E-21</v>
      </c>
      <c r="M182" s="39">
        <f t="shared" si="35"/>
        <v>1.9613291882027092E-20</v>
      </c>
      <c r="N182" s="39">
        <f t="shared" si="35"/>
        <v>3.0497397713280264E-19</v>
      </c>
      <c r="O182" s="39">
        <f t="shared" si="35"/>
        <v>4.2618578199298736E-18</v>
      </c>
      <c r="P182" s="39">
        <f t="shared" si="35"/>
        <v>5.3808888055434642E-17</v>
      </c>
      <c r="Q182" s="39">
        <f t="shared" si="35"/>
        <v>6.1652797808820817E-16</v>
      </c>
      <c r="R182" s="39">
        <f t="shared" si="35"/>
        <v>6.434545774240407E-15</v>
      </c>
      <c r="S182" s="39">
        <f t="shared" si="35"/>
        <v>6.1365020101876194E-14</v>
      </c>
      <c r="T182" s="39">
        <f t="shared" si="35"/>
        <v>5.3619319526901752E-13</v>
      </c>
      <c r="U182" s="39">
        <f t="shared" si="35"/>
        <v>4.3022629448674396E-12</v>
      </c>
      <c r="V182" s="39">
        <f t="shared" si="35"/>
        <v>3.175905379444729E-11</v>
      </c>
      <c r="W182" s="37">
        <v>0.82099999999999995</v>
      </c>
    </row>
    <row r="183" spans="2:23" x14ac:dyDescent="0.25">
      <c r="B183" s="39">
        <f t="shared" ref="B183:K192" si="36">_xlfn.HYPGEOM.DIST(B$2,comau,tongtheN*$W183,tongtheN,TRUE)</f>
        <v>2.2148874634035187E-38</v>
      </c>
      <c r="C183" s="39">
        <f t="shared" si="36"/>
        <v>5.3141398514009895E-36</v>
      </c>
      <c r="D183" s="39">
        <f t="shared" si="36"/>
        <v>6.2411626656653052E-34</v>
      </c>
      <c r="E183" s="39">
        <f t="shared" si="36"/>
        <v>4.7820422972556888E-32</v>
      </c>
      <c r="F183" s="39">
        <f t="shared" si="36"/>
        <v>2.6881136081798268E-30</v>
      </c>
      <c r="G183" s="39">
        <f t="shared" si="36"/>
        <v>1.1819735093853902E-28</v>
      </c>
      <c r="H183" s="39">
        <f t="shared" si="36"/>
        <v>4.2327781565468667E-27</v>
      </c>
      <c r="I183" s="39">
        <f t="shared" si="36"/>
        <v>1.2691994853827835E-25</v>
      </c>
      <c r="J183" s="39">
        <f t="shared" si="36"/>
        <v>3.2513316644456228E-24</v>
      </c>
      <c r="K183" s="39">
        <f t="shared" si="36"/>
        <v>7.2249540510688077E-23</v>
      </c>
      <c r="L183" s="39">
        <f t="shared" ref="L183:V192" si="37">_xlfn.HYPGEOM.DIST(L$2,comau,tongtheN*$W183,tongtheN,TRUE)</f>
        <v>1.4093283577688787E-21</v>
      </c>
      <c r="M183" s="39">
        <f t="shared" si="37"/>
        <v>2.4361967186377868E-20</v>
      </c>
      <c r="N183" s="39">
        <f t="shared" si="37"/>
        <v>3.7608246643627318E-19</v>
      </c>
      <c r="O183" s="39">
        <f t="shared" si="37"/>
        <v>5.2177328523298211E-18</v>
      </c>
      <c r="P183" s="39">
        <f t="shared" si="37"/>
        <v>6.5403920187838145E-17</v>
      </c>
      <c r="Q183" s="39">
        <f t="shared" si="37"/>
        <v>7.440016822414643E-16</v>
      </c>
      <c r="R183" s="39">
        <f t="shared" si="37"/>
        <v>7.709302478818342E-15</v>
      </c>
      <c r="S183" s="39">
        <f t="shared" si="37"/>
        <v>7.2996002482554248E-14</v>
      </c>
      <c r="T183" s="39">
        <f t="shared" si="37"/>
        <v>6.3326534865445101E-13</v>
      </c>
      <c r="U183" s="39">
        <f t="shared" si="37"/>
        <v>5.0449069425954265E-12</v>
      </c>
      <c r="V183" s="39">
        <f t="shared" si="37"/>
        <v>3.6976132461597828E-11</v>
      </c>
      <c r="W183" s="37">
        <v>0.82</v>
      </c>
    </row>
    <row r="184" spans="2:23" x14ac:dyDescent="0.25">
      <c r="B184" s="39">
        <f t="shared" si="36"/>
        <v>2.9754411274945139E-38</v>
      </c>
      <c r="C184" s="39">
        <f t="shared" si="36"/>
        <v>7.0870821106587928E-36</v>
      </c>
      <c r="D184" s="39">
        <f t="shared" si="36"/>
        <v>8.2630040603447356E-34</v>
      </c>
      <c r="E184" s="39">
        <f t="shared" si="36"/>
        <v>6.2853156370288701E-32</v>
      </c>
      <c r="F184" s="39">
        <f t="shared" si="36"/>
        <v>3.5075655662948898E-30</v>
      </c>
      <c r="G184" s="39">
        <f t="shared" si="36"/>
        <v>1.5311359787048103E-28</v>
      </c>
      <c r="H184" s="39">
        <f t="shared" si="36"/>
        <v>5.4435569152272144E-27</v>
      </c>
      <c r="I184" s="39">
        <f t="shared" si="36"/>
        <v>1.62047323307818E-25</v>
      </c>
      <c r="J184" s="39">
        <f t="shared" si="36"/>
        <v>4.121274206211469E-24</v>
      </c>
      <c r="K184" s="39">
        <f t="shared" si="36"/>
        <v>9.0921632800890879E-23</v>
      </c>
      <c r="L184" s="39">
        <f t="shared" si="37"/>
        <v>1.7607997267172998E-21</v>
      </c>
      <c r="M184" s="39">
        <f t="shared" si="37"/>
        <v>3.0218966429010528E-20</v>
      </c>
      <c r="N184" s="39">
        <f t="shared" si="37"/>
        <v>4.6315226439479202E-19</v>
      </c>
      <c r="O184" s="39">
        <f t="shared" si="37"/>
        <v>6.3796978865222227E-18</v>
      </c>
      <c r="P184" s="39">
        <f t="shared" si="37"/>
        <v>7.9396964681030229E-17</v>
      </c>
      <c r="Q184" s="39">
        <f t="shared" si="37"/>
        <v>8.9672721055207167E-16</v>
      </c>
      <c r="R184" s="39">
        <f t="shared" si="37"/>
        <v>9.2255550718646913E-15</v>
      </c>
      <c r="S184" s="39">
        <f t="shared" si="37"/>
        <v>8.6730611965267594E-14</v>
      </c>
      <c r="T184" s="39">
        <f t="shared" si="37"/>
        <v>7.4706808038859223E-13</v>
      </c>
      <c r="U184" s="39">
        <f t="shared" si="37"/>
        <v>5.9092760529997206E-12</v>
      </c>
      <c r="V184" s="39">
        <f t="shared" si="37"/>
        <v>4.3004627633699644E-11</v>
      </c>
      <c r="W184" s="37">
        <v>0.81899999999999995</v>
      </c>
    </row>
    <row r="185" spans="2:23" x14ac:dyDescent="0.25">
      <c r="B185" s="39">
        <f t="shared" si="36"/>
        <v>3.9902350695113221E-38</v>
      </c>
      <c r="C185" s="39">
        <f t="shared" si="36"/>
        <v>9.4354908210629915E-36</v>
      </c>
      <c r="D185" s="39">
        <f t="shared" si="36"/>
        <v>1.0921645400133617E-33</v>
      </c>
      <c r="E185" s="39">
        <f t="shared" si="36"/>
        <v>8.2477118155871187E-32</v>
      </c>
      <c r="F185" s="39">
        <f t="shared" si="36"/>
        <v>4.5695319674492189E-30</v>
      </c>
      <c r="G185" s="39">
        <f t="shared" si="36"/>
        <v>1.9803526403668434E-28</v>
      </c>
      <c r="H185" s="39">
        <f t="shared" si="36"/>
        <v>6.9900094115071096E-27</v>
      </c>
      <c r="I185" s="39">
        <f t="shared" si="36"/>
        <v>2.0658867994587694E-25</v>
      </c>
      <c r="J185" s="39">
        <f t="shared" si="36"/>
        <v>5.2163816505346423E-24</v>
      </c>
      <c r="K185" s="39">
        <f t="shared" si="36"/>
        <v>1.1425675167837314E-22</v>
      </c>
      <c r="L185" s="39">
        <f t="shared" si="37"/>
        <v>2.1968738388289067E-21</v>
      </c>
      <c r="M185" s="39">
        <f t="shared" si="37"/>
        <v>3.7433384145297793E-20</v>
      </c>
      <c r="N185" s="39">
        <f t="shared" si="37"/>
        <v>5.6962829610854129E-19</v>
      </c>
      <c r="O185" s="39">
        <f t="shared" si="37"/>
        <v>7.7904087722224765E-18</v>
      </c>
      <c r="P185" s="39">
        <f t="shared" si="37"/>
        <v>9.6263280966771965E-17</v>
      </c>
      <c r="Q185" s="39">
        <f t="shared" si="37"/>
        <v>1.0794888951091524E-15</v>
      </c>
      <c r="R185" s="39">
        <f t="shared" si="37"/>
        <v>1.1026966788190282E-14</v>
      </c>
      <c r="S185" s="39">
        <f t="shared" si="37"/>
        <v>1.0293109882692264E-13</v>
      </c>
      <c r="T185" s="39">
        <f t="shared" si="37"/>
        <v>8.8033954513426141E-13</v>
      </c>
      <c r="U185" s="39">
        <f t="shared" si="37"/>
        <v>6.914259386232078E-12</v>
      </c>
      <c r="V185" s="39">
        <f t="shared" si="37"/>
        <v>4.9963615429005755E-11</v>
      </c>
      <c r="W185" s="37">
        <v>0.81799999999999995</v>
      </c>
    </row>
    <row r="186" spans="2:23" x14ac:dyDescent="0.25">
      <c r="B186" s="39">
        <f t="shared" si="36"/>
        <v>5.089040090676046E-38</v>
      </c>
      <c r="C186" s="39">
        <f t="shared" si="36"/>
        <v>1.1961571209551807E-35</v>
      </c>
      <c r="D186" s="39">
        <f t="shared" si="36"/>
        <v>1.3762608647089952E-33</v>
      </c>
      <c r="E186" s="39">
        <f t="shared" si="36"/>
        <v>1.0330890807902706E-31</v>
      </c>
      <c r="F186" s="39">
        <f t="shared" si="36"/>
        <v>5.6894503293269921E-30</v>
      </c>
      <c r="G186" s="39">
        <f t="shared" si="36"/>
        <v>2.4509709147798424E-28</v>
      </c>
      <c r="H186" s="39">
        <f t="shared" si="36"/>
        <v>8.5995002366061864E-27</v>
      </c>
      <c r="I186" s="39">
        <f t="shared" si="36"/>
        <v>2.5264147533932727E-25</v>
      </c>
      <c r="J186" s="39">
        <f t="shared" si="36"/>
        <v>6.3412237529945488E-24</v>
      </c>
      <c r="K186" s="39">
        <f t="shared" si="36"/>
        <v>1.3806836182715788E-22</v>
      </c>
      <c r="L186" s="39">
        <f t="shared" si="37"/>
        <v>2.6389372787622802E-21</v>
      </c>
      <c r="M186" s="39">
        <f t="shared" si="37"/>
        <v>4.4699005427216114E-20</v>
      </c>
      <c r="N186" s="39">
        <f t="shared" si="37"/>
        <v>6.7615834714271384E-19</v>
      </c>
      <c r="O186" s="39">
        <f t="shared" si="37"/>
        <v>9.1926047779597792E-18</v>
      </c>
      <c r="P186" s="39">
        <f t="shared" si="37"/>
        <v>1.1291821814171492E-16</v>
      </c>
      <c r="Q186" s="39">
        <f t="shared" si="37"/>
        <v>1.2587811704777924E-15</v>
      </c>
      <c r="R186" s="39">
        <f t="shared" si="37"/>
        <v>1.2782644076898744E-14</v>
      </c>
      <c r="S186" s="39">
        <f t="shared" si="37"/>
        <v>1.186172597712892E-13</v>
      </c>
      <c r="T186" s="39">
        <f t="shared" si="37"/>
        <v>1.0085384369004679E-12</v>
      </c>
      <c r="U186" s="39">
        <f t="shared" si="37"/>
        <v>7.874690150573169E-12</v>
      </c>
      <c r="V186" s="39">
        <f t="shared" si="37"/>
        <v>5.6570777840858963E-11</v>
      </c>
      <c r="W186" s="37">
        <v>0.81699999999999995</v>
      </c>
    </row>
    <row r="187" spans="2:23" x14ac:dyDescent="0.25">
      <c r="B187" s="39">
        <f t="shared" si="36"/>
        <v>6.8033995300050015E-38</v>
      </c>
      <c r="C187" s="39">
        <f t="shared" si="36"/>
        <v>1.5876526085030405E-35</v>
      </c>
      <c r="D187" s="39">
        <f t="shared" si="36"/>
        <v>1.8136282341253571E-33</v>
      </c>
      <c r="E187" s="39">
        <f t="shared" si="36"/>
        <v>1.3516638215124518E-31</v>
      </c>
      <c r="F187" s="39">
        <f t="shared" si="36"/>
        <v>7.3907386334546247E-30</v>
      </c>
      <c r="G187" s="39">
        <f t="shared" si="36"/>
        <v>3.1611533792641232E-28</v>
      </c>
      <c r="H187" s="39">
        <f t="shared" si="36"/>
        <v>1.1012193269182531E-26</v>
      </c>
      <c r="I187" s="39">
        <f t="shared" si="36"/>
        <v>3.2121946718117044E-25</v>
      </c>
      <c r="J187" s="39">
        <f t="shared" si="36"/>
        <v>8.0051662785771346E-24</v>
      </c>
      <c r="K187" s="39">
        <f t="shared" si="36"/>
        <v>1.7305935709984042E-22</v>
      </c>
      <c r="L187" s="39">
        <f t="shared" si="37"/>
        <v>3.2842581073755866E-21</v>
      </c>
      <c r="M187" s="39">
        <f t="shared" si="37"/>
        <v>5.523535483409338E-20</v>
      </c>
      <c r="N187" s="39">
        <f t="shared" si="37"/>
        <v>8.2962662950243363E-19</v>
      </c>
      <c r="O187" s="39">
        <f t="shared" si="37"/>
        <v>1.1199326136701202E-17</v>
      </c>
      <c r="P187" s="39">
        <f t="shared" si="37"/>
        <v>1.3659681432375318E-16</v>
      </c>
      <c r="Q187" s="39">
        <f t="shared" si="37"/>
        <v>1.5120092637017206E-15</v>
      </c>
      <c r="R187" s="39">
        <f t="shared" si="37"/>
        <v>1.5246044968055362E-14</v>
      </c>
      <c r="S187" s="39">
        <f t="shared" si="37"/>
        <v>1.4048228105036124E-13</v>
      </c>
      <c r="T187" s="39">
        <f t="shared" si="37"/>
        <v>1.1860648895859099E-12</v>
      </c>
      <c r="U187" s="39">
        <f t="shared" si="37"/>
        <v>9.1959649750049671E-12</v>
      </c>
      <c r="V187" s="39">
        <f t="shared" si="37"/>
        <v>6.5600888932482598E-11</v>
      </c>
      <c r="W187" s="37">
        <v>0.81599999999999995</v>
      </c>
    </row>
    <row r="188" spans="2:23" x14ac:dyDescent="0.25">
      <c r="B188" s="39">
        <f t="shared" si="36"/>
        <v>9.0800449990891217E-38</v>
      </c>
      <c r="C188" s="39">
        <f t="shared" si="36"/>
        <v>2.1038232356043158E-35</v>
      </c>
      <c r="D188" s="39">
        <f t="shared" si="36"/>
        <v>2.3861451368261783E-33</v>
      </c>
      <c r="E188" s="39">
        <f t="shared" si="36"/>
        <v>1.7656931245427543E-31</v>
      </c>
      <c r="F188" s="39">
        <f t="shared" si="36"/>
        <v>9.5859576589873165E-30</v>
      </c>
      <c r="G188" s="39">
        <f t="shared" si="36"/>
        <v>4.070967086321495E-28</v>
      </c>
      <c r="H188" s="39">
        <f t="shared" si="36"/>
        <v>1.4081000253838287E-26</v>
      </c>
      <c r="I188" s="39">
        <f t="shared" si="36"/>
        <v>4.0782379982759414E-25</v>
      </c>
      <c r="J188" s="39">
        <f t="shared" si="36"/>
        <v>1.0091495798612852E-23</v>
      </c>
      <c r="K188" s="39">
        <f t="shared" si="36"/>
        <v>2.1661986877855358E-22</v>
      </c>
      <c r="L188" s="39">
        <f t="shared" si="37"/>
        <v>4.0818979129584933E-21</v>
      </c>
      <c r="M188" s="39">
        <f t="shared" si="37"/>
        <v>6.8165938213884315E-20</v>
      </c>
      <c r="N188" s="39">
        <f t="shared" si="37"/>
        <v>1.0166284180612699E-18</v>
      </c>
      <c r="O188" s="39">
        <f t="shared" si="37"/>
        <v>1.3627141882379933E-17</v>
      </c>
      <c r="P188" s="39">
        <f t="shared" si="37"/>
        <v>1.6504067018182255E-16</v>
      </c>
      <c r="Q188" s="39">
        <f t="shared" si="37"/>
        <v>1.8140396307080826E-15</v>
      </c>
      <c r="R188" s="39">
        <f t="shared" si="37"/>
        <v>1.8163353501801677E-14</v>
      </c>
      <c r="S188" s="39">
        <f t="shared" si="37"/>
        <v>1.661926344120333E-13</v>
      </c>
      <c r="T188" s="39">
        <f t="shared" si="37"/>
        <v>1.3933339196388776E-12</v>
      </c>
      <c r="U188" s="39">
        <f t="shared" si="37"/>
        <v>1.0727687219498903E-11</v>
      </c>
      <c r="V188" s="39">
        <f t="shared" si="37"/>
        <v>7.5995249747903636E-11</v>
      </c>
      <c r="W188" s="37">
        <v>0.81499999999999995</v>
      </c>
    </row>
    <row r="189" spans="2:23" x14ac:dyDescent="0.25">
      <c r="B189" s="39">
        <f t="shared" si="36"/>
        <v>1.2098466023716386E-37</v>
      </c>
      <c r="C189" s="39">
        <f t="shared" si="36"/>
        <v>2.7832851904990366E-35</v>
      </c>
      <c r="D189" s="39">
        <f t="shared" si="36"/>
        <v>3.1344007599619635E-33</v>
      </c>
      <c r="E189" s="39">
        <f t="shared" si="36"/>
        <v>2.3029536638770627E-31</v>
      </c>
      <c r="F189" s="39">
        <f t="shared" si="36"/>
        <v>1.2414262874312356E-29</v>
      </c>
      <c r="G189" s="39">
        <f t="shared" si="36"/>
        <v>5.2348192097617708E-28</v>
      </c>
      <c r="H189" s="39">
        <f t="shared" si="36"/>
        <v>1.7978751934571808E-26</v>
      </c>
      <c r="I189" s="39">
        <f t="shared" si="36"/>
        <v>5.1703968960483701E-25</v>
      </c>
      <c r="J189" s="39">
        <f t="shared" si="36"/>
        <v>1.2703856078795487E-23</v>
      </c>
      <c r="K189" s="39">
        <f t="shared" si="36"/>
        <v>2.7077622562276177E-22</v>
      </c>
      <c r="L189" s="39">
        <f t="shared" si="37"/>
        <v>5.0665253255644897E-21</v>
      </c>
      <c r="M189" s="39">
        <f t="shared" si="37"/>
        <v>8.4014658038161967E-20</v>
      </c>
      <c r="N189" s="39">
        <f t="shared" si="37"/>
        <v>1.2442089561624324E-18</v>
      </c>
      <c r="O189" s="39">
        <f t="shared" si="37"/>
        <v>1.656087561751453E-17</v>
      </c>
      <c r="P189" s="39">
        <f t="shared" si="37"/>
        <v>1.9916871180341053E-16</v>
      </c>
      <c r="Q189" s="39">
        <f t="shared" si="37"/>
        <v>2.1738666305119157E-15</v>
      </c>
      <c r="R189" s="39">
        <f t="shared" si="37"/>
        <v>2.1614378022224531E-14</v>
      </c>
      <c r="S189" s="39">
        <f t="shared" si="37"/>
        <v>1.9639205255348631E-13</v>
      </c>
      <c r="T189" s="39">
        <f t="shared" si="37"/>
        <v>1.6350759075567523E-12</v>
      </c>
      <c r="U189" s="39">
        <f t="shared" si="37"/>
        <v>1.2501579036244898E-11</v>
      </c>
      <c r="V189" s="39">
        <f t="shared" si="37"/>
        <v>8.7948241602600769E-11</v>
      </c>
      <c r="W189" s="37">
        <v>0.81399999999999995</v>
      </c>
    </row>
    <row r="190" spans="2:23" x14ac:dyDescent="0.25">
      <c r="B190" s="39">
        <f t="shared" si="36"/>
        <v>1.5348115162817784E-37</v>
      </c>
      <c r="C190" s="39">
        <f t="shared" si="36"/>
        <v>3.5100647163759012E-35</v>
      </c>
      <c r="D190" s="39">
        <f t="shared" si="36"/>
        <v>3.929589077054432E-33</v>
      </c>
      <c r="E190" s="39">
        <f t="shared" si="36"/>
        <v>2.8702225725332167E-31</v>
      </c>
      <c r="F190" s="39">
        <f t="shared" si="36"/>
        <v>1.5381251752956757E-29</v>
      </c>
      <c r="G190" s="39">
        <f t="shared" si="36"/>
        <v>6.4478578126866565E-28</v>
      </c>
      <c r="H190" s="39">
        <f t="shared" si="36"/>
        <v>2.2015017425342998E-26</v>
      </c>
      <c r="I190" s="39">
        <f t="shared" si="36"/>
        <v>6.2940743980598329E-25</v>
      </c>
      <c r="J190" s="39">
        <f t="shared" si="36"/>
        <v>1.5374283550534493E-23</v>
      </c>
      <c r="K190" s="39">
        <f t="shared" si="36"/>
        <v>3.257797564672293E-22</v>
      </c>
      <c r="L190" s="39">
        <f t="shared" si="37"/>
        <v>6.060117162063268E-21</v>
      </c>
      <c r="M190" s="39">
        <f t="shared" si="37"/>
        <v>9.9904763967792295E-20</v>
      </c>
      <c r="N190" s="39">
        <f t="shared" si="37"/>
        <v>1.4709164008952468E-18</v>
      </c>
      <c r="O190" s="39">
        <f t="shared" si="37"/>
        <v>1.9464570347393265E-17</v>
      </c>
      <c r="P190" s="39">
        <f t="shared" si="37"/>
        <v>2.3273032034763106E-16</v>
      </c>
      <c r="Q190" s="39">
        <f t="shared" si="37"/>
        <v>2.5254495932169228E-15</v>
      </c>
      <c r="R190" s="39">
        <f t="shared" si="37"/>
        <v>2.4964698295625212E-14</v>
      </c>
      <c r="S190" s="39">
        <f t="shared" si="37"/>
        <v>2.2552219387504582E-13</v>
      </c>
      <c r="T190" s="39">
        <f t="shared" si="37"/>
        <v>1.866763815204487E-12</v>
      </c>
      <c r="U190" s="39">
        <f t="shared" si="37"/>
        <v>1.419080284540135E-11</v>
      </c>
      <c r="V190" s="39">
        <f t="shared" si="37"/>
        <v>9.9257835038711069E-11</v>
      </c>
      <c r="W190" s="37">
        <v>0.81299999999999994</v>
      </c>
    </row>
    <row r="191" spans="2:23" x14ac:dyDescent="0.25">
      <c r="B191" s="39">
        <f t="shared" si="36"/>
        <v>2.0389149985735908E-37</v>
      </c>
      <c r="C191" s="39">
        <f t="shared" si="36"/>
        <v>4.630110016326032E-35</v>
      </c>
      <c r="D191" s="39">
        <f t="shared" si="36"/>
        <v>5.1470506790564737E-33</v>
      </c>
      <c r="E191" s="39">
        <f t="shared" si="36"/>
        <v>3.7330607139363066E-31</v>
      </c>
      <c r="F191" s="39">
        <f t="shared" si="36"/>
        <v>1.9864719311869565E-29</v>
      </c>
      <c r="G191" s="39">
        <f t="shared" si="36"/>
        <v>8.2689552246364436E-28</v>
      </c>
      <c r="H191" s="39">
        <f t="shared" si="36"/>
        <v>2.8035085460452964E-26</v>
      </c>
      <c r="I191" s="39">
        <f t="shared" si="36"/>
        <v>7.9591315735384988E-25</v>
      </c>
      <c r="J191" s="39">
        <f t="shared" si="36"/>
        <v>1.9305588287894408E-23</v>
      </c>
      <c r="K191" s="39">
        <f t="shared" si="36"/>
        <v>4.0622819325382248E-22</v>
      </c>
      <c r="L191" s="39">
        <f t="shared" si="37"/>
        <v>7.5039231165900246E-21</v>
      </c>
      <c r="M191" s="39">
        <f t="shared" si="37"/>
        <v>1.228453247415764E-19</v>
      </c>
      <c r="N191" s="39">
        <f t="shared" si="37"/>
        <v>1.7960950987453531E-18</v>
      </c>
      <c r="O191" s="39">
        <f t="shared" si="37"/>
        <v>2.3602555896033295E-17</v>
      </c>
      <c r="P191" s="39">
        <f t="shared" si="37"/>
        <v>2.8024908288723016E-16</v>
      </c>
      <c r="Q191" s="39">
        <f t="shared" si="37"/>
        <v>3.0200302724565387E-15</v>
      </c>
      <c r="R191" s="39">
        <f t="shared" si="37"/>
        <v>2.9647278708583185E-14</v>
      </c>
      <c r="S191" s="39">
        <f t="shared" si="37"/>
        <v>2.6597360926252312E-13</v>
      </c>
      <c r="T191" s="39">
        <f t="shared" si="37"/>
        <v>2.1864245714145264E-12</v>
      </c>
      <c r="U191" s="39">
        <f t="shared" si="37"/>
        <v>1.6506440382764467E-11</v>
      </c>
      <c r="V191" s="39">
        <f t="shared" si="37"/>
        <v>1.1466172523085715E-10</v>
      </c>
      <c r="W191" s="37">
        <v>0.81200000000000006</v>
      </c>
    </row>
    <row r="192" spans="2:23" x14ac:dyDescent="0.25">
      <c r="B192" s="39">
        <f t="shared" si="36"/>
        <v>2.7042472655903451E-37</v>
      </c>
      <c r="C192" s="39">
        <f t="shared" si="36"/>
        <v>6.0979606856094774E-35</v>
      </c>
      <c r="D192" s="39">
        <f t="shared" si="36"/>
        <v>6.7313281656250446E-33</v>
      </c>
      <c r="E192" s="39">
        <f t="shared" si="36"/>
        <v>4.8479642448882433E-31</v>
      </c>
      <c r="F192" s="39">
        <f t="shared" si="36"/>
        <v>2.5617214300807652E-29</v>
      </c>
      <c r="G192" s="39">
        <f t="shared" si="36"/>
        <v>1.0589083163469077E-27</v>
      </c>
      <c r="H192" s="39">
        <f t="shared" si="36"/>
        <v>3.5650945759845147E-26</v>
      </c>
      <c r="I192" s="39">
        <f t="shared" si="36"/>
        <v>1.0050775734846258E-24</v>
      </c>
      <c r="J192" s="39">
        <f t="shared" si="36"/>
        <v>2.4209455564710395E-23</v>
      </c>
      <c r="K192" s="39">
        <f t="shared" si="36"/>
        <v>5.0587541930758273E-22</v>
      </c>
      <c r="L192" s="39">
        <f t="shared" si="37"/>
        <v>9.2797649960009721E-21</v>
      </c>
      <c r="M192" s="39">
        <f t="shared" si="37"/>
        <v>1.508641296208539E-19</v>
      </c>
      <c r="N192" s="39">
        <f t="shared" si="37"/>
        <v>2.1904797663114613E-18</v>
      </c>
      <c r="O192" s="39">
        <f t="shared" si="37"/>
        <v>2.858613669768361E-17</v>
      </c>
      <c r="P192" s="39">
        <f t="shared" si="37"/>
        <v>3.3707866905155277E-16</v>
      </c>
      <c r="Q192" s="39">
        <f t="shared" si="37"/>
        <v>3.607391921985847E-15</v>
      </c>
      <c r="R192" s="39">
        <f t="shared" si="37"/>
        <v>3.5169514944578327E-14</v>
      </c>
      <c r="S192" s="39">
        <f t="shared" si="37"/>
        <v>3.1334618294692032E-13</v>
      </c>
      <c r="T192" s="39">
        <f t="shared" si="37"/>
        <v>2.5581722969601734E-12</v>
      </c>
      <c r="U192" s="39">
        <f t="shared" si="37"/>
        <v>1.9180662848078681E-11</v>
      </c>
      <c r="V192" s="39">
        <f t="shared" si="37"/>
        <v>1.3232729015841757E-10</v>
      </c>
      <c r="W192" s="37">
        <v>0.81100000000000005</v>
      </c>
    </row>
    <row r="193" spans="2:23" x14ac:dyDescent="0.25">
      <c r="B193" s="39">
        <f t="shared" ref="B193:K202" si="38">_xlfn.HYPGEOM.DIST(B$2,comau,tongtheN*$W193,tongtheN,TRUE)</f>
        <v>3.5810032480340462E-37</v>
      </c>
      <c r="C193" s="39">
        <f t="shared" si="38"/>
        <v>8.0186768719372515E-35</v>
      </c>
      <c r="D193" s="39">
        <f t="shared" si="38"/>
        <v>8.7898525008162424E-33</v>
      </c>
      <c r="E193" s="39">
        <f t="shared" si="38"/>
        <v>6.2864571989397231E-31</v>
      </c>
      <c r="F193" s="39">
        <f t="shared" si="38"/>
        <v>3.2987335768771556E-29</v>
      </c>
      <c r="G193" s="39">
        <f t="shared" si="38"/>
        <v>1.354083967138221E-27</v>
      </c>
      <c r="H193" s="39">
        <f t="shared" si="38"/>
        <v>4.5272384290872488E-26</v>
      </c>
      <c r="I193" s="39">
        <f t="shared" si="38"/>
        <v>1.2674773915906996E-24</v>
      </c>
      <c r="J193" s="39">
        <f t="shared" si="38"/>
        <v>3.03184729060658E-23</v>
      </c>
      <c r="K193" s="39">
        <f t="shared" si="38"/>
        <v>6.2914531251565292E-22</v>
      </c>
      <c r="L193" s="39">
        <f t="shared" ref="L193:V202" si="39">_xlfn.HYPGEOM.DIST(L$2,comau,tongtheN*$W193,tongtheN,TRUE)</f>
        <v>1.1461276380260202E-20</v>
      </c>
      <c r="M193" s="39">
        <f t="shared" si="39"/>
        <v>1.8504368461473373E-19</v>
      </c>
      <c r="N193" s="39">
        <f t="shared" si="39"/>
        <v>2.6682319116759213E-18</v>
      </c>
      <c r="O193" s="39">
        <f t="shared" si="39"/>
        <v>3.4581177843068764E-17</v>
      </c>
      <c r="P193" s="39">
        <f t="shared" si="39"/>
        <v>4.0496704324020238E-16</v>
      </c>
      <c r="Q193" s="39">
        <f t="shared" si="39"/>
        <v>4.3041771866330637E-15</v>
      </c>
      <c r="R193" s="39">
        <f t="shared" si="39"/>
        <v>4.1675049826830573E-14</v>
      </c>
      <c r="S193" s="39">
        <f t="shared" si="39"/>
        <v>3.687668645440458E-13</v>
      </c>
      <c r="T193" s="39">
        <f t="shared" si="39"/>
        <v>2.9900614028817077E-12</v>
      </c>
      <c r="U193" s="39">
        <f t="shared" si="39"/>
        <v>2.2266000483911404E-11</v>
      </c>
      <c r="V193" s="39">
        <f t="shared" si="39"/>
        <v>1.5256755134783863E-10</v>
      </c>
      <c r="W193" s="37">
        <v>0.81</v>
      </c>
    </row>
    <row r="194" spans="2:23" x14ac:dyDescent="0.25">
      <c r="B194" s="39">
        <f t="shared" si="38"/>
        <v>4.5197655910659983E-37</v>
      </c>
      <c r="C194" s="39">
        <f t="shared" si="38"/>
        <v>1.0062149628886429E-34</v>
      </c>
      <c r="D194" s="39">
        <f t="shared" si="38"/>
        <v>1.096601786287323E-32</v>
      </c>
      <c r="E194" s="39">
        <f t="shared" si="38"/>
        <v>7.7974950878734107E-31</v>
      </c>
      <c r="F194" s="39">
        <f t="shared" si="38"/>
        <v>4.0679977040132748E-29</v>
      </c>
      <c r="G194" s="39">
        <f t="shared" si="38"/>
        <v>1.6602211443038785E-27</v>
      </c>
      <c r="H194" s="39">
        <f t="shared" si="38"/>
        <v>5.5187818758645653E-26</v>
      </c>
      <c r="I194" s="39">
        <f t="shared" si="38"/>
        <v>1.5361806586127463E-24</v>
      </c>
      <c r="J194" s="39">
        <f t="shared" si="38"/>
        <v>3.6534600687120052E-23</v>
      </c>
      <c r="K194" s="39">
        <f t="shared" si="38"/>
        <v>7.537820954222821E-22</v>
      </c>
      <c r="L194" s="39">
        <f t="shared" si="39"/>
        <v>1.3653015220812805E-20</v>
      </c>
      <c r="M194" s="39">
        <f t="shared" si="39"/>
        <v>2.1916622094737748E-19</v>
      </c>
      <c r="N194" s="39">
        <f t="shared" si="39"/>
        <v>3.1421710726688293E-18</v>
      </c>
      <c r="O194" s="39">
        <f t="shared" si="39"/>
        <v>4.0490785263208593E-17</v>
      </c>
      <c r="P194" s="39">
        <f t="shared" si="39"/>
        <v>4.7146523673754278E-16</v>
      </c>
      <c r="Q194" s="39">
        <f t="shared" si="39"/>
        <v>4.9823850676663106E-15</v>
      </c>
      <c r="R194" s="39">
        <f t="shared" si="39"/>
        <v>4.7967181113558824E-14</v>
      </c>
      <c r="S194" s="39">
        <f t="shared" si="39"/>
        <v>4.220315017601237E-13</v>
      </c>
      <c r="T194" s="39">
        <f t="shared" si="39"/>
        <v>3.4025321520506458E-12</v>
      </c>
      <c r="U194" s="39">
        <f t="shared" si="39"/>
        <v>2.5194052892787514E-11</v>
      </c>
      <c r="V194" s="39">
        <f t="shared" si="39"/>
        <v>1.7165504691330332E-10</v>
      </c>
      <c r="W194" s="37">
        <v>0.80900000000000005</v>
      </c>
    </row>
    <row r="195" spans="2:23" x14ac:dyDescent="0.25">
      <c r="B195" s="39">
        <f t="shared" si="38"/>
        <v>5.968030455861305E-37</v>
      </c>
      <c r="C195" s="39">
        <f t="shared" si="38"/>
        <v>1.3194424081943124E-34</v>
      </c>
      <c r="D195" s="39">
        <f t="shared" si="38"/>
        <v>1.4280258614509836E-32</v>
      </c>
      <c r="E195" s="39">
        <f t="shared" si="38"/>
        <v>1.008399555362125E-30</v>
      </c>
      <c r="F195" s="39">
        <f t="shared" si="38"/>
        <v>5.2245832809833831E-29</v>
      </c>
      <c r="G195" s="39">
        <f t="shared" si="38"/>
        <v>2.117548608501136E-27</v>
      </c>
      <c r="H195" s="39">
        <f t="shared" si="38"/>
        <v>6.9905332092856909E-26</v>
      </c>
      <c r="I195" s="39">
        <f t="shared" si="38"/>
        <v>1.9324675183672968E-24</v>
      </c>
      <c r="J195" s="39">
        <f t="shared" si="38"/>
        <v>4.5643654037801199E-23</v>
      </c>
      <c r="K195" s="39">
        <f t="shared" si="38"/>
        <v>9.3525787724101368E-22</v>
      </c>
      <c r="L195" s="39">
        <f t="shared" si="39"/>
        <v>1.6823917979152017E-20</v>
      </c>
      <c r="M195" s="39">
        <f t="shared" si="39"/>
        <v>2.6821855023513051E-19</v>
      </c>
      <c r="N195" s="39">
        <f t="shared" si="39"/>
        <v>3.8191383348460465E-18</v>
      </c>
      <c r="O195" s="39">
        <f t="shared" si="39"/>
        <v>4.8878293703765914E-17</v>
      </c>
      <c r="P195" s="39">
        <f t="shared" si="39"/>
        <v>5.6524647755935785E-16</v>
      </c>
      <c r="Q195" s="39">
        <f t="shared" si="39"/>
        <v>5.9327781439210139E-15</v>
      </c>
      <c r="R195" s="39">
        <f t="shared" si="39"/>
        <v>5.6728611661731678E-14</v>
      </c>
      <c r="S195" s="39">
        <f t="shared" si="39"/>
        <v>4.957294745223607E-13</v>
      </c>
      <c r="T195" s="39">
        <f t="shared" si="39"/>
        <v>3.969621573810221E-12</v>
      </c>
      <c r="U195" s="39">
        <f t="shared" si="39"/>
        <v>2.9194251507046273E-11</v>
      </c>
      <c r="V195" s="39">
        <f t="shared" si="39"/>
        <v>1.975668997215711E-10</v>
      </c>
      <c r="W195" s="37">
        <v>0.80800000000000005</v>
      </c>
    </row>
    <row r="196" spans="2:23" x14ac:dyDescent="0.25">
      <c r="B196" s="39">
        <f t="shared" si="38"/>
        <v>7.8682593836088393E-37</v>
      </c>
      <c r="C196" s="39">
        <f t="shared" si="38"/>
        <v>1.7275710034232843E-34</v>
      </c>
      <c r="D196" s="39">
        <f t="shared" si="38"/>
        <v>1.8568732228485114E-32</v>
      </c>
      <c r="E196" s="39">
        <f t="shared" si="38"/>
        <v>1.3022143362920542E-30</v>
      </c>
      <c r="F196" s="39">
        <f t="shared" si="38"/>
        <v>6.7005139378774125E-29</v>
      </c>
      <c r="G196" s="39">
        <f t="shared" si="38"/>
        <v>2.6971153758826764E-27</v>
      </c>
      <c r="H196" s="39">
        <f t="shared" si="38"/>
        <v>8.8427883562019529E-26</v>
      </c>
      <c r="I196" s="39">
        <f t="shared" si="38"/>
        <v>2.4277675900883987E-24</v>
      </c>
      <c r="J196" s="39">
        <f t="shared" si="38"/>
        <v>5.6950109405642553E-23</v>
      </c>
      <c r="K196" s="39">
        <f t="shared" si="38"/>
        <v>1.1589592085022297E-21</v>
      </c>
      <c r="L196" s="39">
        <f t="shared" si="39"/>
        <v>2.0705704386345525E-20</v>
      </c>
      <c r="M196" s="39">
        <f t="shared" si="39"/>
        <v>3.2785466111690542E-19</v>
      </c>
      <c r="N196" s="39">
        <f t="shared" si="39"/>
        <v>4.6365116541372915E-18</v>
      </c>
      <c r="O196" s="39">
        <f t="shared" si="39"/>
        <v>5.8935816204009031E-17</v>
      </c>
      <c r="P196" s="39">
        <f t="shared" si="39"/>
        <v>6.7692802051395649E-16</v>
      </c>
      <c r="Q196" s="39">
        <f t="shared" si="39"/>
        <v>7.0568089512417213E-15</v>
      </c>
      <c r="R196" s="39">
        <f t="shared" si="39"/>
        <v>6.7019707457954086E-14</v>
      </c>
      <c r="S196" s="39">
        <f t="shared" si="39"/>
        <v>5.8170125297389914E-13</v>
      </c>
      <c r="T196" s="39">
        <f t="shared" si="39"/>
        <v>4.6266252586985592E-12</v>
      </c>
      <c r="U196" s="39">
        <f t="shared" si="39"/>
        <v>3.3796984894495375E-11</v>
      </c>
      <c r="V196" s="39">
        <f t="shared" si="39"/>
        <v>2.2717788428615497E-10</v>
      </c>
      <c r="W196" s="37">
        <v>0.80700000000000005</v>
      </c>
    </row>
    <row r="197" spans="2:23" x14ac:dyDescent="0.25">
      <c r="B197" s="39">
        <f t="shared" si="38"/>
        <v>1.0357767700504911E-36</v>
      </c>
      <c r="C197" s="39">
        <f t="shared" si="38"/>
        <v>2.2585741681138149E-34</v>
      </c>
      <c r="D197" s="39">
        <f t="shared" si="38"/>
        <v>2.4109850470613999E-32</v>
      </c>
      <c r="E197" s="39">
        <f t="shared" si="38"/>
        <v>1.6792349213483233E-30</v>
      </c>
      <c r="F197" s="39">
        <f t="shared" si="38"/>
        <v>8.5813731010274029E-29</v>
      </c>
      <c r="G197" s="39">
        <f t="shared" si="38"/>
        <v>3.4306064744070126E-27</v>
      </c>
      <c r="H197" s="39">
        <f t="shared" si="38"/>
        <v>1.1170854830715757E-25</v>
      </c>
      <c r="I197" s="39">
        <f t="shared" si="38"/>
        <v>3.0460235211076601E-24</v>
      </c>
      <c r="J197" s="39">
        <f t="shared" si="38"/>
        <v>7.096642420419807E-23</v>
      </c>
      <c r="K197" s="39">
        <f t="shared" si="38"/>
        <v>1.4343729089119528E-21</v>
      </c>
      <c r="L197" s="39">
        <f t="shared" si="39"/>
        <v>2.5452060674186392E-20</v>
      </c>
      <c r="M197" s="39">
        <f t="shared" si="39"/>
        <v>4.0027355155649484E-19</v>
      </c>
      <c r="N197" s="39">
        <f t="shared" si="39"/>
        <v>5.6222893364159242E-18</v>
      </c>
      <c r="O197" s="39">
        <f t="shared" si="39"/>
        <v>7.0982503113440897E-17</v>
      </c>
      <c r="P197" s="39">
        <f t="shared" si="39"/>
        <v>8.0978311503546506E-16</v>
      </c>
      <c r="Q197" s="39">
        <f t="shared" si="39"/>
        <v>8.3848066585282921E-15</v>
      </c>
      <c r="R197" s="39">
        <f t="shared" si="39"/>
        <v>7.9095207881051227E-14</v>
      </c>
      <c r="S197" s="39">
        <f t="shared" si="39"/>
        <v>6.8189161167305936E-13</v>
      </c>
      <c r="T197" s="39">
        <f t="shared" si="39"/>
        <v>5.3870678343414702E-12</v>
      </c>
      <c r="U197" s="39">
        <f t="shared" si="39"/>
        <v>3.9088074618067025E-11</v>
      </c>
      <c r="V197" s="39">
        <f t="shared" si="39"/>
        <v>2.609855300279375E-10</v>
      </c>
      <c r="W197" s="37">
        <v>0.80600000000000005</v>
      </c>
    </row>
    <row r="198" spans="2:23" x14ac:dyDescent="0.25">
      <c r="B198" s="39">
        <f t="shared" si="38"/>
        <v>1.300938268451463E-36</v>
      </c>
      <c r="C198" s="39">
        <f t="shared" si="38"/>
        <v>2.8206156922726898E-34</v>
      </c>
      <c r="D198" s="39">
        <f t="shared" si="38"/>
        <v>2.9938186004115497E-32</v>
      </c>
      <c r="E198" s="39">
        <f t="shared" si="38"/>
        <v>2.0733195063980511E-30</v>
      </c>
      <c r="F198" s="39">
        <f t="shared" si="38"/>
        <v>1.0535079668295699E-28</v>
      </c>
      <c r="G198" s="39">
        <f t="shared" si="38"/>
        <v>4.1877496238867264E-27</v>
      </c>
      <c r="H198" s="39">
        <f t="shared" si="38"/>
        <v>1.3558996187450938E-25</v>
      </c>
      <c r="I198" s="39">
        <f t="shared" si="38"/>
        <v>3.6762778790216808E-24</v>
      </c>
      <c r="J198" s="39">
        <f t="shared" si="38"/>
        <v>8.5165684783613621E-23</v>
      </c>
      <c r="K198" s="39">
        <f t="shared" si="38"/>
        <v>1.7116430805820161E-21</v>
      </c>
      <c r="L198" s="39">
        <f t="shared" si="39"/>
        <v>3.0200655037928871E-20</v>
      </c>
      <c r="M198" s="39">
        <f t="shared" si="39"/>
        <v>4.7227564577949107E-19</v>
      </c>
      <c r="N198" s="39">
        <f t="shared" si="39"/>
        <v>6.596296529263646E-18</v>
      </c>
      <c r="O198" s="39">
        <f t="shared" si="39"/>
        <v>8.2811342078272903E-17</v>
      </c>
      <c r="P198" s="39">
        <f t="shared" si="39"/>
        <v>9.394250226812811E-16</v>
      </c>
      <c r="Q198" s="39">
        <f t="shared" si="39"/>
        <v>9.6726368936884658E-15</v>
      </c>
      <c r="R198" s="39">
        <f t="shared" si="39"/>
        <v>9.0732767147087037E-14</v>
      </c>
      <c r="S198" s="39">
        <f t="shared" si="39"/>
        <v>7.778492516415232E-13</v>
      </c>
      <c r="T198" s="39">
        <f t="shared" si="39"/>
        <v>6.1108673508472109E-12</v>
      </c>
      <c r="U198" s="39">
        <f t="shared" si="39"/>
        <v>4.4092988453795199E-11</v>
      </c>
      <c r="V198" s="39">
        <f t="shared" si="39"/>
        <v>2.9276651816670138E-10</v>
      </c>
      <c r="W198" s="37">
        <v>0.80500000000000005</v>
      </c>
    </row>
    <row r="199" spans="2:23" x14ac:dyDescent="0.25">
      <c r="B199" s="39">
        <f t="shared" si="38"/>
        <v>1.707861322414434E-36</v>
      </c>
      <c r="C199" s="39">
        <f t="shared" si="38"/>
        <v>3.6776842413778655E-34</v>
      </c>
      <c r="D199" s="39">
        <f t="shared" si="38"/>
        <v>3.8769788197085245E-32</v>
      </c>
      <c r="E199" s="39">
        <f t="shared" si="38"/>
        <v>2.6667019113851543E-30</v>
      </c>
      <c r="F199" s="39">
        <f t="shared" si="38"/>
        <v>1.3458271255178054E-28</v>
      </c>
      <c r="G199" s="39">
        <f t="shared" si="38"/>
        <v>5.3134715505593557E-27</v>
      </c>
      <c r="H199" s="39">
        <f t="shared" si="38"/>
        <v>1.7087339165509836E-25</v>
      </c>
      <c r="I199" s="39">
        <f t="shared" si="38"/>
        <v>4.6015867115035607E-24</v>
      </c>
      <c r="J199" s="39">
        <f t="shared" si="38"/>
        <v>1.0588136070396426E-22</v>
      </c>
      <c r="K199" s="39">
        <f t="shared" si="38"/>
        <v>2.113620351474594E-21</v>
      </c>
      <c r="L199" s="39">
        <f t="shared" si="39"/>
        <v>3.7041831922564651E-20</v>
      </c>
      <c r="M199" s="39">
        <f t="shared" si="39"/>
        <v>5.7535713999596296E-19</v>
      </c>
      <c r="N199" s="39">
        <f t="shared" si="39"/>
        <v>7.9819990126843873E-18</v>
      </c>
      <c r="O199" s="39">
        <f t="shared" si="39"/>
        <v>9.9534743889276926E-17</v>
      </c>
      <c r="P199" s="39">
        <f t="shared" si="39"/>
        <v>1.1215648862740436E-15</v>
      </c>
      <c r="Q199" s="39">
        <f t="shared" si="39"/>
        <v>1.1470670108888029E-14</v>
      </c>
      <c r="R199" s="39">
        <f t="shared" si="39"/>
        <v>1.0687943469681547E-13</v>
      </c>
      <c r="S199" s="39">
        <f t="shared" si="39"/>
        <v>9.1015687292297396E-13</v>
      </c>
      <c r="T199" s="39">
        <f t="shared" si="39"/>
        <v>7.1026358126910376E-12</v>
      </c>
      <c r="U199" s="39">
        <f t="shared" si="39"/>
        <v>5.0908174299881033E-11</v>
      </c>
      <c r="V199" s="39">
        <f t="shared" si="39"/>
        <v>3.3577359992123961E-10</v>
      </c>
      <c r="W199" s="37">
        <v>0.80400000000000005</v>
      </c>
    </row>
    <row r="200" spans="2:23" x14ac:dyDescent="0.25">
      <c r="B200" s="39">
        <f t="shared" si="38"/>
        <v>2.2387651375571359E-36</v>
      </c>
      <c r="C200" s="39">
        <f t="shared" si="38"/>
        <v>4.7882593425505737E-34</v>
      </c>
      <c r="D200" s="39">
        <f t="shared" si="38"/>
        <v>5.0135660834910495E-32</v>
      </c>
      <c r="E200" s="39">
        <f t="shared" si="38"/>
        <v>3.4251588858183365E-30</v>
      </c>
      <c r="F200" s="39">
        <f t="shared" si="38"/>
        <v>1.7169251520021479E-28</v>
      </c>
      <c r="G200" s="39">
        <f t="shared" si="38"/>
        <v>6.7328547072253903E-27</v>
      </c>
      <c r="H200" s="39">
        <f t="shared" si="38"/>
        <v>2.1505876688945127E-25</v>
      </c>
      <c r="I200" s="39">
        <f t="shared" si="38"/>
        <v>5.7524818630435846E-24</v>
      </c>
      <c r="J200" s="39">
        <f t="shared" si="38"/>
        <v>1.3147261228753048E-22</v>
      </c>
      <c r="K200" s="39">
        <f t="shared" si="38"/>
        <v>2.6068388332481929E-21</v>
      </c>
      <c r="L200" s="39">
        <f t="shared" si="39"/>
        <v>4.5378953756542886E-20</v>
      </c>
      <c r="M200" s="39">
        <f t="shared" si="39"/>
        <v>7.0012869011446809E-19</v>
      </c>
      <c r="N200" s="39">
        <f t="shared" si="39"/>
        <v>9.6479278535795978E-18</v>
      </c>
      <c r="O200" s="39">
        <f t="shared" si="39"/>
        <v>1.1950412969196982E-16</v>
      </c>
      <c r="P200" s="39">
        <f t="shared" si="39"/>
        <v>1.337588268972133E-15</v>
      </c>
      <c r="Q200" s="39">
        <f t="shared" si="39"/>
        <v>1.3588793105241783E-14</v>
      </c>
      <c r="R200" s="39">
        <f t="shared" si="39"/>
        <v>1.2577222532165999E-13</v>
      </c>
      <c r="S200" s="39">
        <f t="shared" si="39"/>
        <v>1.0639227047090063E-12</v>
      </c>
      <c r="T200" s="39">
        <f t="shared" si="39"/>
        <v>8.2474870865034004E-12</v>
      </c>
      <c r="U200" s="39">
        <f t="shared" si="39"/>
        <v>5.8722334316905645E-11</v>
      </c>
      <c r="V200" s="39">
        <f t="shared" si="39"/>
        <v>3.847528812171197E-10</v>
      </c>
      <c r="W200" s="37">
        <v>0.80300000000000005</v>
      </c>
    </row>
    <row r="201" spans="2:23" x14ac:dyDescent="0.25">
      <c r="B201" s="39">
        <f t="shared" si="38"/>
        <v>2.9304301891892968E-36</v>
      </c>
      <c r="C201" s="39">
        <f t="shared" si="38"/>
        <v>6.2253007952280315E-34</v>
      </c>
      <c r="D201" s="39">
        <f t="shared" si="38"/>
        <v>6.4742881541571763E-32</v>
      </c>
      <c r="E201" s="39">
        <f t="shared" si="38"/>
        <v>4.3933057857192663E-30</v>
      </c>
      <c r="F201" s="39">
        <f t="shared" si="38"/>
        <v>2.1874109469006014E-28</v>
      </c>
      <c r="G201" s="39">
        <f t="shared" si="38"/>
        <v>8.5201945315857625E-27</v>
      </c>
      <c r="H201" s="39">
        <f t="shared" si="38"/>
        <v>2.7032217894515654E-25</v>
      </c>
      <c r="I201" s="39">
        <f t="shared" si="38"/>
        <v>7.1821940419810125E-24</v>
      </c>
      <c r="J201" s="39">
        <f t="shared" si="38"/>
        <v>1.6304883175336018E-22</v>
      </c>
      <c r="K201" s="39">
        <f t="shared" si="38"/>
        <v>3.2112962824358346E-21</v>
      </c>
      <c r="L201" s="39">
        <f t="shared" si="39"/>
        <v>5.5527465528345917E-20</v>
      </c>
      <c r="M201" s="39">
        <f t="shared" si="39"/>
        <v>8.5098505248008476E-19</v>
      </c>
      <c r="N201" s="39">
        <f t="shared" si="39"/>
        <v>1.1648565246014527E-17</v>
      </c>
      <c r="O201" s="39">
        <f t="shared" si="39"/>
        <v>1.4332417250695222E-16</v>
      </c>
      <c r="P201" s="39">
        <f t="shared" si="39"/>
        <v>1.5935331839400189E-15</v>
      </c>
      <c r="Q201" s="39">
        <f t="shared" si="39"/>
        <v>1.6081474917671471E-14</v>
      </c>
      <c r="R201" s="39">
        <f t="shared" si="39"/>
        <v>1.478565293431836E-13</v>
      </c>
      <c r="S201" s="39">
        <f t="shared" si="39"/>
        <v>1.2424568912618799E-12</v>
      </c>
      <c r="T201" s="39">
        <f t="shared" si="39"/>
        <v>9.5678294637830598E-12</v>
      </c>
      <c r="U201" s="39">
        <f t="shared" si="39"/>
        <v>6.7673873822321331E-11</v>
      </c>
      <c r="V201" s="39">
        <f t="shared" si="39"/>
        <v>4.4048528513765478E-10</v>
      </c>
      <c r="W201" s="37">
        <v>0.80200000000000005</v>
      </c>
    </row>
    <row r="202" spans="2:23" x14ac:dyDescent="0.25">
      <c r="B202" s="39">
        <f t="shared" si="38"/>
        <v>3.8302570439569901E-36</v>
      </c>
      <c r="C202" s="39">
        <f t="shared" si="38"/>
        <v>8.082190884773232E-34</v>
      </c>
      <c r="D202" s="39">
        <f t="shared" si="38"/>
        <v>8.3490250177654889E-32</v>
      </c>
      <c r="E202" s="39">
        <f t="shared" si="38"/>
        <v>5.627466874271616E-30</v>
      </c>
      <c r="F202" s="39">
        <f t="shared" si="38"/>
        <v>2.7831238426230038E-28</v>
      </c>
      <c r="G202" s="39">
        <f t="shared" si="38"/>
        <v>1.0768004241688518E-26</v>
      </c>
      <c r="H202" s="39">
        <f t="shared" si="38"/>
        <v>3.3935475121581404E-25</v>
      </c>
      <c r="I202" s="39">
        <f t="shared" si="38"/>
        <v>8.9561014553181612E-24</v>
      </c>
      <c r="J202" s="39">
        <f t="shared" si="38"/>
        <v>2.0196324194423471E-22</v>
      </c>
      <c r="K202" s="39">
        <f t="shared" si="38"/>
        <v>3.9512184804931985E-21</v>
      </c>
      <c r="L202" s="39">
        <f t="shared" si="39"/>
        <v>6.7866884025962271E-20</v>
      </c>
      <c r="M202" s="39">
        <f t="shared" si="39"/>
        <v>1.0331773373497668E-18</v>
      </c>
      <c r="N202" s="39">
        <f t="shared" si="39"/>
        <v>1.4048562537401404E-17</v>
      </c>
      <c r="O202" s="39">
        <f t="shared" si="39"/>
        <v>1.7170747491844731E-16</v>
      </c>
      <c r="P202" s="39">
        <f t="shared" si="39"/>
        <v>1.896466405193908E-15</v>
      </c>
      <c r="Q202" s="39">
        <f t="shared" si="39"/>
        <v>1.9012025644283222E-14</v>
      </c>
      <c r="R202" s="39">
        <f t="shared" si="39"/>
        <v>1.7364645574228071E-13</v>
      </c>
      <c r="S202" s="39">
        <f t="shared" si="39"/>
        <v>1.4495538610351847E-12</v>
      </c>
      <c r="T202" s="39">
        <f t="shared" si="39"/>
        <v>1.1089171502367742E-11</v>
      </c>
      <c r="U202" s="39">
        <f t="shared" si="39"/>
        <v>7.7919251193038314E-11</v>
      </c>
      <c r="V202" s="39">
        <f t="shared" si="39"/>
        <v>5.0384743395147187E-10</v>
      </c>
      <c r="W202" s="37">
        <v>0.80100000000000005</v>
      </c>
    </row>
    <row r="203" spans="2:23" x14ac:dyDescent="0.25">
      <c r="B203" s="39">
        <f t="shared" ref="B203:K212" si="40">_xlfn.HYPGEOM.DIST(B$2,comau,tongtheN*$W203,tongtheN,TRUE)</f>
        <v>4.7826444455740005E-36</v>
      </c>
      <c r="C203" s="39">
        <f t="shared" si="40"/>
        <v>1.003549561951991E-33</v>
      </c>
      <c r="D203" s="39">
        <f t="shared" si="40"/>
        <v>1.0309018259159948E-31</v>
      </c>
      <c r="E203" s="39">
        <f t="shared" si="40"/>
        <v>6.9098502785576765E-30</v>
      </c>
      <c r="F203" s="39">
        <f t="shared" si="40"/>
        <v>3.3983236033815959E-28</v>
      </c>
      <c r="G203" s="39">
        <f t="shared" si="40"/>
        <v>1.3075139973488121E-26</v>
      </c>
      <c r="H203" s="39">
        <f t="shared" si="40"/>
        <v>4.0977595286462125E-25</v>
      </c>
      <c r="I203" s="39">
        <f t="shared" si="40"/>
        <v>1.0754630355439029E-23</v>
      </c>
      <c r="J203" s="39">
        <f t="shared" si="40"/>
        <v>2.4117671809018517E-22</v>
      </c>
      <c r="K203" s="39">
        <f t="shared" si="40"/>
        <v>4.6922738936905183E-21</v>
      </c>
      <c r="L203" s="39">
        <f t="shared" ref="L203:V212" si="41">_xlfn.HYPGEOM.DIST(L$2,comau,tongtheN*$W203,tongtheN,TRUE)</f>
        <v>8.0149768708302637E-20</v>
      </c>
      <c r="M203" s="39">
        <f t="shared" si="41"/>
        <v>1.2134284814291323E-18</v>
      </c>
      <c r="N203" s="39">
        <f t="shared" si="41"/>
        <v>1.6408510773067061E-17</v>
      </c>
      <c r="O203" s="39">
        <f t="shared" si="41"/>
        <v>1.9944703927122065E-16</v>
      </c>
      <c r="P203" s="39">
        <f t="shared" si="41"/>
        <v>2.1907255083387154E-15</v>
      </c>
      <c r="Q203" s="39">
        <f t="shared" si="41"/>
        <v>2.1841331137612104E-14</v>
      </c>
      <c r="R203" s="39">
        <f t="shared" si="41"/>
        <v>1.98393856915365E-13</v>
      </c>
      <c r="S203" s="39">
        <f t="shared" si="41"/>
        <v>1.6470703853953136E-12</v>
      </c>
      <c r="T203" s="39">
        <f t="shared" si="41"/>
        <v>1.2531313574542896E-11</v>
      </c>
      <c r="U203" s="39">
        <f t="shared" si="41"/>
        <v>8.7572242693979153E-11</v>
      </c>
      <c r="V203" s="39">
        <f t="shared" si="41"/>
        <v>5.631833888208737E-10</v>
      </c>
      <c r="W203" s="37">
        <v>0.8</v>
      </c>
    </row>
    <row r="204" spans="2:23" x14ac:dyDescent="0.25">
      <c r="B204" s="39">
        <f t="shared" si="40"/>
        <v>6.2349599924540563E-36</v>
      </c>
      <c r="C204" s="39">
        <f t="shared" si="40"/>
        <v>1.2995678773461047E-33</v>
      </c>
      <c r="D204" s="39">
        <f t="shared" si="40"/>
        <v>1.3260952864391361E-31</v>
      </c>
      <c r="E204" s="39">
        <f t="shared" si="40"/>
        <v>8.8292965704930584E-30</v>
      </c>
      <c r="F204" s="39">
        <f t="shared" si="40"/>
        <v>4.3134529545407401E-28</v>
      </c>
      <c r="G204" s="39">
        <f t="shared" si="40"/>
        <v>1.6485891273858617E-26</v>
      </c>
      <c r="H204" s="39">
        <f t="shared" si="40"/>
        <v>5.1324090136799074E-25</v>
      </c>
      <c r="I204" s="39">
        <f t="shared" si="40"/>
        <v>1.3380798098322272E-23</v>
      </c>
      <c r="J204" s="39">
        <f t="shared" si="40"/>
        <v>2.9808270092270615E-22</v>
      </c>
      <c r="K204" s="39">
        <f t="shared" si="40"/>
        <v>5.7610657247662694E-21</v>
      </c>
      <c r="L204" s="39">
        <f t="shared" si="41"/>
        <v>9.7755942318243227E-20</v>
      </c>
      <c r="M204" s="39">
        <f t="shared" si="41"/>
        <v>1.4702119746137739E-18</v>
      </c>
      <c r="N204" s="39">
        <f t="shared" si="41"/>
        <v>1.9749832661668491E-17</v>
      </c>
      <c r="O204" s="39">
        <f t="shared" si="41"/>
        <v>2.3848117209635981E-16</v>
      </c>
      <c r="P204" s="39">
        <f t="shared" si="41"/>
        <v>2.6022599213211529E-15</v>
      </c>
      <c r="Q204" s="39">
        <f t="shared" si="41"/>
        <v>2.5774021282938771E-14</v>
      </c>
      <c r="R204" s="39">
        <f t="shared" si="41"/>
        <v>2.3258199143537628E-13</v>
      </c>
      <c r="S204" s="39">
        <f t="shared" si="41"/>
        <v>1.9182689808306296E-12</v>
      </c>
      <c r="T204" s="39">
        <f t="shared" si="41"/>
        <v>1.4499347209283853E-11</v>
      </c>
      <c r="U204" s="39">
        <f t="shared" si="41"/>
        <v>1.0066494009306793E-10</v>
      </c>
      <c r="V204" s="39">
        <f t="shared" si="41"/>
        <v>6.431723660415194E-10</v>
      </c>
      <c r="W204" s="37">
        <v>0.79900000000000004</v>
      </c>
    </row>
    <row r="205" spans="2:23" x14ac:dyDescent="0.25">
      <c r="B205" s="39">
        <f t="shared" si="40"/>
        <v>8.1169258948202398E-36</v>
      </c>
      <c r="C205" s="39">
        <f t="shared" si="40"/>
        <v>1.6805964147065319E-33</v>
      </c>
      <c r="D205" s="39">
        <f t="shared" si="40"/>
        <v>1.7035247366997265E-31</v>
      </c>
      <c r="E205" s="39">
        <f t="shared" si="40"/>
        <v>1.1267091217747917E-29</v>
      </c>
      <c r="F205" s="39">
        <f t="shared" si="40"/>
        <v>5.4679629800634948E-28</v>
      </c>
      <c r="G205" s="39">
        <f t="shared" si="40"/>
        <v>2.0760154947810999E-26</v>
      </c>
      <c r="H205" s="39">
        <f t="shared" si="40"/>
        <v>6.4203693664186301E-25</v>
      </c>
      <c r="I205" s="39">
        <f t="shared" si="40"/>
        <v>1.6628167235357577E-23</v>
      </c>
      <c r="J205" s="39">
        <f t="shared" si="40"/>
        <v>3.6798138899216788E-22</v>
      </c>
      <c r="K205" s="39">
        <f t="shared" si="40"/>
        <v>7.0651572416603759E-21</v>
      </c>
      <c r="L205" s="39">
        <f t="shared" si="41"/>
        <v>1.1909551490509476E-19</v>
      </c>
      <c r="M205" s="39">
        <f t="shared" si="41"/>
        <v>1.7793807121197091E-18</v>
      </c>
      <c r="N205" s="39">
        <f t="shared" si="41"/>
        <v>2.3746117691415956E-17</v>
      </c>
      <c r="O205" s="39">
        <f t="shared" si="41"/>
        <v>2.8485727807829668E-16</v>
      </c>
      <c r="P205" s="39">
        <f t="shared" si="41"/>
        <v>3.0879614104816039E-15</v>
      </c>
      <c r="Q205" s="39">
        <f t="shared" si="41"/>
        <v>3.0384738289212694E-14</v>
      </c>
      <c r="R205" s="39">
        <f t="shared" si="41"/>
        <v>2.7239926539042731E-13</v>
      </c>
      <c r="S205" s="39">
        <f t="shared" si="41"/>
        <v>2.232032794904343E-12</v>
      </c>
      <c r="T205" s="39">
        <f t="shared" si="41"/>
        <v>1.6761225080070565E-11</v>
      </c>
      <c r="U205" s="39">
        <f t="shared" si="41"/>
        <v>1.1561313984230306E-10</v>
      </c>
      <c r="V205" s="39">
        <f t="shared" si="41"/>
        <v>7.3389485164591326E-10</v>
      </c>
      <c r="W205" s="37">
        <v>0.79800000000000004</v>
      </c>
    </row>
    <row r="206" spans="2:23" x14ac:dyDescent="0.25">
      <c r="B206" s="39">
        <f t="shared" si="40"/>
        <v>1.0552326132999301E-35</v>
      </c>
      <c r="C206" s="39">
        <f t="shared" si="40"/>
        <v>2.1703934103070225E-33</v>
      </c>
      <c r="D206" s="39">
        <f t="shared" si="40"/>
        <v>2.1854685051975977E-31</v>
      </c>
      <c r="E206" s="39">
        <f t="shared" si="40"/>
        <v>1.4359248837558844E-29</v>
      </c>
      <c r="F206" s="39">
        <f t="shared" si="40"/>
        <v>6.9226450209622239E-28</v>
      </c>
      <c r="G206" s="39">
        <f t="shared" si="40"/>
        <v>2.610997880607181E-26</v>
      </c>
      <c r="H206" s="39">
        <f t="shared" si="40"/>
        <v>8.0217346523004343E-25</v>
      </c>
      <c r="I206" s="39">
        <f t="shared" si="40"/>
        <v>2.0638969480677559E-23</v>
      </c>
      <c r="J206" s="39">
        <f t="shared" si="40"/>
        <v>4.5374088496498532E-22</v>
      </c>
      <c r="K206" s="39">
        <f t="shared" si="40"/>
        <v>8.6545703701972364E-21</v>
      </c>
      <c r="L206" s="39">
        <f t="shared" si="41"/>
        <v>1.4493190872320344E-19</v>
      </c>
      <c r="M206" s="39">
        <f t="shared" si="41"/>
        <v>2.1512250075726505E-18</v>
      </c>
      <c r="N206" s="39">
        <f t="shared" si="41"/>
        <v>2.8520786950658626E-17</v>
      </c>
      <c r="O206" s="39">
        <f t="shared" si="41"/>
        <v>3.3990055929691708E-16</v>
      </c>
      <c r="P206" s="39">
        <f t="shared" si="41"/>
        <v>3.6606315990575623E-15</v>
      </c>
      <c r="Q206" s="39">
        <f t="shared" si="41"/>
        <v>3.5785196594263067E-14</v>
      </c>
      <c r="R206" s="39">
        <f t="shared" si="41"/>
        <v>3.18729295603816E-13</v>
      </c>
      <c r="S206" s="39">
        <f t="shared" si="41"/>
        <v>2.5947137264767946E-12</v>
      </c>
      <c r="T206" s="39">
        <f t="shared" si="41"/>
        <v>1.9358534667715149E-11</v>
      </c>
      <c r="U206" s="39">
        <f t="shared" si="41"/>
        <v>1.3266524684672157E-10</v>
      </c>
      <c r="V206" s="39">
        <f t="shared" si="41"/>
        <v>8.3670608587871451E-10</v>
      </c>
      <c r="W206" s="37">
        <v>0.79700000000000004</v>
      </c>
    </row>
    <row r="207" spans="2:23" x14ac:dyDescent="0.25">
      <c r="B207" s="39">
        <f t="shared" si="40"/>
        <v>1.3117687387218611E-35</v>
      </c>
      <c r="C207" s="39">
        <f t="shared" si="40"/>
        <v>2.6832130615025359E-33</v>
      </c>
      <c r="D207" s="39">
        <f t="shared" si="40"/>
        <v>2.6870211668396967E-31</v>
      </c>
      <c r="E207" s="39">
        <f t="shared" si="40"/>
        <v>1.7557810240866364E-29</v>
      </c>
      <c r="F207" s="39">
        <f t="shared" si="40"/>
        <v>8.4183134015695204E-28</v>
      </c>
      <c r="G207" s="39">
        <f t="shared" si="40"/>
        <v>3.157739519731407E-26</v>
      </c>
      <c r="H207" s="39">
        <f t="shared" si="40"/>
        <v>9.6484432866032939E-25</v>
      </c>
      <c r="I207" s="39">
        <f t="shared" si="40"/>
        <v>2.4688722770422393E-23</v>
      </c>
      <c r="J207" s="39">
        <f t="shared" si="40"/>
        <v>5.3981226191212548E-22</v>
      </c>
      <c r="K207" s="39">
        <f t="shared" si="40"/>
        <v>1.0240170949068112E-20</v>
      </c>
      <c r="L207" s="39">
        <f t="shared" si="41"/>
        <v>1.7055140682653054E-19</v>
      </c>
      <c r="M207" s="39">
        <f t="shared" si="41"/>
        <v>2.5177324665435843E-18</v>
      </c>
      <c r="N207" s="39">
        <f t="shared" si="41"/>
        <v>3.3198668370371082E-17</v>
      </c>
      <c r="O207" s="39">
        <f t="shared" si="41"/>
        <v>3.9350437394508346E-16</v>
      </c>
      <c r="P207" s="39">
        <f t="shared" si="41"/>
        <v>4.2149798320378121E-15</v>
      </c>
      <c r="Q207" s="39">
        <f t="shared" si="41"/>
        <v>4.0981525834455452E-14</v>
      </c>
      <c r="R207" s="39">
        <f t="shared" si="41"/>
        <v>3.6304093478897292E-13</v>
      </c>
      <c r="S207" s="39">
        <f t="shared" si="41"/>
        <v>2.9395162064251058E-12</v>
      </c>
      <c r="T207" s="39">
        <f t="shared" si="41"/>
        <v>2.1813023364516334E-11</v>
      </c>
      <c r="U207" s="39">
        <f t="shared" si="41"/>
        <v>1.4868324569498077E-10</v>
      </c>
      <c r="V207" s="39">
        <f t="shared" si="41"/>
        <v>9.3270468638714919E-10</v>
      </c>
      <c r="W207" s="37">
        <v>0.79600000000000004</v>
      </c>
    </row>
    <row r="208" spans="2:23" x14ac:dyDescent="0.25">
      <c r="B208" s="39">
        <f t="shared" si="40"/>
        <v>1.7010919281854995E-35</v>
      </c>
      <c r="C208" s="39">
        <f t="shared" si="40"/>
        <v>3.4567299020470834E-33</v>
      </c>
      <c r="D208" s="39">
        <f t="shared" si="40"/>
        <v>3.4389336144627916E-31</v>
      </c>
      <c r="E208" s="39">
        <f t="shared" si="40"/>
        <v>2.2323802048284672E-29</v>
      </c>
      <c r="F208" s="39">
        <f t="shared" si="40"/>
        <v>1.0633365855475519E-27</v>
      </c>
      <c r="G208" s="39">
        <f t="shared" si="40"/>
        <v>3.9625306691358974E-26</v>
      </c>
      <c r="H208" s="39">
        <f t="shared" si="40"/>
        <v>1.2028379857838556E-24</v>
      </c>
      <c r="I208" s="39">
        <f t="shared" si="40"/>
        <v>3.0577714902778906E-23</v>
      </c>
      <c r="J208" s="39">
        <f t="shared" si="40"/>
        <v>6.6421506813695554E-22</v>
      </c>
      <c r="K208" s="39">
        <f t="shared" si="40"/>
        <v>1.2518027966677442E-20</v>
      </c>
      <c r="L208" s="39">
        <f t="shared" si="41"/>
        <v>2.0713334686212754E-19</v>
      </c>
      <c r="M208" s="39">
        <f t="shared" si="41"/>
        <v>3.0379016217050871E-18</v>
      </c>
      <c r="N208" s="39">
        <f t="shared" si="41"/>
        <v>3.9797679418031739E-17</v>
      </c>
      <c r="O208" s="39">
        <f t="shared" si="41"/>
        <v>4.6866586968408057E-16</v>
      </c>
      <c r="P208" s="39">
        <f t="shared" si="41"/>
        <v>4.9875797421003253E-15</v>
      </c>
      <c r="Q208" s="39">
        <f t="shared" si="41"/>
        <v>4.8180044054283085E-14</v>
      </c>
      <c r="R208" s="39">
        <f t="shared" si="41"/>
        <v>4.2405653893564211E-13</v>
      </c>
      <c r="S208" s="39">
        <f t="shared" si="41"/>
        <v>3.4114404825880445E-12</v>
      </c>
      <c r="T208" s="39">
        <f t="shared" si="41"/>
        <v>2.5152235371067115E-11</v>
      </c>
      <c r="U208" s="39">
        <f t="shared" si="41"/>
        <v>1.7034404166639759E-10</v>
      </c>
      <c r="V208" s="39">
        <f t="shared" si="41"/>
        <v>1.0617423305506634E-9</v>
      </c>
      <c r="W208" s="37">
        <v>0.79500000000000004</v>
      </c>
    </row>
    <row r="209" spans="2:23" x14ac:dyDescent="0.25">
      <c r="B209" s="39">
        <f t="shared" si="40"/>
        <v>2.2030002464683067E-35</v>
      </c>
      <c r="C209" s="39">
        <f t="shared" si="40"/>
        <v>4.4473720252210101E-33</v>
      </c>
      <c r="D209" s="39">
        <f t="shared" si="40"/>
        <v>4.3955748077584091E-31</v>
      </c>
      <c r="E209" s="39">
        <f t="shared" si="40"/>
        <v>2.8347619004707154E-29</v>
      </c>
      <c r="F209" s="39">
        <f t="shared" si="40"/>
        <v>1.3414622362113625E-27</v>
      </c>
      <c r="G209" s="39">
        <f t="shared" si="40"/>
        <v>4.9664080149415664E-26</v>
      </c>
      <c r="H209" s="39">
        <f t="shared" si="40"/>
        <v>1.4977586156471933E-24</v>
      </c>
      <c r="I209" s="39">
        <f t="shared" si="40"/>
        <v>3.7827496506837546E-23</v>
      </c>
      <c r="J209" s="39">
        <f t="shared" si="40"/>
        <v>8.1636094047154536E-22</v>
      </c>
      <c r="K209" s="39">
        <f t="shared" si="40"/>
        <v>1.5285634642427803E-20</v>
      </c>
      <c r="L209" s="39">
        <f t="shared" si="41"/>
        <v>2.5128982391684047E-19</v>
      </c>
      <c r="M209" s="39">
        <f t="shared" si="41"/>
        <v>3.6616707978133536E-18</v>
      </c>
      <c r="N209" s="39">
        <f t="shared" si="41"/>
        <v>4.7659292296919641E-17</v>
      </c>
      <c r="O209" s="39">
        <f t="shared" si="41"/>
        <v>5.5762357030487031E-16</v>
      </c>
      <c r="P209" s="39">
        <f t="shared" si="41"/>
        <v>5.8960275274204904E-15</v>
      </c>
      <c r="Q209" s="39">
        <f t="shared" si="41"/>
        <v>5.6589104063125223E-14</v>
      </c>
      <c r="R209" s="39">
        <f t="shared" si="41"/>
        <v>4.9486841909654726E-13</v>
      </c>
      <c r="S209" s="39">
        <f t="shared" si="41"/>
        <v>3.9555674261137401E-12</v>
      </c>
      <c r="T209" s="39">
        <f t="shared" si="41"/>
        <v>2.8977279436336467E-11</v>
      </c>
      <c r="U209" s="39">
        <f t="shared" si="41"/>
        <v>1.9499496705690855E-10</v>
      </c>
      <c r="V209" s="39">
        <f t="shared" si="41"/>
        <v>1.2076383468969544E-9</v>
      </c>
      <c r="W209" s="37">
        <v>0.79400000000000004</v>
      </c>
    </row>
    <row r="210" spans="2:23" x14ac:dyDescent="0.25">
      <c r="B210" s="39">
        <f t="shared" si="40"/>
        <v>2.8492041648374858E-35</v>
      </c>
      <c r="C210" s="39">
        <f t="shared" si="40"/>
        <v>5.7144584317389218E-33</v>
      </c>
      <c r="D210" s="39">
        <f t="shared" si="40"/>
        <v>5.61115785386305E-31</v>
      </c>
      <c r="E210" s="39">
        <f t="shared" si="40"/>
        <v>3.5951850035129249E-29</v>
      </c>
      <c r="F210" s="39">
        <f t="shared" si="40"/>
        <v>1.6902605860919825E-27</v>
      </c>
      <c r="G210" s="39">
        <f t="shared" si="40"/>
        <v>6.2171442428812807E-26</v>
      </c>
      <c r="H210" s="39">
        <f t="shared" si="40"/>
        <v>1.862801410550719E-24</v>
      </c>
      <c r="I210" s="39">
        <f t="shared" si="40"/>
        <v>4.6742447392723925E-23</v>
      </c>
      <c r="J210" s="39">
        <f t="shared" si="40"/>
        <v>1.0022318634643544E-21</v>
      </c>
      <c r="K210" s="39">
        <f t="shared" si="40"/>
        <v>1.8644671304245651E-20</v>
      </c>
      <c r="L210" s="39">
        <f t="shared" si="41"/>
        <v>3.045332170464947E-19</v>
      </c>
      <c r="M210" s="39">
        <f t="shared" si="41"/>
        <v>4.4089071441134768E-18</v>
      </c>
      <c r="N210" s="39">
        <f t="shared" si="41"/>
        <v>5.7015725815281169E-17</v>
      </c>
      <c r="O210" s="39">
        <f t="shared" si="41"/>
        <v>6.6280732352295114E-16</v>
      </c>
      <c r="P210" s="39">
        <f t="shared" si="41"/>
        <v>6.9631968805110878E-15</v>
      </c>
      <c r="Q210" s="39">
        <f t="shared" si="41"/>
        <v>6.6403213767422653E-14</v>
      </c>
      <c r="R210" s="39">
        <f t="shared" si="41"/>
        <v>5.7697566485556668E-13</v>
      </c>
      <c r="S210" s="39">
        <f t="shared" si="41"/>
        <v>4.5823967540121354E-12</v>
      </c>
      <c r="T210" s="39">
        <f t="shared" si="41"/>
        <v>3.3355131178600458E-11</v>
      </c>
      <c r="U210" s="39">
        <f t="shared" si="41"/>
        <v>2.2302574652110126E-10</v>
      </c>
      <c r="V210" s="39">
        <f t="shared" si="41"/>
        <v>1.3724638944221003E-9</v>
      </c>
      <c r="W210" s="37">
        <v>0.79300000000000004</v>
      </c>
    </row>
    <row r="211" spans="2:23" x14ac:dyDescent="0.25">
      <c r="B211" s="39">
        <f t="shared" si="40"/>
        <v>3.5267718691685639E-35</v>
      </c>
      <c r="C211" s="39">
        <f t="shared" si="40"/>
        <v>7.0351431894544628E-33</v>
      </c>
      <c r="D211" s="39">
        <f t="shared" si="40"/>
        <v>6.8706301060018448E-31</v>
      </c>
      <c r="E211" s="39">
        <f t="shared" si="40"/>
        <v>4.37838291077552E-29</v>
      </c>
      <c r="F211" s="39">
        <f t="shared" si="40"/>
        <v>2.0473722952732665E-27</v>
      </c>
      <c r="G211" s="39">
        <f t="shared" si="40"/>
        <v>7.4900904657893116E-26</v>
      </c>
      <c r="H211" s="39">
        <f t="shared" si="40"/>
        <v>2.2321223824081951E-24</v>
      </c>
      <c r="I211" s="39">
        <f t="shared" si="40"/>
        <v>5.5708395188983246E-23</v>
      </c>
      <c r="J211" s="39">
        <f t="shared" si="40"/>
        <v>1.1880580724201798E-21</v>
      </c>
      <c r="K211" s="39">
        <f t="shared" si="40"/>
        <v>2.1983004735630843E-20</v>
      </c>
      <c r="L211" s="39">
        <f t="shared" si="41"/>
        <v>3.5713510628017039E-19</v>
      </c>
      <c r="M211" s="39">
        <f t="shared" si="41"/>
        <v>5.1427709136010859E-18</v>
      </c>
      <c r="N211" s="39">
        <f t="shared" si="41"/>
        <v>6.615035296894407E-17</v>
      </c>
      <c r="O211" s="39">
        <f t="shared" si="41"/>
        <v>7.6489031071573955E-16</v>
      </c>
      <c r="P211" s="39">
        <f t="shared" si="41"/>
        <v>7.9927848349477462E-15</v>
      </c>
      <c r="Q211" s="39">
        <f t="shared" si="41"/>
        <v>7.5815770360266872E-14</v>
      </c>
      <c r="R211" s="39">
        <f t="shared" si="41"/>
        <v>6.5525839079519651E-13</v>
      </c>
      <c r="S211" s="39">
        <f t="shared" si="41"/>
        <v>5.1765010672248575E-12</v>
      </c>
      <c r="T211" s="39">
        <f t="shared" si="41"/>
        <v>3.7479947027867887E-11</v>
      </c>
      <c r="U211" s="39">
        <f t="shared" si="41"/>
        <v>2.4928062299476648E-10</v>
      </c>
      <c r="V211" s="39">
        <f t="shared" si="41"/>
        <v>1.5259368274991023E-9</v>
      </c>
      <c r="W211" s="37">
        <v>0.79200000000000004</v>
      </c>
    </row>
    <row r="212" spans="2:23" x14ac:dyDescent="0.25">
      <c r="B212" s="39">
        <f t="shared" si="40"/>
        <v>4.5503259464778567E-35</v>
      </c>
      <c r="C212" s="39">
        <f t="shared" si="40"/>
        <v>9.0182264385272232E-33</v>
      </c>
      <c r="D212" s="39">
        <f t="shared" si="40"/>
        <v>8.7504499405224338E-31</v>
      </c>
      <c r="E212" s="39">
        <f t="shared" si="40"/>
        <v>5.5403321056446406E-29</v>
      </c>
      <c r="F212" s="39">
        <f t="shared" si="40"/>
        <v>2.5740074646700037E-27</v>
      </c>
      <c r="G212" s="39">
        <f t="shared" si="40"/>
        <v>9.3560753363180146E-26</v>
      </c>
      <c r="H212" s="39">
        <f t="shared" si="40"/>
        <v>2.7702638594472398E-24</v>
      </c>
      <c r="I212" s="39">
        <f t="shared" si="40"/>
        <v>6.8694690543493921E-23</v>
      </c>
      <c r="J212" s="39">
        <f t="shared" si="40"/>
        <v>1.4556017822705292E-21</v>
      </c>
      <c r="K212" s="39">
        <f t="shared" si="40"/>
        <v>2.6760698701599789E-20</v>
      </c>
      <c r="L212" s="39">
        <f t="shared" si="41"/>
        <v>4.3196806610939796E-19</v>
      </c>
      <c r="M212" s="39">
        <f t="shared" si="41"/>
        <v>6.1805672064121488E-18</v>
      </c>
      <c r="N212" s="39">
        <f t="shared" si="41"/>
        <v>7.8991230353639666E-17</v>
      </c>
      <c r="O212" s="39">
        <f t="shared" si="41"/>
        <v>9.0753859880443141E-16</v>
      </c>
      <c r="P212" s="39">
        <f t="shared" si="41"/>
        <v>9.4229562004274856E-15</v>
      </c>
      <c r="Q212" s="39">
        <f t="shared" si="41"/>
        <v>8.8812849532481036E-14</v>
      </c>
      <c r="R212" s="39">
        <f t="shared" si="41"/>
        <v>7.6271168789337735E-13</v>
      </c>
      <c r="S212" s="39">
        <f t="shared" si="41"/>
        <v>5.987152682216845E-12</v>
      </c>
      <c r="T212" s="39">
        <f t="shared" si="41"/>
        <v>4.3074893653855016E-11</v>
      </c>
      <c r="U212" s="39">
        <f t="shared" si="41"/>
        <v>2.8468225562241134E-10</v>
      </c>
      <c r="V212" s="39">
        <f t="shared" si="41"/>
        <v>1.7316533247056014E-9</v>
      </c>
      <c r="W212" s="37">
        <v>0.79100000000000004</v>
      </c>
    </row>
    <row r="213" spans="2:23" x14ac:dyDescent="0.25">
      <c r="B213" s="39">
        <f t="shared" ref="B213:K222" si="42">_xlfn.HYPGEOM.DIST(B$2,comau,tongtheN*$W213,tongtheN,TRUE)</f>
        <v>5.8633583278699298E-35</v>
      </c>
      <c r="C213" s="39">
        <f t="shared" si="42"/>
        <v>1.1545669068128866E-32</v>
      </c>
      <c r="D213" s="39">
        <f t="shared" si="42"/>
        <v>1.113076318605896E-30</v>
      </c>
      <c r="E213" s="39">
        <f t="shared" si="42"/>
        <v>7.0021199838143527E-29</v>
      </c>
      <c r="F213" s="39">
        <f t="shared" si="42"/>
        <v>3.2322534347422696E-27</v>
      </c>
      <c r="G213" s="39">
        <f t="shared" si="42"/>
        <v>1.1673306717104039E-25</v>
      </c>
      <c r="H213" s="39">
        <f t="shared" si="42"/>
        <v>3.4342247180238106E-24</v>
      </c>
      <c r="I213" s="39">
        <f t="shared" si="42"/>
        <v>8.4613764786860044E-23</v>
      </c>
      <c r="J213" s="39">
        <f t="shared" si="42"/>
        <v>1.7814501777013303E-21</v>
      </c>
      <c r="K213" s="39">
        <f t="shared" si="42"/>
        <v>3.2542048740022733E-20</v>
      </c>
      <c r="L213" s="39">
        <f t="shared" ref="L213:V222" si="43">_xlfn.HYPGEOM.DIST(L$2,comau,tongtheN*$W213,tongtheN,TRUE)</f>
        <v>5.219376554483631E-19</v>
      </c>
      <c r="M213" s="39">
        <f t="shared" si="43"/>
        <v>7.4202443302110429E-18</v>
      </c>
      <c r="N213" s="39">
        <f t="shared" si="43"/>
        <v>9.4231287791002771E-17</v>
      </c>
      <c r="O213" s="39">
        <f t="shared" si="43"/>
        <v>1.0757500951234113E-15</v>
      </c>
      <c r="P213" s="39">
        <f t="shared" si="43"/>
        <v>1.1098578621305737E-14</v>
      </c>
      <c r="Q213" s="39">
        <f t="shared" si="43"/>
        <v>1.0394269837710515E-13</v>
      </c>
      <c r="R213" s="39">
        <f t="shared" si="43"/>
        <v>8.8699450067178548E-13</v>
      </c>
      <c r="S213" s="39">
        <f t="shared" si="43"/>
        <v>6.9187534599434256E-12</v>
      </c>
      <c r="T213" s="39">
        <f t="shared" si="43"/>
        <v>4.9463373905492953E-11</v>
      </c>
      <c r="U213" s="39">
        <f t="shared" si="43"/>
        <v>3.2484585914448285E-10</v>
      </c>
      <c r="V213" s="39">
        <f t="shared" si="43"/>
        <v>1.963546529351145E-9</v>
      </c>
      <c r="W213" s="37">
        <v>0.79</v>
      </c>
    </row>
    <row r="214" spans="2:23" x14ac:dyDescent="0.25">
      <c r="B214" s="39">
        <f t="shared" si="42"/>
        <v>7.5456180797939106E-35</v>
      </c>
      <c r="C214" s="39">
        <f t="shared" si="42"/>
        <v>1.4762924249643225E-32</v>
      </c>
      <c r="D214" s="39">
        <f t="shared" si="42"/>
        <v>1.414118040677192E-30</v>
      </c>
      <c r="E214" s="39">
        <f t="shared" si="42"/>
        <v>8.8389420661712949E-29</v>
      </c>
      <c r="F214" s="39">
        <f t="shared" si="42"/>
        <v>4.0540472836354127E-27</v>
      </c>
      <c r="G214" s="39">
        <f t="shared" si="42"/>
        <v>1.4547644470488811E-25</v>
      </c>
      <c r="H214" s="39">
        <f t="shared" si="42"/>
        <v>4.2525130756979577E-24</v>
      </c>
      <c r="I214" s="39">
        <f t="shared" si="42"/>
        <v>1.0410677774093998E-22</v>
      </c>
      <c r="J214" s="39">
        <f t="shared" si="42"/>
        <v>2.1778886445439449E-21</v>
      </c>
      <c r="K214" s="39">
        <f t="shared" si="42"/>
        <v>3.9530650126364675E-20</v>
      </c>
      <c r="L214" s="39">
        <f t="shared" si="43"/>
        <v>6.2999624874867682E-19</v>
      </c>
      <c r="M214" s="39">
        <f t="shared" si="43"/>
        <v>8.89961322960828E-18</v>
      </c>
      <c r="N214" s="39">
        <f t="shared" si="43"/>
        <v>1.1230138891394331E-16</v>
      </c>
      <c r="O214" s="39">
        <f t="shared" si="43"/>
        <v>1.2739199028436278E-15</v>
      </c>
      <c r="P214" s="39">
        <f t="shared" si="43"/>
        <v>1.3059984899808491E-14</v>
      </c>
      <c r="Q214" s="39">
        <f t="shared" si="43"/>
        <v>1.2153964506476617E-13</v>
      </c>
      <c r="R214" s="39">
        <f t="shared" si="43"/>
        <v>1.0306184539915229E-12</v>
      </c>
      <c r="S214" s="39">
        <f t="shared" si="43"/>
        <v>7.9884496756927288E-12</v>
      </c>
      <c r="T214" s="39">
        <f t="shared" si="43"/>
        <v>5.6751984102889525E-11</v>
      </c>
      <c r="U214" s="39">
        <f t="shared" si="43"/>
        <v>3.7037590872633764E-10</v>
      </c>
      <c r="V214" s="39">
        <f t="shared" si="43"/>
        <v>2.2247467196591454E-9</v>
      </c>
      <c r="W214" s="37">
        <v>0.78900000000000003</v>
      </c>
    </row>
    <row r="215" spans="2:23" x14ac:dyDescent="0.25">
      <c r="B215" s="39">
        <f t="shared" si="42"/>
        <v>9.3017527572522899E-35</v>
      </c>
      <c r="C215" s="39">
        <f t="shared" si="42"/>
        <v>1.8101781817188577E-32</v>
      </c>
      <c r="D215" s="39">
        <f t="shared" si="42"/>
        <v>1.7247083121912227E-30</v>
      </c>
      <c r="E215" s="39">
        <f t="shared" si="42"/>
        <v>1.0722930266654927E-28</v>
      </c>
      <c r="F215" s="39">
        <f t="shared" si="42"/>
        <v>4.892010686041995E-27</v>
      </c>
      <c r="G215" s="39">
        <f t="shared" si="42"/>
        <v>1.7461393833546614E-25</v>
      </c>
      <c r="H215" s="39">
        <f t="shared" si="42"/>
        <v>5.0771715725382164E-24</v>
      </c>
      <c r="I215" s="39">
        <f t="shared" si="42"/>
        <v>1.2363673329127387E-22</v>
      </c>
      <c r="J215" s="39">
        <f t="shared" si="42"/>
        <v>2.5727582727998846E-21</v>
      </c>
      <c r="K215" s="39">
        <f t="shared" si="42"/>
        <v>4.6450951567141773E-20</v>
      </c>
      <c r="L215" s="39">
        <f t="shared" si="43"/>
        <v>7.3637428983560905E-19</v>
      </c>
      <c r="M215" s="39">
        <f t="shared" si="43"/>
        <v>1.0347478782366776E-17</v>
      </c>
      <c r="N215" s="39">
        <f t="shared" si="43"/>
        <v>1.2988356153649774E-16</v>
      </c>
      <c r="O215" s="39">
        <f t="shared" si="43"/>
        <v>1.4656149010558588E-15</v>
      </c>
      <c r="P215" s="39">
        <f t="shared" si="43"/>
        <v>1.4946252564105827E-14</v>
      </c>
      <c r="Q215" s="39">
        <f t="shared" si="43"/>
        <v>1.383639321023504E-13</v>
      </c>
      <c r="R215" s="39">
        <f t="shared" si="43"/>
        <v>1.1671367769275196E-12</v>
      </c>
      <c r="S215" s="39">
        <f t="shared" si="43"/>
        <v>8.999308174200501E-12</v>
      </c>
      <c r="T215" s="39">
        <f t="shared" si="43"/>
        <v>6.3599634686702197E-11</v>
      </c>
      <c r="U215" s="39">
        <f t="shared" si="43"/>
        <v>4.1290274434960284E-10</v>
      </c>
      <c r="V215" s="39">
        <f t="shared" si="43"/>
        <v>2.4673002659588452E-9</v>
      </c>
      <c r="W215" s="37">
        <v>0.78800000000000003</v>
      </c>
    </row>
    <row r="216" spans="2:23" x14ac:dyDescent="0.25">
      <c r="B216" s="39">
        <f t="shared" si="42"/>
        <v>1.1942880980703443E-34</v>
      </c>
      <c r="C216" s="39">
        <f t="shared" si="42"/>
        <v>2.3093520467344056E-32</v>
      </c>
      <c r="D216" s="39">
        <f t="shared" si="42"/>
        <v>2.1863086805010022E-30</v>
      </c>
      <c r="E216" s="39">
        <f t="shared" si="42"/>
        <v>1.3506376894255521E-28</v>
      </c>
      <c r="F216" s="39">
        <f t="shared" si="42"/>
        <v>6.1227278523373966E-27</v>
      </c>
      <c r="G216" s="39">
        <f t="shared" si="42"/>
        <v>2.1715574675233542E-25</v>
      </c>
      <c r="H216" s="39">
        <f t="shared" si="42"/>
        <v>6.2741063926721282E-24</v>
      </c>
      <c r="I216" s="39">
        <f t="shared" si="42"/>
        <v>1.5181616820638414E-22</v>
      </c>
      <c r="J216" s="39">
        <f t="shared" si="42"/>
        <v>3.1391559565742976E-21</v>
      </c>
      <c r="K216" s="39">
        <f t="shared" si="42"/>
        <v>5.6319005398927415E-20</v>
      </c>
      <c r="L216" s="39">
        <f t="shared" si="43"/>
        <v>8.8717357740623621E-19</v>
      </c>
      <c r="M216" s="39">
        <f t="shared" si="43"/>
        <v>1.2387893182590536E-17</v>
      </c>
      <c r="N216" s="39">
        <f t="shared" si="43"/>
        <v>1.5451600889161535E-16</v>
      </c>
      <c r="O216" s="39">
        <f t="shared" si="43"/>
        <v>1.7326035001898084E-15</v>
      </c>
      <c r="P216" s="39">
        <f t="shared" si="43"/>
        <v>1.755801815480655E-14</v>
      </c>
      <c r="Q216" s="39">
        <f t="shared" si="43"/>
        <v>1.6152286322071184E-13</v>
      </c>
      <c r="R216" s="39">
        <f t="shared" si="43"/>
        <v>1.3539578118703857E-12</v>
      </c>
      <c r="S216" s="39">
        <f t="shared" si="43"/>
        <v>1.0374553574040238E-11</v>
      </c>
      <c r="T216" s="39">
        <f t="shared" si="43"/>
        <v>7.286128639757808E-11</v>
      </c>
      <c r="U216" s="39">
        <f t="shared" si="43"/>
        <v>4.7008600981559227E-10</v>
      </c>
      <c r="V216" s="39">
        <f t="shared" si="43"/>
        <v>2.7915462078979457E-9</v>
      </c>
      <c r="W216" s="37">
        <v>0.78700000000000003</v>
      </c>
    </row>
    <row r="217" spans="2:23" x14ac:dyDescent="0.25">
      <c r="B217" s="39">
        <f t="shared" si="42"/>
        <v>1.5314875198540002E-34</v>
      </c>
      <c r="C217" s="39">
        <f t="shared" si="42"/>
        <v>2.9425884890967408E-32</v>
      </c>
      <c r="D217" s="39">
        <f t="shared" si="42"/>
        <v>2.7681421060962344E-30</v>
      </c>
      <c r="E217" s="39">
        <f t="shared" si="42"/>
        <v>1.6992442921130044E-28</v>
      </c>
      <c r="F217" s="39">
        <f t="shared" si="42"/>
        <v>7.6542838675712194E-27</v>
      </c>
      <c r="G217" s="39">
        <f t="shared" si="42"/>
        <v>2.697591951592207E-25</v>
      </c>
      <c r="H217" s="39">
        <f t="shared" si="42"/>
        <v>7.7447049321005525E-24</v>
      </c>
      <c r="I217" s="39">
        <f t="shared" si="42"/>
        <v>1.8621811246629607E-22</v>
      </c>
      <c r="J217" s="39">
        <f t="shared" si="42"/>
        <v>3.8262259310399323E-21</v>
      </c>
      <c r="K217" s="39">
        <f t="shared" si="42"/>
        <v>6.8213377363915479E-20</v>
      </c>
      <c r="L217" s="39">
        <f t="shared" si="43"/>
        <v>1.0677834591687109E-18</v>
      </c>
      <c r="M217" s="39">
        <f t="shared" si="43"/>
        <v>1.4816149437891116E-17</v>
      </c>
      <c r="N217" s="39">
        <f t="shared" si="43"/>
        <v>1.8364458926899731E-16</v>
      </c>
      <c r="O217" s="39">
        <f t="shared" si="43"/>
        <v>2.0463232001528382E-15</v>
      </c>
      <c r="P217" s="39">
        <f t="shared" si="43"/>
        <v>2.060747354348729E-14</v>
      </c>
      <c r="Q217" s="39">
        <f t="shared" si="43"/>
        <v>1.883916035528247E-13</v>
      </c>
      <c r="R217" s="39">
        <f t="shared" si="43"/>
        <v>1.5693336423406196E-12</v>
      </c>
      <c r="S217" s="39">
        <f t="shared" si="43"/>
        <v>1.1949970383536321E-11</v>
      </c>
      <c r="T217" s="39">
        <f t="shared" si="43"/>
        <v>8.3403929027904541E-11</v>
      </c>
      <c r="U217" s="39">
        <f t="shared" si="43"/>
        <v>5.3476711601257068E-10</v>
      </c>
      <c r="V217" s="39">
        <f t="shared" si="43"/>
        <v>3.1559913448797599E-9</v>
      </c>
      <c r="W217" s="37">
        <v>0.78600000000000003</v>
      </c>
    </row>
    <row r="218" spans="2:23" x14ac:dyDescent="0.25">
      <c r="B218" s="39">
        <f t="shared" si="42"/>
        <v>1.9614769605730099E-34</v>
      </c>
      <c r="C218" s="39">
        <f t="shared" si="42"/>
        <v>3.7449387702910031E-32</v>
      </c>
      <c r="D218" s="39">
        <f t="shared" si="42"/>
        <v>3.500672467819856E-30</v>
      </c>
      <c r="E218" s="39">
        <f t="shared" si="42"/>
        <v>2.1353513708862516E-28</v>
      </c>
      <c r="F218" s="39">
        <f t="shared" si="42"/>
        <v>9.558089844769067E-27</v>
      </c>
      <c r="G218" s="39">
        <f t="shared" si="42"/>
        <v>3.3473295424994011E-25</v>
      </c>
      <c r="H218" s="39">
        <f t="shared" si="42"/>
        <v>9.5496067768687867E-24</v>
      </c>
      <c r="I218" s="39">
        <f t="shared" si="42"/>
        <v>2.2817273566409414E-22</v>
      </c>
      <c r="J218" s="39">
        <f t="shared" si="42"/>
        <v>4.6588268411414303E-21</v>
      </c>
      <c r="K218" s="39">
        <f t="shared" si="42"/>
        <v>8.2535856355930433E-20</v>
      </c>
      <c r="L218" s="39">
        <f t="shared" si="43"/>
        <v>1.2838863829084499E-18</v>
      </c>
      <c r="M218" s="39">
        <f t="shared" si="43"/>
        <v>1.7703222623490119E-17</v>
      </c>
      <c r="N218" s="39">
        <f t="shared" si="43"/>
        <v>2.1805805579709212E-16</v>
      </c>
      <c r="O218" s="39">
        <f t="shared" si="43"/>
        <v>2.4146203856527853E-15</v>
      </c>
      <c r="P218" s="39">
        <f t="shared" si="43"/>
        <v>2.4164835667405399E-14</v>
      </c>
      <c r="Q218" s="39">
        <f t="shared" si="43"/>
        <v>2.1953772380823033E-13</v>
      </c>
      <c r="R218" s="39">
        <f t="shared" si="43"/>
        <v>1.8174218625905403E-12</v>
      </c>
      <c r="S218" s="39">
        <f t="shared" si="43"/>
        <v>1.3753232463470067E-11</v>
      </c>
      <c r="T218" s="39">
        <f t="shared" si="43"/>
        <v>9.5395296779116391E-11</v>
      </c>
      <c r="U218" s="39">
        <f t="shared" si="43"/>
        <v>6.0787331418373701E-10</v>
      </c>
      <c r="V218" s="39">
        <f t="shared" si="43"/>
        <v>3.5653161869375847E-9</v>
      </c>
      <c r="W218" s="37">
        <v>0.78500000000000003</v>
      </c>
    </row>
    <row r="219" spans="2:23" x14ac:dyDescent="0.25">
      <c r="B219" s="39">
        <f t="shared" si="42"/>
        <v>2.5091326348670449E-34</v>
      </c>
      <c r="C219" s="39">
        <f t="shared" si="42"/>
        <v>4.760371712451158E-32</v>
      </c>
      <c r="D219" s="39">
        <f t="shared" si="42"/>
        <v>4.4218683819709223E-30</v>
      </c>
      <c r="E219" s="39">
        <f t="shared" si="42"/>
        <v>2.6803059867650786E-28</v>
      </c>
      <c r="F219" s="39">
        <f t="shared" si="42"/>
        <v>1.1922007809541596E-26</v>
      </c>
      <c r="G219" s="39">
        <f t="shared" si="42"/>
        <v>4.1489926742200814E-25</v>
      </c>
      <c r="H219" s="39">
        <f t="shared" si="42"/>
        <v>1.1762463988497678E-23</v>
      </c>
      <c r="I219" s="39">
        <f t="shared" si="42"/>
        <v>2.7928524381817269E-22</v>
      </c>
      <c r="J219" s="39">
        <f t="shared" si="42"/>
        <v>5.6667640822631425E-21</v>
      </c>
      <c r="K219" s="39">
        <f t="shared" si="42"/>
        <v>9.9765080502570622E-20</v>
      </c>
      <c r="L219" s="39">
        <f t="shared" si="43"/>
        <v>1.5422080040768521E-18</v>
      </c>
      <c r="M219" s="39">
        <f t="shared" si="43"/>
        <v>2.1132575404763464E-17</v>
      </c>
      <c r="N219" s="39">
        <f t="shared" si="43"/>
        <v>2.5867794303175543E-16</v>
      </c>
      <c r="O219" s="39">
        <f t="shared" si="43"/>
        <v>2.8466030055776781E-15</v>
      </c>
      <c r="P219" s="39">
        <f t="shared" si="43"/>
        <v>2.8311082878687205E-14</v>
      </c>
      <c r="Q219" s="39">
        <f t="shared" si="43"/>
        <v>2.5561153014240524E-13</v>
      </c>
      <c r="R219" s="39">
        <f t="shared" si="43"/>
        <v>2.10295512497523E-12</v>
      </c>
      <c r="S219" s="39">
        <f t="shared" si="43"/>
        <v>1.5815635856941289E-11</v>
      </c>
      <c r="T219" s="39">
        <f t="shared" si="43"/>
        <v>1.0902383680702008E-10</v>
      </c>
      <c r="U219" s="39">
        <f t="shared" si="43"/>
        <v>6.9043951524804971E-10</v>
      </c>
      <c r="V219" s="39">
        <f t="shared" si="43"/>
        <v>4.0247102083604178E-9</v>
      </c>
      <c r="W219" s="37">
        <v>0.78400000000000003</v>
      </c>
    </row>
    <row r="220" spans="2:23" x14ac:dyDescent="0.25">
      <c r="B220" s="39">
        <f t="shared" si="42"/>
        <v>3.0777972975649208E-34</v>
      </c>
      <c r="C220" s="39">
        <f t="shared" si="42"/>
        <v>5.8086894554674553E-32</v>
      </c>
      <c r="D220" s="39">
        <f t="shared" si="42"/>
        <v>5.3674256054488501E-30</v>
      </c>
      <c r="E220" s="39">
        <f t="shared" si="42"/>
        <v>3.2364552427446874E-28</v>
      </c>
      <c r="F220" s="39">
        <f t="shared" si="42"/>
        <v>1.432061825765029E-26</v>
      </c>
      <c r="G220" s="39">
        <f t="shared" si="42"/>
        <v>4.9577469827763867E-25</v>
      </c>
      <c r="H220" s="39">
        <f t="shared" si="42"/>
        <v>1.3982073327503403E-23</v>
      </c>
      <c r="I220" s="39">
        <f t="shared" si="42"/>
        <v>3.3025938039520643E-22</v>
      </c>
      <c r="J220" s="39">
        <f t="shared" si="42"/>
        <v>6.666204217329008E-21</v>
      </c>
      <c r="K220" s="39">
        <f t="shared" si="42"/>
        <v>1.1675106395986803E-19</v>
      </c>
      <c r="L220" s="39">
        <f t="shared" si="43"/>
        <v>1.7954224545045792E-18</v>
      </c>
      <c r="M220" s="39">
        <f t="shared" si="43"/>
        <v>2.4474862213348747E-17</v>
      </c>
      <c r="N220" s="39">
        <f t="shared" si="43"/>
        <v>2.9803976149738037E-16</v>
      </c>
      <c r="O220" s="39">
        <f t="shared" si="43"/>
        <v>3.2628093245275256E-15</v>
      </c>
      <c r="P220" s="39">
        <f t="shared" si="43"/>
        <v>3.2283040497045168E-14</v>
      </c>
      <c r="Q220" s="39">
        <f t="shared" si="43"/>
        <v>2.8997123795458859E-13</v>
      </c>
      <c r="R220" s="39">
        <f t="shared" si="43"/>
        <v>2.3733654925633153E-12</v>
      </c>
      <c r="S220" s="39">
        <f t="shared" si="43"/>
        <v>1.7757641293836633E-11</v>
      </c>
      <c r="T220" s="39">
        <f t="shared" si="43"/>
        <v>1.2178344714942459E-10</v>
      </c>
      <c r="U220" s="39">
        <f t="shared" si="43"/>
        <v>7.6729992317478473E-10</v>
      </c>
      <c r="V220" s="39">
        <f t="shared" si="43"/>
        <v>4.4499159076545737E-9</v>
      </c>
      <c r="W220" s="37">
        <v>0.78300000000000003</v>
      </c>
    </row>
    <row r="221" spans="2:23" x14ac:dyDescent="0.25">
      <c r="B221" s="39">
        <f t="shared" si="42"/>
        <v>3.9284695073274766E-34</v>
      </c>
      <c r="C221" s="39">
        <f t="shared" si="42"/>
        <v>7.3677665119295374E-32</v>
      </c>
      <c r="D221" s="39">
        <f t="shared" si="42"/>
        <v>6.7655089896478558E-30</v>
      </c>
      <c r="E221" s="39">
        <f t="shared" si="42"/>
        <v>4.0539956012354021E-28</v>
      </c>
      <c r="F221" s="39">
        <f t="shared" si="42"/>
        <v>1.7826135525530341E-26</v>
      </c>
      <c r="G221" s="39">
        <f t="shared" si="42"/>
        <v>6.1328758872724715E-25</v>
      </c>
      <c r="H221" s="39">
        <f t="shared" si="42"/>
        <v>1.7188519218864663E-23</v>
      </c>
      <c r="I221" s="39">
        <f t="shared" si="42"/>
        <v>4.0347060594031887E-22</v>
      </c>
      <c r="J221" s="39">
        <f t="shared" si="42"/>
        <v>8.0933454804877749E-21</v>
      </c>
      <c r="K221" s="39">
        <f t="shared" si="42"/>
        <v>1.4086594933143095E-19</v>
      </c>
      <c r="L221" s="39">
        <f t="shared" si="43"/>
        <v>2.1528345653530584E-18</v>
      </c>
      <c r="M221" s="39">
        <f t="shared" si="43"/>
        <v>2.9165292741944877E-17</v>
      </c>
      <c r="N221" s="39">
        <f t="shared" si="43"/>
        <v>3.5296023849777713E-16</v>
      </c>
      <c r="O221" s="39">
        <f t="shared" si="43"/>
        <v>3.8401868894784063E-15</v>
      </c>
      <c r="P221" s="39">
        <f t="shared" si="43"/>
        <v>3.7761391585381155E-14</v>
      </c>
      <c r="Q221" s="39">
        <f t="shared" si="43"/>
        <v>3.3708965220474141E-13</v>
      </c>
      <c r="R221" s="39">
        <f t="shared" si="43"/>
        <v>2.7420563904802611E-12</v>
      </c>
      <c r="S221" s="39">
        <f t="shared" si="43"/>
        <v>2.0390268190472715E-11</v>
      </c>
      <c r="T221" s="39">
        <f t="shared" si="43"/>
        <v>1.3898144925191878E-10</v>
      </c>
      <c r="U221" s="39">
        <f t="shared" si="43"/>
        <v>8.703022175662677E-10</v>
      </c>
      <c r="V221" s="39">
        <f t="shared" si="43"/>
        <v>5.0164797177309365E-9</v>
      </c>
      <c r="W221" s="37">
        <v>0.78200000000000003</v>
      </c>
    </row>
    <row r="222" spans="2:23" x14ac:dyDescent="0.25">
      <c r="B222" s="39">
        <f t="shared" si="42"/>
        <v>5.0083183372951375E-34</v>
      </c>
      <c r="C222" s="39">
        <f t="shared" si="42"/>
        <v>9.3344492608708644E-32</v>
      </c>
      <c r="D222" s="39">
        <f t="shared" si="42"/>
        <v>8.518047044412412E-30</v>
      </c>
      <c r="E222" s="39">
        <f t="shared" si="42"/>
        <v>5.0723826784131412E-28</v>
      </c>
      <c r="F222" s="39">
        <f t="shared" si="42"/>
        <v>2.2165505933780399E-26</v>
      </c>
      <c r="G222" s="39">
        <f t="shared" si="42"/>
        <v>7.5784244614912773E-25</v>
      </c>
      <c r="H222" s="39">
        <f t="shared" si="42"/>
        <v>2.1108151243574343E-23</v>
      </c>
      <c r="I222" s="39">
        <f t="shared" si="42"/>
        <v>4.9240605217504733E-22</v>
      </c>
      <c r="J222" s="39">
        <f t="shared" si="42"/>
        <v>9.8161723269293426E-21</v>
      </c>
      <c r="K222" s="39">
        <f t="shared" si="42"/>
        <v>1.6979531750276144E-19</v>
      </c>
      <c r="L222" s="39">
        <f t="shared" si="43"/>
        <v>2.5789268894833965E-18</v>
      </c>
      <c r="M222" s="39">
        <f t="shared" si="43"/>
        <v>3.4722152943449783E-17</v>
      </c>
      <c r="N222" s="39">
        <f t="shared" si="43"/>
        <v>4.1762013350875272E-16</v>
      </c>
      <c r="O222" s="39">
        <f t="shared" si="43"/>
        <v>4.5157192250378914E-15</v>
      </c>
      <c r="P222" s="39">
        <f t="shared" si="43"/>
        <v>4.4131154243256245E-14</v>
      </c>
      <c r="Q222" s="39">
        <f t="shared" si="43"/>
        <v>3.9153400165709494E-13</v>
      </c>
      <c r="R222" s="39">
        <f t="shared" si="43"/>
        <v>3.1654213629491078E-12</v>
      </c>
      <c r="S222" s="39">
        <f t="shared" si="43"/>
        <v>2.3394502363590993E-11</v>
      </c>
      <c r="T222" s="39">
        <f t="shared" si="43"/>
        <v>1.5848510502750453E-10</v>
      </c>
      <c r="U222" s="39">
        <f t="shared" si="43"/>
        <v>9.8638827897462395E-10</v>
      </c>
      <c r="V222" s="39">
        <f t="shared" si="43"/>
        <v>5.6510485707248946E-9</v>
      </c>
      <c r="W222" s="37">
        <v>0.78100000000000003</v>
      </c>
    </row>
    <row r="223" spans="2:23" x14ac:dyDescent="0.25">
      <c r="B223" s="39">
        <f t="shared" ref="B223:K232" si="44">_xlfn.HYPGEOM.DIST(B$2,comau,tongtheN*$W223,tongtheN,TRUE)</f>
        <v>6.3775020882740959E-34</v>
      </c>
      <c r="C223" s="39">
        <f t="shared" si="44"/>
        <v>1.18124930072732E-31</v>
      </c>
      <c r="D223" s="39">
        <f t="shared" si="44"/>
        <v>1.0712466424385131E-29</v>
      </c>
      <c r="E223" s="39">
        <f t="shared" si="44"/>
        <v>6.3395798307178556E-28</v>
      </c>
      <c r="F223" s="39">
        <f t="shared" si="44"/>
        <v>2.7531359139381265E-26</v>
      </c>
      <c r="G223" s="39">
        <f t="shared" si="44"/>
        <v>9.3547686817162602E-25</v>
      </c>
      <c r="H223" s="39">
        <f t="shared" si="44"/>
        <v>2.5894713616466433E-23</v>
      </c>
      <c r="I223" s="39">
        <f t="shared" si="44"/>
        <v>6.0033524094996996E-22</v>
      </c>
      <c r="J223" s="39">
        <f t="shared" si="44"/>
        <v>1.1893920278330741E-20</v>
      </c>
      <c r="K223" s="39">
        <f t="shared" si="44"/>
        <v>2.0446732551127812E-19</v>
      </c>
      <c r="L223" s="39">
        <f t="shared" ref="L223:V232" si="45">_xlfn.HYPGEOM.DIST(L$2,comau,tongtheN*$W223,tongtheN,TRUE)</f>
        <v>3.0864246998705205E-18</v>
      </c>
      <c r="M223" s="39">
        <f t="shared" si="45"/>
        <v>4.1299518045033128E-17</v>
      </c>
      <c r="N223" s="39">
        <f t="shared" si="45"/>
        <v>4.9367921692322416E-16</v>
      </c>
      <c r="O223" s="39">
        <f t="shared" si="45"/>
        <v>5.3054106868717313E-15</v>
      </c>
      <c r="P223" s="39">
        <f t="shared" si="45"/>
        <v>5.1531147947180516E-14</v>
      </c>
      <c r="Q223" s="39">
        <f t="shared" si="45"/>
        <v>4.5439181957786344E-13</v>
      </c>
      <c r="R223" s="39">
        <f t="shared" si="45"/>
        <v>3.6511809547848932E-12</v>
      </c>
      <c r="S223" s="39">
        <f t="shared" si="45"/>
        <v>2.6820142988105759E-11</v>
      </c>
      <c r="T223" s="39">
        <f t="shared" si="45"/>
        <v>1.8058688131164709E-10</v>
      </c>
      <c r="U223" s="39">
        <f t="shared" si="45"/>
        <v>1.1171245056286009E-9</v>
      </c>
      <c r="V223" s="39">
        <f t="shared" si="45"/>
        <v>6.3612816726877555E-9</v>
      </c>
      <c r="W223" s="37">
        <v>0.78</v>
      </c>
    </row>
    <row r="224" spans="2:23" x14ac:dyDescent="0.25">
      <c r="B224" s="39">
        <f t="shared" si="44"/>
        <v>7.793458884980884E-34</v>
      </c>
      <c r="C224" s="39">
        <f t="shared" si="44"/>
        <v>1.4360640871937228E-31</v>
      </c>
      <c r="D224" s="39">
        <f t="shared" si="44"/>
        <v>1.295616088153417E-29</v>
      </c>
      <c r="E224" s="39">
        <f t="shared" si="44"/>
        <v>7.6278819966220731E-28</v>
      </c>
      <c r="F224" s="39">
        <f t="shared" si="44"/>
        <v>3.2955648302759915E-26</v>
      </c>
      <c r="G224" s="39">
        <f t="shared" si="44"/>
        <v>1.1140280387722232E-24</v>
      </c>
      <c r="H224" s="39">
        <f t="shared" si="44"/>
        <v>3.0678721156184025E-23</v>
      </c>
      <c r="I224" s="39">
        <f t="shared" si="44"/>
        <v>7.0759594214874869E-22</v>
      </c>
      <c r="J224" s="39">
        <f t="shared" si="44"/>
        <v>1.3947110529559055E-20</v>
      </c>
      <c r="K224" s="39">
        <f t="shared" si="44"/>
        <v>2.3853566455248537E-19</v>
      </c>
      <c r="L224" s="39">
        <f t="shared" si="45"/>
        <v>3.5822661129841828E-18</v>
      </c>
      <c r="M224" s="39">
        <f t="shared" si="45"/>
        <v>4.7689479683757206E-17</v>
      </c>
      <c r="N224" s="39">
        <f t="shared" si="45"/>
        <v>5.6715362300604786E-16</v>
      </c>
      <c r="O224" s="39">
        <f t="shared" si="45"/>
        <v>6.0639570857444257E-15</v>
      </c>
      <c r="P224" s="39">
        <f t="shared" si="45"/>
        <v>5.8599151916066095E-14</v>
      </c>
      <c r="Q224" s="39">
        <f t="shared" si="45"/>
        <v>5.1409073944249928E-13</v>
      </c>
      <c r="R224" s="39">
        <f t="shared" si="45"/>
        <v>4.1099259156686847E-12</v>
      </c>
      <c r="S224" s="39">
        <f t="shared" si="45"/>
        <v>3.0037027573099825E-11</v>
      </c>
      <c r="T224" s="39">
        <f t="shared" si="45"/>
        <v>2.0122478694650027E-10</v>
      </c>
      <c r="U224" s="39">
        <f t="shared" si="45"/>
        <v>1.2385137363207126E-9</v>
      </c>
      <c r="V224" s="39">
        <f t="shared" si="45"/>
        <v>7.0170220028889114E-9</v>
      </c>
      <c r="W224" s="37">
        <v>0.77900000000000003</v>
      </c>
    </row>
    <row r="225" spans="2:23" x14ac:dyDescent="0.25">
      <c r="B225" s="39">
        <f t="shared" si="44"/>
        <v>9.9030025349267125E-34</v>
      </c>
      <c r="C225" s="39">
        <f t="shared" si="44"/>
        <v>1.8135205235183609E-31</v>
      </c>
      <c r="D225" s="39">
        <f t="shared" si="44"/>
        <v>1.6260704730186633E-29</v>
      </c>
      <c r="E225" s="39">
        <f t="shared" si="44"/>
        <v>9.5144524587610927E-28</v>
      </c>
      <c r="F225" s="39">
        <f t="shared" si="44"/>
        <v>4.0853473336864274E-26</v>
      </c>
      <c r="G225" s="39">
        <f t="shared" si="44"/>
        <v>1.372515003537829E-24</v>
      </c>
      <c r="H225" s="39">
        <f t="shared" si="44"/>
        <v>3.7564942150201336E-23</v>
      </c>
      <c r="I225" s="39">
        <f t="shared" si="44"/>
        <v>8.6110880467027895E-22</v>
      </c>
      <c r="J225" s="39">
        <f t="shared" si="44"/>
        <v>1.6868908937707667E-20</v>
      </c>
      <c r="K225" s="39">
        <f t="shared" si="44"/>
        <v>2.8674052247998645E-19</v>
      </c>
      <c r="L225" s="39">
        <f t="shared" si="45"/>
        <v>4.2798610301146553E-18</v>
      </c>
      <c r="M225" s="39">
        <f t="shared" si="45"/>
        <v>5.6628322391649192E-17</v>
      </c>
      <c r="N225" s="39">
        <f t="shared" si="45"/>
        <v>6.6935188916134301E-16</v>
      </c>
      <c r="O225" s="39">
        <f t="shared" si="45"/>
        <v>7.1130545961713975E-15</v>
      </c>
      <c r="P225" s="39">
        <f t="shared" si="45"/>
        <v>6.8318980624682303E-14</v>
      </c>
      <c r="Q225" s="39">
        <f t="shared" si="45"/>
        <v>5.9572233358360721E-13</v>
      </c>
      <c r="R225" s="39">
        <f t="shared" si="45"/>
        <v>4.7336534859246132E-12</v>
      </c>
      <c r="S225" s="39">
        <f t="shared" si="45"/>
        <v>3.4386061486982705E-11</v>
      </c>
      <c r="T225" s="39">
        <f t="shared" si="45"/>
        <v>2.2896810902277192E-10</v>
      </c>
      <c r="U225" s="39">
        <f t="shared" si="45"/>
        <v>1.4007733248769159E-9</v>
      </c>
      <c r="V225" s="39">
        <f t="shared" si="45"/>
        <v>7.8885900829749773E-9</v>
      </c>
      <c r="W225" s="37">
        <v>0.77800000000000002</v>
      </c>
    </row>
    <row r="226" spans="2:23" x14ac:dyDescent="0.25">
      <c r="B226" s="39">
        <f t="shared" si="44"/>
        <v>1.2569193035613069E-33</v>
      </c>
      <c r="C226" s="39">
        <f t="shared" si="44"/>
        <v>2.2876236155689301E-31</v>
      </c>
      <c r="D226" s="39">
        <f t="shared" si="44"/>
        <v>2.0385689414642465E-29</v>
      </c>
      <c r="E226" s="39">
        <f t="shared" si="44"/>
        <v>1.1854853567542637E-27</v>
      </c>
      <c r="F226" s="39">
        <f t="shared" si="44"/>
        <v>5.0590644133609174E-26</v>
      </c>
      <c r="G226" s="39">
        <f t="shared" si="44"/>
        <v>1.6892335606383853E-24</v>
      </c>
      <c r="H226" s="39">
        <f t="shared" si="44"/>
        <v>4.595040364231567E-23</v>
      </c>
      <c r="I226" s="39">
        <f t="shared" si="44"/>
        <v>1.0468907455147067E-21</v>
      </c>
      <c r="J226" s="39">
        <f t="shared" si="44"/>
        <v>2.0383082822081164E-20</v>
      </c>
      <c r="K226" s="39">
        <f t="shared" si="44"/>
        <v>3.4436136934190378E-19</v>
      </c>
      <c r="L226" s="39">
        <f t="shared" si="45"/>
        <v>5.1085842795136479E-18</v>
      </c>
      <c r="M226" s="39">
        <f t="shared" si="45"/>
        <v>6.7182063794414779E-17</v>
      </c>
      <c r="N226" s="39">
        <f t="shared" si="45"/>
        <v>7.8927121221385114E-16</v>
      </c>
      <c r="O226" s="39">
        <f t="shared" si="45"/>
        <v>8.3364970051538021E-15</v>
      </c>
      <c r="P226" s="39">
        <f t="shared" si="45"/>
        <v>7.9584464840732969E-14</v>
      </c>
      <c r="Q226" s="39">
        <f t="shared" si="45"/>
        <v>6.8975411168587244E-13</v>
      </c>
      <c r="R226" s="39">
        <f t="shared" si="45"/>
        <v>5.4477188523730304E-12</v>
      </c>
      <c r="S226" s="39">
        <f t="shared" si="45"/>
        <v>3.933445256816892E-11</v>
      </c>
      <c r="T226" s="39">
        <f t="shared" si="45"/>
        <v>2.6034135184618613E-10</v>
      </c>
      <c r="U226" s="39">
        <f t="shared" si="45"/>
        <v>1.5831387796070746E-9</v>
      </c>
      <c r="V226" s="39">
        <f t="shared" si="45"/>
        <v>8.8621581124876406E-9</v>
      </c>
      <c r="W226" s="37">
        <v>0.77700000000000002</v>
      </c>
    </row>
    <row r="227" spans="2:23" x14ac:dyDescent="0.25">
      <c r="B227" s="39">
        <f t="shared" si="44"/>
        <v>1.5935161760339296E-33</v>
      </c>
      <c r="C227" s="39">
        <f t="shared" si="44"/>
        <v>2.8824694896861977E-31</v>
      </c>
      <c r="D227" s="39">
        <f t="shared" si="44"/>
        <v>2.5529302979019252E-29</v>
      </c>
      <c r="E227" s="39">
        <f t="shared" si="44"/>
        <v>1.4755215337173687E-27</v>
      </c>
      <c r="F227" s="39">
        <f t="shared" si="44"/>
        <v>6.2583209760237377E-26</v>
      </c>
      <c r="G227" s="39">
        <f t="shared" si="44"/>
        <v>2.0769121505493671E-24</v>
      </c>
      <c r="H227" s="39">
        <f t="shared" si="44"/>
        <v>5.615147572329657E-23</v>
      </c>
      <c r="I227" s="39">
        <f t="shared" si="44"/>
        <v>1.2715086803783405E-21</v>
      </c>
      <c r="J227" s="39">
        <f t="shared" si="44"/>
        <v>2.4605759331152661E-20</v>
      </c>
      <c r="K227" s="39">
        <f t="shared" si="44"/>
        <v>4.1317419223037739E-19</v>
      </c>
      <c r="L227" s="39">
        <f t="shared" si="45"/>
        <v>6.0922011536680229E-18</v>
      </c>
      <c r="M227" s="39">
        <f t="shared" si="45"/>
        <v>7.9631541796298804E-17</v>
      </c>
      <c r="N227" s="39">
        <f t="shared" si="45"/>
        <v>9.2986419368786549E-16</v>
      </c>
      <c r="O227" s="39">
        <f t="shared" si="45"/>
        <v>9.76206951655543E-15</v>
      </c>
      <c r="P227" s="39">
        <f t="shared" si="45"/>
        <v>9.2630798519207952E-14</v>
      </c>
      <c r="Q227" s="39">
        <f t="shared" si="45"/>
        <v>7.9798410428308118E-13</v>
      </c>
      <c r="R227" s="39">
        <f t="shared" si="45"/>
        <v>6.2645773541158395E-12</v>
      </c>
      <c r="S227" s="39">
        <f t="shared" si="45"/>
        <v>4.4960589302098325E-11</v>
      </c>
      <c r="T227" s="39">
        <f t="shared" si="45"/>
        <v>2.9579366675062712E-10</v>
      </c>
      <c r="U227" s="39">
        <f t="shared" si="45"/>
        <v>1.7879568147361028E-9</v>
      </c>
      <c r="V227" s="39">
        <f t="shared" si="45"/>
        <v>9.9489186783398282E-9</v>
      </c>
      <c r="W227" s="37">
        <v>0.77600000000000002</v>
      </c>
    </row>
    <row r="228" spans="2:23" x14ac:dyDescent="0.25">
      <c r="B228" s="39">
        <f t="shared" si="44"/>
        <v>1.94025435740136E-33</v>
      </c>
      <c r="C228" s="39">
        <f t="shared" si="44"/>
        <v>3.4918048731059791E-31</v>
      </c>
      <c r="D228" s="39">
        <f t="shared" si="44"/>
        <v>3.076870376116139E-29</v>
      </c>
      <c r="E228" s="39">
        <f t="shared" si="44"/>
        <v>1.7693052979082816E-27</v>
      </c>
      <c r="F228" s="39">
        <f t="shared" si="44"/>
        <v>7.4662767676968744E-26</v>
      </c>
      <c r="G228" s="39">
        <f t="shared" si="44"/>
        <v>2.4652190040182247E-24</v>
      </c>
      <c r="H228" s="39">
        <f t="shared" si="44"/>
        <v>6.6311958388823989E-23</v>
      </c>
      <c r="I228" s="39">
        <f t="shared" si="44"/>
        <v>1.4939826571137526E-21</v>
      </c>
      <c r="J228" s="39">
        <f t="shared" si="44"/>
        <v>2.8764768175187918E-20</v>
      </c>
      <c r="K228" s="39">
        <f t="shared" si="44"/>
        <v>4.8057104650620813E-19</v>
      </c>
      <c r="L228" s="39">
        <f t="shared" si="45"/>
        <v>7.0502009542856176E-18</v>
      </c>
      <c r="M228" s="39">
        <f t="shared" si="45"/>
        <v>9.1689138659078689E-17</v>
      </c>
      <c r="N228" s="39">
        <f t="shared" si="45"/>
        <v>1.0652722171664712E-15</v>
      </c>
      <c r="O228" s="39">
        <f t="shared" si="45"/>
        <v>1.1127413814267543E-14</v>
      </c>
      <c r="P228" s="39">
        <f t="shared" si="45"/>
        <v>1.0505631439878467E-13</v>
      </c>
      <c r="Q228" s="39">
        <f t="shared" si="45"/>
        <v>9.0048971085429132E-13</v>
      </c>
      <c r="R228" s="39">
        <f t="shared" si="45"/>
        <v>7.0339235902929923E-12</v>
      </c>
      <c r="S228" s="39">
        <f t="shared" si="45"/>
        <v>5.022999035830161E-11</v>
      </c>
      <c r="T228" s="39">
        <f t="shared" si="45"/>
        <v>3.2881331951430051E-10</v>
      </c>
      <c r="U228" s="39">
        <f t="shared" si="45"/>
        <v>1.9776597236583572E-9</v>
      </c>
      <c r="V228" s="39">
        <f t="shared" si="45"/>
        <v>1.0949882808686652E-8</v>
      </c>
      <c r="W228" s="37">
        <v>0.77500000000000002</v>
      </c>
    </row>
    <row r="229" spans="2:23" x14ac:dyDescent="0.25">
      <c r="B229" s="39">
        <f t="shared" si="44"/>
        <v>2.4548152552212102E-33</v>
      </c>
      <c r="C229" s="39">
        <f t="shared" si="44"/>
        <v>4.3909480144109707E-31</v>
      </c>
      <c r="D229" s="39">
        <f t="shared" si="44"/>
        <v>3.8456346825767536E-29</v>
      </c>
      <c r="E229" s="39">
        <f t="shared" si="44"/>
        <v>2.1979331210483811E-27</v>
      </c>
      <c r="F229" s="39">
        <f t="shared" si="44"/>
        <v>9.2187298792443715E-26</v>
      </c>
      <c r="G229" s="39">
        <f t="shared" si="44"/>
        <v>3.0253828041470443E-24</v>
      </c>
      <c r="H229" s="39">
        <f t="shared" si="44"/>
        <v>8.088669637757889E-23</v>
      </c>
      <c r="I229" s="39">
        <f t="shared" si="44"/>
        <v>1.8113146653871482E-21</v>
      </c>
      <c r="J229" s="39">
        <f t="shared" si="44"/>
        <v>3.4663716080994472E-20</v>
      </c>
      <c r="K229" s="39">
        <f t="shared" si="44"/>
        <v>5.7562631752097766E-19</v>
      </c>
      <c r="L229" s="39">
        <f t="shared" si="45"/>
        <v>8.3937566077857413E-18</v>
      </c>
      <c r="M229" s="39">
        <f t="shared" si="45"/>
        <v>1.0850451012322992E-16</v>
      </c>
      <c r="N229" s="39">
        <f t="shared" si="45"/>
        <v>1.2530513660260866E-15</v>
      </c>
      <c r="O229" s="39">
        <f t="shared" si="45"/>
        <v>1.3010213873782153E-14</v>
      </c>
      <c r="P229" s="39">
        <f t="shared" si="45"/>
        <v>1.2209504738807185E-13</v>
      </c>
      <c r="Q229" s="39">
        <f t="shared" si="45"/>
        <v>1.0402658763559764E-12</v>
      </c>
      <c r="R229" s="39">
        <f t="shared" si="45"/>
        <v>8.0771336214157521E-12</v>
      </c>
      <c r="S229" s="39">
        <f t="shared" si="45"/>
        <v>5.7335207836834952E-11</v>
      </c>
      <c r="T229" s="39">
        <f t="shared" si="45"/>
        <v>3.7308811892345478E-10</v>
      </c>
      <c r="U229" s="39">
        <f t="shared" si="45"/>
        <v>2.2306057408470901E-9</v>
      </c>
      <c r="V229" s="39">
        <f t="shared" si="45"/>
        <v>1.2277105802674778E-8</v>
      </c>
      <c r="W229" s="37">
        <v>0.77400000000000002</v>
      </c>
    </row>
    <row r="230" spans="2:23" x14ac:dyDescent="0.25">
      <c r="B230" s="39">
        <f t="shared" si="44"/>
        <v>3.1024194967902341E-33</v>
      </c>
      <c r="C230" s="39">
        <f t="shared" si="44"/>
        <v>5.5156586625079309E-31</v>
      </c>
      <c r="D230" s="39">
        <f t="shared" si="44"/>
        <v>4.8013878871910488E-29</v>
      </c>
      <c r="E230" s="39">
        <f t="shared" si="44"/>
        <v>2.7275660793688773E-27</v>
      </c>
      <c r="F230" s="39">
        <f t="shared" si="44"/>
        <v>1.1370939914365918E-25</v>
      </c>
      <c r="G230" s="39">
        <f t="shared" si="44"/>
        <v>3.7091344612609309E-24</v>
      </c>
      <c r="H230" s="39">
        <f t="shared" si="44"/>
        <v>9.8568669202891722E-23</v>
      </c>
      <c r="I230" s="39">
        <f t="shared" si="44"/>
        <v>2.1939560628931149E-21</v>
      </c>
      <c r="J230" s="39">
        <f t="shared" si="44"/>
        <v>4.1733436574610678E-20</v>
      </c>
      <c r="K230" s="39">
        <f t="shared" si="44"/>
        <v>6.8885461893488246E-19</v>
      </c>
      <c r="L230" s="39">
        <f t="shared" si="45"/>
        <v>9.9844520852645623E-18</v>
      </c>
      <c r="M230" s="39">
        <f t="shared" si="45"/>
        <v>1.2829205620218959E-16</v>
      </c>
      <c r="N230" s="39">
        <f t="shared" si="45"/>
        <v>1.4726797243853081E-15</v>
      </c>
      <c r="O230" s="39">
        <f t="shared" si="45"/>
        <v>1.5198994889481346E-14</v>
      </c>
      <c r="P230" s="39">
        <f t="shared" si="45"/>
        <v>1.4178270057033606E-13</v>
      </c>
      <c r="Q230" s="39">
        <f t="shared" si="45"/>
        <v>1.2007935079712913E-12</v>
      </c>
      <c r="R230" s="39">
        <f t="shared" si="45"/>
        <v>9.267964070231542E-12</v>
      </c>
      <c r="S230" s="39">
        <f t="shared" si="45"/>
        <v>6.5396757370973739E-11</v>
      </c>
      <c r="T230" s="39">
        <f t="shared" si="45"/>
        <v>4.2301819189924433E-10</v>
      </c>
      <c r="U230" s="39">
        <f t="shared" si="45"/>
        <v>2.5141359647376306E-9</v>
      </c>
      <c r="V230" s="39">
        <f t="shared" si="45"/>
        <v>1.3755815075357083E-8</v>
      </c>
      <c r="W230" s="37">
        <v>0.77300000000000002</v>
      </c>
    </row>
    <row r="231" spans="2:23" x14ac:dyDescent="0.25">
      <c r="B231" s="39">
        <f t="shared" si="44"/>
        <v>3.916591264422608E-33</v>
      </c>
      <c r="C231" s="39">
        <f t="shared" si="44"/>
        <v>6.9210436912444125E-31</v>
      </c>
      <c r="D231" s="39">
        <f t="shared" si="44"/>
        <v>5.9883857549925415E-29</v>
      </c>
      <c r="E231" s="39">
        <f t="shared" si="44"/>
        <v>3.3813441275185651E-27</v>
      </c>
      <c r="F231" s="39">
        <f t="shared" si="44"/>
        <v>1.4011479190789817E-25</v>
      </c>
      <c r="G231" s="39">
        <f t="shared" si="44"/>
        <v>4.5429318104361426E-24</v>
      </c>
      <c r="H231" s="39">
        <f t="shared" si="44"/>
        <v>1.1999996660787645E-22</v>
      </c>
      <c r="I231" s="39">
        <f t="shared" si="44"/>
        <v>2.654919850550008E-21</v>
      </c>
      <c r="J231" s="39">
        <f t="shared" si="44"/>
        <v>5.0198606746883002E-20</v>
      </c>
      <c r="K231" s="39">
        <f t="shared" si="44"/>
        <v>8.2361074413375465E-19</v>
      </c>
      <c r="L231" s="39">
        <f t="shared" si="45"/>
        <v>1.1866116272753852E-17</v>
      </c>
      <c r="M231" s="39">
        <f t="shared" si="45"/>
        <v>1.5155743015575295E-16</v>
      </c>
      <c r="N231" s="39">
        <f t="shared" si="45"/>
        <v>1.7293473015664246E-15</v>
      </c>
      <c r="O231" s="39">
        <f t="shared" si="45"/>
        <v>1.7741435844907591E-14</v>
      </c>
      <c r="P231" s="39">
        <f t="shared" si="45"/>
        <v>1.6451325070002086E-13</v>
      </c>
      <c r="Q231" s="39">
        <f t="shared" si="45"/>
        <v>1.3850126236045841E-12</v>
      </c>
      <c r="R231" s="39">
        <f t="shared" si="45"/>
        <v>1.0626293736068179E-11</v>
      </c>
      <c r="S231" s="39">
        <f t="shared" si="45"/>
        <v>7.453674486173425E-11</v>
      </c>
      <c r="T231" s="39">
        <f t="shared" si="45"/>
        <v>4.7928633089427498E-10</v>
      </c>
      <c r="U231" s="39">
        <f t="shared" si="45"/>
        <v>2.8317315392368567E-9</v>
      </c>
      <c r="V231" s="39">
        <f t="shared" si="45"/>
        <v>1.5402210156423128E-8</v>
      </c>
      <c r="W231" s="37">
        <v>0.77200000000000002</v>
      </c>
    </row>
    <row r="232" spans="2:23" x14ac:dyDescent="0.25">
      <c r="B232" s="39">
        <f t="shared" si="44"/>
        <v>4.752138997267174E-33</v>
      </c>
      <c r="C232" s="39">
        <f t="shared" si="44"/>
        <v>8.3553521153288116E-31</v>
      </c>
      <c r="D232" s="39">
        <f t="shared" si="44"/>
        <v>7.193116821959407E-29</v>
      </c>
      <c r="E232" s="39">
        <f t="shared" si="44"/>
        <v>4.0412232571033043E-27</v>
      </c>
      <c r="F232" s="39">
        <f t="shared" si="44"/>
        <v>1.6661940807587E-25</v>
      </c>
      <c r="G232" s="39">
        <f t="shared" si="44"/>
        <v>5.3752419127636362E-24</v>
      </c>
      <c r="H232" s="39">
        <f t="shared" si="44"/>
        <v>1.4127497916771668E-22</v>
      </c>
      <c r="I232" s="39">
        <f t="shared" si="44"/>
        <v>3.1099978221310189E-21</v>
      </c>
      <c r="J232" s="39">
        <f t="shared" si="44"/>
        <v>5.8509606579155493E-20</v>
      </c>
      <c r="K232" s="39">
        <f t="shared" si="44"/>
        <v>9.5518338876477881E-19</v>
      </c>
      <c r="L232" s="39">
        <f t="shared" si="45"/>
        <v>1.3693205043743152E-17</v>
      </c>
      <c r="M232" s="39">
        <f t="shared" si="45"/>
        <v>1.7402359470572353E-16</v>
      </c>
      <c r="N232" s="39">
        <f t="shared" si="45"/>
        <v>1.9758332721297065E-15</v>
      </c>
      <c r="O232" s="39">
        <f t="shared" si="45"/>
        <v>2.0169584614119023E-14</v>
      </c>
      <c r="P232" s="39">
        <f t="shared" si="45"/>
        <v>1.8610254808013709E-13</v>
      </c>
      <c r="Q232" s="39">
        <f t="shared" si="45"/>
        <v>1.5590202660339754E-12</v>
      </c>
      <c r="R232" s="39">
        <f t="shared" si="45"/>
        <v>1.1902276489236515E-11</v>
      </c>
      <c r="S232" s="39">
        <f t="shared" si="45"/>
        <v>8.307545217896524E-11</v>
      </c>
      <c r="T232" s="39">
        <f t="shared" si="45"/>
        <v>5.3156408268656636E-10</v>
      </c>
      <c r="U232" s="39">
        <f t="shared" si="45"/>
        <v>3.125183849786844E-9</v>
      </c>
      <c r="V232" s="39">
        <f t="shared" si="45"/>
        <v>1.6915098251026245E-8</v>
      </c>
      <c r="W232" s="37">
        <v>0.77100000000000002</v>
      </c>
    </row>
    <row r="233" spans="2:23" x14ac:dyDescent="0.25">
      <c r="B233" s="39">
        <f t="shared" ref="B233:K242" si="46">_xlfn.HYPGEOM.DIST(B$2,comau,tongtheN*$W233,tongtheN,TRUE)</f>
        <v>5.9874139757978747E-33</v>
      </c>
      <c r="C233" s="39">
        <f t="shared" si="46"/>
        <v>1.0464002262150753E-30</v>
      </c>
      <c r="D233" s="39">
        <f t="shared" si="46"/>
        <v>8.9543767498269454E-29</v>
      </c>
      <c r="E233" s="39">
        <f t="shared" si="46"/>
        <v>5.0005595137856187E-27</v>
      </c>
      <c r="F233" s="39">
        <f t="shared" si="46"/>
        <v>2.0493741053621723E-25</v>
      </c>
      <c r="G233" s="39">
        <f t="shared" si="46"/>
        <v>6.5718257605657925E-24</v>
      </c>
      <c r="H233" s="39">
        <f t="shared" si="46"/>
        <v>1.716912644638499E-22</v>
      </c>
      <c r="I233" s="39">
        <f t="shared" si="46"/>
        <v>3.7569948501057489E-21</v>
      </c>
      <c r="J233" s="39">
        <f t="shared" si="46"/>
        <v>7.0259978503055434E-20</v>
      </c>
      <c r="K233" s="39">
        <f t="shared" si="46"/>
        <v>1.1401730903463688E-18</v>
      </c>
      <c r="L233" s="39">
        <f t="shared" ref="L233:V242" si="47">_xlfn.HYPGEOM.DIST(L$2,comau,tongtheN*$W233,tongtheN,TRUE)</f>
        <v>1.6247828772034976E-17</v>
      </c>
      <c r="M233" s="39">
        <f t="shared" si="47"/>
        <v>2.0526160106423678E-16</v>
      </c>
      <c r="N233" s="39">
        <f t="shared" si="47"/>
        <v>2.3166613699284706E-15</v>
      </c>
      <c r="O233" s="39">
        <f t="shared" si="47"/>
        <v>2.3508527713888287E-14</v>
      </c>
      <c r="P233" s="39">
        <f t="shared" si="47"/>
        <v>2.1562582102312587E-13</v>
      </c>
      <c r="Q233" s="39">
        <f t="shared" si="47"/>
        <v>1.7956603473129614E-12</v>
      </c>
      <c r="R233" s="39">
        <f t="shared" si="47"/>
        <v>1.3627957408182462E-11</v>
      </c>
      <c r="S233" s="39">
        <f t="shared" si="47"/>
        <v>9.4559771179512085E-11</v>
      </c>
      <c r="T233" s="39">
        <f t="shared" si="47"/>
        <v>6.0148854958156956E-10</v>
      </c>
      <c r="U233" s="39">
        <f t="shared" si="47"/>
        <v>3.5155306718000853E-9</v>
      </c>
      <c r="V233" s="39">
        <f t="shared" si="47"/>
        <v>1.8916445651761295E-8</v>
      </c>
      <c r="W233" s="37">
        <v>0.77</v>
      </c>
    </row>
    <row r="234" spans="2:23" x14ac:dyDescent="0.25">
      <c r="B234" s="39">
        <f t="shared" si="46"/>
        <v>7.5357722882344216E-33</v>
      </c>
      <c r="C234" s="39">
        <f t="shared" si="46"/>
        <v>1.3091157715654873E-30</v>
      </c>
      <c r="D234" s="39">
        <f t="shared" si="46"/>
        <v>1.1135496774316835E-28</v>
      </c>
      <c r="E234" s="39">
        <f t="shared" si="46"/>
        <v>6.1814327792197684E-27</v>
      </c>
      <c r="F234" s="39">
        <f t="shared" si="46"/>
        <v>2.518201589593086E-25</v>
      </c>
      <c r="G234" s="39">
        <f t="shared" si="46"/>
        <v>8.0270588315575917E-24</v>
      </c>
      <c r="H234" s="39">
        <f t="shared" si="46"/>
        <v>2.0845979332452933E-22</v>
      </c>
      <c r="I234" s="39">
        <f t="shared" si="46"/>
        <v>4.5344126300860016E-21</v>
      </c>
      <c r="J234" s="39">
        <f t="shared" si="46"/>
        <v>8.4294168057875628E-20</v>
      </c>
      <c r="K234" s="39">
        <f t="shared" si="46"/>
        <v>1.3597912535666949E-18</v>
      </c>
      <c r="L234" s="39">
        <f t="shared" si="47"/>
        <v>1.9262459053677141E-17</v>
      </c>
      <c r="M234" s="39">
        <f t="shared" si="47"/>
        <v>2.4190352496688313E-16</v>
      </c>
      <c r="N234" s="39">
        <f t="shared" si="47"/>
        <v>2.714053830459465E-15</v>
      </c>
      <c r="O234" s="39">
        <f t="shared" si="47"/>
        <v>2.7378286994138184E-14</v>
      </c>
      <c r="P234" s="39">
        <f t="shared" si="47"/>
        <v>2.496377730479864E-13</v>
      </c>
      <c r="Q234" s="39">
        <f t="shared" si="47"/>
        <v>2.0666476285037647E-12</v>
      </c>
      <c r="R234" s="39">
        <f t="shared" si="47"/>
        <v>1.5592294710754451E-11</v>
      </c>
      <c r="S234" s="39">
        <f t="shared" si="47"/>
        <v>1.0755420004596532E-10</v>
      </c>
      <c r="T234" s="39">
        <f t="shared" si="47"/>
        <v>6.8013496063629284E-10</v>
      </c>
      <c r="U234" s="39">
        <f t="shared" si="47"/>
        <v>3.9519456031324358E-9</v>
      </c>
      <c r="V234" s="39">
        <f t="shared" si="47"/>
        <v>2.1140636514246041E-8</v>
      </c>
      <c r="W234" s="37">
        <v>0.76900000000000002</v>
      </c>
    </row>
    <row r="235" spans="2:23" x14ac:dyDescent="0.25">
      <c r="B235" s="39">
        <f t="shared" si="46"/>
        <v>9.4745546233319725E-33</v>
      </c>
      <c r="C235" s="39">
        <f t="shared" si="46"/>
        <v>1.6360990217632983E-30</v>
      </c>
      <c r="D235" s="39">
        <f t="shared" si="46"/>
        <v>1.3833875409448121E-28</v>
      </c>
      <c r="E235" s="39">
        <f t="shared" si="46"/>
        <v>7.6335833216136854E-27</v>
      </c>
      <c r="F235" s="39">
        <f t="shared" si="46"/>
        <v>3.0912718547727432E-25</v>
      </c>
      <c r="G235" s="39">
        <f t="shared" si="46"/>
        <v>9.7951931718170605E-24</v>
      </c>
      <c r="H235" s="39">
        <f t="shared" si="46"/>
        <v>2.5286647056135409E-22</v>
      </c>
      <c r="I235" s="39">
        <f t="shared" si="46"/>
        <v>5.4677039804034216E-21</v>
      </c>
      <c r="J235" s="39">
        <f t="shared" si="46"/>
        <v>1.0104137094680389E-19</v>
      </c>
      <c r="K235" s="39">
        <f t="shared" si="46"/>
        <v>1.6202966907118564E-18</v>
      </c>
      <c r="L235" s="39">
        <f t="shared" si="47"/>
        <v>2.2816951593908482E-17</v>
      </c>
      <c r="M235" s="39">
        <f t="shared" si="47"/>
        <v>2.8484908275078988E-16</v>
      </c>
      <c r="N235" s="39">
        <f t="shared" si="47"/>
        <v>3.1770287303948609E-15</v>
      </c>
      <c r="O235" s="39">
        <f t="shared" si="47"/>
        <v>3.1859762524436896E-14</v>
      </c>
      <c r="P235" s="39">
        <f t="shared" si="47"/>
        <v>2.8879115689710397E-13</v>
      </c>
      <c r="Q235" s="39">
        <f t="shared" si="47"/>
        <v>2.3767383163240492E-12</v>
      </c>
      <c r="R235" s="39">
        <f t="shared" si="47"/>
        <v>1.7826686658354718E-11</v>
      </c>
      <c r="S235" s="39">
        <f t="shared" si="47"/>
        <v>1.2224702717690652E-10</v>
      </c>
      <c r="T235" s="39">
        <f t="shared" si="47"/>
        <v>7.6853111278299015E-10</v>
      </c>
      <c r="U235" s="39">
        <f t="shared" si="47"/>
        <v>4.4395433939915259E-9</v>
      </c>
      <c r="V235" s="39">
        <f t="shared" si="47"/>
        <v>2.3610899847426748E-8</v>
      </c>
      <c r="W235" s="37">
        <v>0.76800000000000002</v>
      </c>
    </row>
    <row r="236" spans="2:23" x14ac:dyDescent="0.25">
      <c r="B236" s="39">
        <f t="shared" si="46"/>
        <v>1.1899715260588413E-32</v>
      </c>
      <c r="C236" s="39">
        <f t="shared" si="46"/>
        <v>2.0426619334768482E-30</v>
      </c>
      <c r="D236" s="39">
        <f t="shared" si="46"/>
        <v>1.7168887098925937E-28</v>
      </c>
      <c r="E236" s="39">
        <f t="shared" si="46"/>
        <v>9.4176034629208065E-27</v>
      </c>
      <c r="F236" s="39">
        <f t="shared" si="46"/>
        <v>3.7910994232469951E-25</v>
      </c>
      <c r="G236" s="39">
        <f t="shared" si="46"/>
        <v>1.1941515322929463E-23</v>
      </c>
      <c r="H236" s="39">
        <f t="shared" si="46"/>
        <v>3.0644932160390866E-22</v>
      </c>
      <c r="I236" s="39">
        <f t="shared" si="46"/>
        <v>6.5871266143091793E-21</v>
      </c>
      <c r="J236" s="39">
        <f t="shared" si="46"/>
        <v>1.2100869366369912E-19</v>
      </c>
      <c r="K236" s="39">
        <f t="shared" si="46"/>
        <v>1.9290392266661885E-18</v>
      </c>
      <c r="L236" s="39">
        <f t="shared" si="47"/>
        <v>2.7004509312865161E-17</v>
      </c>
      <c r="M236" s="39">
        <f t="shared" si="47"/>
        <v>3.3514194736270793E-16</v>
      </c>
      <c r="N236" s="39">
        <f t="shared" si="47"/>
        <v>3.7159829765937258E-15</v>
      </c>
      <c r="O236" s="39">
        <f t="shared" si="47"/>
        <v>3.7045651375176098E-14</v>
      </c>
      <c r="P236" s="39">
        <f t="shared" si="47"/>
        <v>3.3382931232998602E-13</v>
      </c>
      <c r="Q236" s="39">
        <f t="shared" si="47"/>
        <v>2.7313152897177042E-12</v>
      </c>
      <c r="R236" s="39">
        <f t="shared" si="47"/>
        <v>2.0366448904400328E-11</v>
      </c>
      <c r="S236" s="39">
        <f t="shared" si="47"/>
        <v>1.3884871959709713E-10</v>
      </c>
      <c r="T236" s="39">
        <f t="shared" si="47"/>
        <v>8.6781871660667496E-10</v>
      </c>
      <c r="U236" s="39">
        <f t="shared" si="47"/>
        <v>4.9839701439829614E-9</v>
      </c>
      <c r="V236" s="39">
        <f t="shared" si="47"/>
        <v>2.6352716543845349E-8</v>
      </c>
      <c r="W236" s="37">
        <v>0.76700000000000002</v>
      </c>
    </row>
    <row r="237" spans="2:23" x14ac:dyDescent="0.25">
      <c r="B237" s="39">
        <f t="shared" si="46"/>
        <v>1.4377214819046521E-32</v>
      </c>
      <c r="C237" s="39">
        <f t="shared" si="46"/>
        <v>2.4557388850532479E-30</v>
      </c>
      <c r="D237" s="39">
        <f t="shared" si="46"/>
        <v>2.0538900183981031E-28</v>
      </c>
      <c r="E237" s="39">
        <f t="shared" si="46"/>
        <v>1.1210544017745683E-26</v>
      </c>
      <c r="F237" s="39">
        <f t="shared" si="46"/>
        <v>4.4906030701051556E-25</v>
      </c>
      <c r="G237" s="39">
        <f t="shared" si="46"/>
        <v>1.4075186688883344E-23</v>
      </c>
      <c r="H237" s="39">
        <f t="shared" si="46"/>
        <v>3.5942701050531462E-22</v>
      </c>
      <c r="I237" s="39">
        <f t="shared" si="46"/>
        <v>7.6878969747464773E-21</v>
      </c>
      <c r="J237" s="39">
        <f t="shared" si="46"/>
        <v>1.4053674078711566E-19</v>
      </c>
      <c r="K237" s="39">
        <f t="shared" si="46"/>
        <v>2.2293512070295899E-18</v>
      </c>
      <c r="L237" s="39">
        <f t="shared" si="47"/>
        <v>3.1055629134366372E-17</v>
      </c>
      <c r="M237" s="39">
        <f t="shared" si="47"/>
        <v>3.8353239324240257E-16</v>
      </c>
      <c r="N237" s="39">
        <f t="shared" si="47"/>
        <v>4.2317398109984775E-15</v>
      </c>
      <c r="O237" s="39">
        <f t="shared" si="47"/>
        <v>4.1981445245710551E-14</v>
      </c>
      <c r="P237" s="39">
        <f t="shared" si="47"/>
        <v>3.764633037471436E-13</v>
      </c>
      <c r="Q237" s="39">
        <f t="shared" si="47"/>
        <v>3.0651476129065887E-12</v>
      </c>
      <c r="R237" s="39">
        <f t="shared" si="47"/>
        <v>2.2744681054472846E-11</v>
      </c>
      <c r="S237" s="39">
        <f t="shared" si="47"/>
        <v>1.5431043729983697E-10</v>
      </c>
      <c r="T237" s="39">
        <f t="shared" si="47"/>
        <v>9.5978856380429757E-10</v>
      </c>
      <c r="U237" s="39">
        <f t="shared" si="47"/>
        <v>5.4855450653490634E-9</v>
      </c>
      <c r="V237" s="39">
        <f t="shared" si="47"/>
        <v>2.8865074747097123E-8</v>
      </c>
      <c r="W237" s="37">
        <v>0.76600000000000001</v>
      </c>
    </row>
    <row r="238" spans="2:23" x14ac:dyDescent="0.25">
      <c r="B238" s="39">
        <f t="shared" si="46"/>
        <v>1.8023211339414166E-32</v>
      </c>
      <c r="C238" s="39">
        <f t="shared" si="46"/>
        <v>3.0603026445505933E-30</v>
      </c>
      <c r="D238" s="39">
        <f t="shared" si="46"/>
        <v>2.5444057018019237E-28</v>
      </c>
      <c r="E238" s="39">
        <f t="shared" si="46"/>
        <v>1.3805912607238829E-26</v>
      </c>
      <c r="F238" s="39">
        <f t="shared" si="46"/>
        <v>5.49761973030884E-25</v>
      </c>
      <c r="G238" s="39">
        <f t="shared" si="46"/>
        <v>1.7130033198014468E-23</v>
      </c>
      <c r="H238" s="39">
        <f t="shared" si="46"/>
        <v>4.3486180936979387E-22</v>
      </c>
      <c r="I238" s="39">
        <f t="shared" si="46"/>
        <v>9.2467098561153812E-21</v>
      </c>
      <c r="J238" s="39">
        <f t="shared" si="46"/>
        <v>1.6803950016231195E-19</v>
      </c>
      <c r="K238" s="39">
        <f t="shared" si="46"/>
        <v>2.649992565085182E-18</v>
      </c>
      <c r="L238" s="39">
        <f t="shared" si="47"/>
        <v>3.6698991265623933E-17</v>
      </c>
      <c r="M238" s="39">
        <f t="shared" si="47"/>
        <v>4.5057449633241597E-16</v>
      </c>
      <c r="N238" s="39">
        <f t="shared" si="47"/>
        <v>4.9423964641928082E-15</v>
      </c>
      <c r="O238" s="39">
        <f t="shared" si="47"/>
        <v>4.8745394323532295E-14</v>
      </c>
      <c r="P238" s="39">
        <f t="shared" si="47"/>
        <v>4.3457043536205435E-13</v>
      </c>
      <c r="Q238" s="39">
        <f t="shared" si="47"/>
        <v>3.5176632632971618E-12</v>
      </c>
      <c r="R238" s="39">
        <f t="shared" si="47"/>
        <v>2.5950897839760811E-11</v>
      </c>
      <c r="S238" s="39">
        <f t="shared" si="47"/>
        <v>1.7504197120497272E-10</v>
      </c>
      <c r="T238" s="39">
        <f t="shared" si="47"/>
        <v>1.0824352612553748E-9</v>
      </c>
      <c r="U238" s="39">
        <f t="shared" si="47"/>
        <v>6.1507945382295299E-9</v>
      </c>
      <c r="V238" s="39">
        <f t="shared" si="47"/>
        <v>3.2179210160999689E-8</v>
      </c>
      <c r="W238" s="37">
        <v>0.76500000000000001</v>
      </c>
    </row>
    <row r="239" spans="2:23" x14ac:dyDescent="0.25">
      <c r="B239" s="39">
        <f t="shared" si="46"/>
        <v>2.2570845620023818E-32</v>
      </c>
      <c r="C239" s="39">
        <f t="shared" si="46"/>
        <v>3.8098968084615986E-30</v>
      </c>
      <c r="D239" s="39">
        <f t="shared" si="46"/>
        <v>3.1489848612034779E-28</v>
      </c>
      <c r="E239" s="39">
        <f t="shared" si="46"/>
        <v>1.6985837683217458E-26</v>
      </c>
      <c r="F239" s="39">
        <f t="shared" si="46"/>
        <v>6.7241363729531787E-25</v>
      </c>
      <c r="G239" s="39">
        <f t="shared" si="46"/>
        <v>2.0828711048041513E-23</v>
      </c>
      <c r="H239" s="39">
        <f t="shared" si="46"/>
        <v>5.2565442865886177E-22</v>
      </c>
      <c r="I239" s="39">
        <f t="shared" si="46"/>
        <v>1.1111782971334964E-20</v>
      </c>
      <c r="J239" s="39">
        <f t="shared" si="46"/>
        <v>2.007511599771165E-19</v>
      </c>
      <c r="K239" s="39">
        <f t="shared" si="46"/>
        <v>3.1473448133017673E-18</v>
      </c>
      <c r="L239" s="39">
        <f t="shared" si="47"/>
        <v>4.3332101287265226E-17</v>
      </c>
      <c r="M239" s="39">
        <f t="shared" si="47"/>
        <v>5.289094226739289E-16</v>
      </c>
      <c r="N239" s="39">
        <f t="shared" si="47"/>
        <v>5.7678592983150483E-15</v>
      </c>
      <c r="O239" s="39">
        <f t="shared" si="47"/>
        <v>5.6555722321190285E-14</v>
      </c>
      <c r="P239" s="39">
        <f t="shared" si="47"/>
        <v>5.0127122586865621E-13</v>
      </c>
      <c r="Q239" s="39">
        <f t="shared" si="47"/>
        <v>4.0340428911534452E-12</v>
      </c>
      <c r="R239" s="39">
        <f t="shared" si="47"/>
        <v>2.9588068529549707E-11</v>
      </c>
      <c r="S239" s="39">
        <f t="shared" si="47"/>
        <v>1.9842166864347484E-10</v>
      </c>
      <c r="T239" s="39">
        <f t="shared" si="47"/>
        <v>1.2199348202733275E-9</v>
      </c>
      <c r="U239" s="39">
        <f t="shared" si="47"/>
        <v>6.8922231240604545E-9</v>
      </c>
      <c r="V239" s="39">
        <f t="shared" si="47"/>
        <v>3.5851151359894049E-8</v>
      </c>
      <c r="W239" s="37">
        <v>0.76400000000000001</v>
      </c>
    </row>
    <row r="240" spans="2:23" x14ac:dyDescent="0.25">
      <c r="B240" s="39">
        <f t="shared" si="46"/>
        <v>2.8237463716936449E-32</v>
      </c>
      <c r="C240" s="39">
        <f t="shared" si="46"/>
        <v>4.7384092377446067E-30</v>
      </c>
      <c r="D240" s="39">
        <f t="shared" si="46"/>
        <v>3.8934411083465683E-28</v>
      </c>
      <c r="E240" s="39">
        <f t="shared" si="46"/>
        <v>2.0878338759542545E-26</v>
      </c>
      <c r="F240" s="39">
        <f t="shared" si="46"/>
        <v>8.2166300886966021E-25</v>
      </c>
      <c r="G240" s="39">
        <f t="shared" si="46"/>
        <v>2.5302898192911412E-23</v>
      </c>
      <c r="H240" s="39">
        <f t="shared" si="46"/>
        <v>6.3483569257107883E-22</v>
      </c>
      <c r="I240" s="39">
        <f t="shared" si="46"/>
        <v>1.3341371515298847E-20</v>
      </c>
      <c r="J240" s="39">
        <f t="shared" si="46"/>
        <v>2.3962559484136801E-19</v>
      </c>
      <c r="K240" s="39">
        <f t="shared" si="46"/>
        <v>3.7349147819940777E-18</v>
      </c>
      <c r="L240" s="39">
        <f t="shared" si="47"/>
        <v>5.1122291351871223E-17</v>
      </c>
      <c r="M240" s="39">
        <f t="shared" si="47"/>
        <v>6.2036769390403917E-16</v>
      </c>
      <c r="N240" s="39">
        <f t="shared" si="47"/>
        <v>6.7259422542350717E-15</v>
      </c>
      <c r="O240" s="39">
        <f t="shared" si="47"/>
        <v>6.5567578401600478E-14</v>
      </c>
      <c r="P240" s="39">
        <f t="shared" si="47"/>
        <v>5.7778095804053658E-13</v>
      </c>
      <c r="Q240" s="39">
        <f t="shared" si="47"/>
        <v>4.6228822967026092E-12</v>
      </c>
      <c r="R240" s="39">
        <f t="shared" si="47"/>
        <v>3.3711272783883721E-11</v>
      </c>
      <c r="S240" s="39">
        <f t="shared" si="47"/>
        <v>2.2477010145605845E-10</v>
      </c>
      <c r="T240" s="39">
        <f t="shared" si="47"/>
        <v>1.373985378038492E-9</v>
      </c>
      <c r="U240" s="39">
        <f t="shared" si="47"/>
        <v>7.7180303779181073E-9</v>
      </c>
      <c r="V240" s="39">
        <f t="shared" si="47"/>
        <v>3.9917024367957962E-8</v>
      </c>
      <c r="W240" s="37">
        <v>0.76300000000000001</v>
      </c>
    </row>
    <row r="241" spans="2:23" x14ac:dyDescent="0.25">
      <c r="B241" s="39">
        <f t="shared" si="46"/>
        <v>3.400626657681039E-32</v>
      </c>
      <c r="C241" s="39">
        <f t="shared" si="46"/>
        <v>5.6785838480336906E-30</v>
      </c>
      <c r="D241" s="39">
        <f t="shared" si="46"/>
        <v>4.6431969708394716E-28</v>
      </c>
      <c r="E241" s="39">
        <f t="shared" si="46"/>
        <v>2.4777490862133102E-26</v>
      </c>
      <c r="F241" s="39">
        <f t="shared" si="46"/>
        <v>9.7036457371279839E-25</v>
      </c>
      <c r="G241" s="39">
        <f t="shared" si="46"/>
        <v>2.9736734053628262E-23</v>
      </c>
      <c r="H241" s="39">
        <f t="shared" si="46"/>
        <v>7.4245169776818668E-22</v>
      </c>
      <c r="I241" s="39">
        <f t="shared" si="46"/>
        <v>1.5527207642892177E-20</v>
      </c>
      <c r="J241" s="39">
        <f t="shared" si="46"/>
        <v>2.7753281452567938E-19</v>
      </c>
      <c r="K241" s="39">
        <f t="shared" si="46"/>
        <v>4.3047945545802445E-18</v>
      </c>
      <c r="L241" s="39">
        <f t="shared" si="47"/>
        <v>5.8637453448952108E-17</v>
      </c>
      <c r="M241" s="39">
        <f t="shared" si="47"/>
        <v>7.0812449232268008E-16</v>
      </c>
      <c r="N241" s="39">
        <f t="shared" si="47"/>
        <v>7.6403275142446307E-15</v>
      </c>
      <c r="O241" s="39">
        <f t="shared" si="47"/>
        <v>7.412237136147534E-14</v>
      </c>
      <c r="P241" s="39">
        <f t="shared" si="47"/>
        <v>6.5002165441642032E-13</v>
      </c>
      <c r="Q241" s="39">
        <f t="shared" si="47"/>
        <v>5.1758922205458002E-12</v>
      </c>
      <c r="R241" s="39">
        <f t="shared" si="47"/>
        <v>3.7562884997927818E-11</v>
      </c>
      <c r="S241" s="39">
        <f t="shared" si="47"/>
        <v>2.4925142927547974E-10</v>
      </c>
      <c r="T241" s="39">
        <f t="shared" si="47"/>
        <v>1.5163548115338596E-9</v>
      </c>
      <c r="U241" s="39">
        <f t="shared" si="47"/>
        <v>8.4771431551870434E-9</v>
      </c>
      <c r="V241" s="39">
        <f t="shared" si="47"/>
        <v>4.3634570511023965E-8</v>
      </c>
      <c r="W241" s="37">
        <v>0.76200000000000001</v>
      </c>
    </row>
    <row r="242" spans="2:23" x14ac:dyDescent="0.25">
      <c r="B242" s="39">
        <f t="shared" si="46"/>
        <v>4.2466286487468816E-32</v>
      </c>
      <c r="C242" s="39">
        <f t="shared" si="46"/>
        <v>7.0498828603790389E-30</v>
      </c>
      <c r="D242" s="39">
        <f t="shared" si="46"/>
        <v>5.7308317690142064E-28</v>
      </c>
      <c r="E242" s="39">
        <f t="shared" si="46"/>
        <v>3.0403165353622645E-26</v>
      </c>
      <c r="F242" s="39">
        <f t="shared" si="46"/>
        <v>1.1837490284329533E-24</v>
      </c>
      <c r="G242" s="39">
        <f t="shared" si="46"/>
        <v>3.6064804139104342E-23</v>
      </c>
      <c r="H242" s="39">
        <f t="shared" si="46"/>
        <v>8.9521343104982379E-22</v>
      </c>
      <c r="I242" s="39">
        <f t="shared" si="46"/>
        <v>1.8613257666280911E-20</v>
      </c>
      <c r="J242" s="39">
        <f t="shared" si="46"/>
        <v>3.307628249717952E-19</v>
      </c>
      <c r="K242" s="39">
        <f t="shared" si="46"/>
        <v>5.1007132810399173E-18</v>
      </c>
      <c r="L242" s="39">
        <f t="shared" si="47"/>
        <v>6.9076871651340937E-17</v>
      </c>
      <c r="M242" s="39">
        <f t="shared" si="47"/>
        <v>8.2937198748659177E-16</v>
      </c>
      <c r="N242" s="39">
        <f t="shared" si="47"/>
        <v>8.8968691354586705E-15</v>
      </c>
      <c r="O242" s="39">
        <f t="shared" si="47"/>
        <v>8.5815060838477416E-14</v>
      </c>
      <c r="P242" s="39">
        <f t="shared" si="47"/>
        <v>7.4822938571287789E-13</v>
      </c>
      <c r="Q242" s="39">
        <f t="shared" si="47"/>
        <v>5.923643405103838E-12</v>
      </c>
      <c r="R242" s="39">
        <f t="shared" si="47"/>
        <v>4.2742873025477858E-11</v>
      </c>
      <c r="S242" s="39">
        <f t="shared" si="47"/>
        <v>2.8199942832813274E-10</v>
      </c>
      <c r="T242" s="39">
        <f t="shared" si="47"/>
        <v>1.705777386635478E-9</v>
      </c>
      <c r="U242" s="39">
        <f t="shared" si="47"/>
        <v>9.4817312763853605E-9</v>
      </c>
      <c r="V242" s="39">
        <f t="shared" si="47"/>
        <v>4.8527922290208269E-8</v>
      </c>
      <c r="W242" s="37">
        <v>0.76100000000000001</v>
      </c>
    </row>
    <row r="243" spans="2:23" x14ac:dyDescent="0.25">
      <c r="B243" s="39">
        <f t="shared" ref="B243:K252" si="48">_xlfn.HYPGEOM.DIST(B$2,comau,tongtheN*$W243,tongtheN,TRUE)</f>
        <v>5.2978877027510038E-32</v>
      </c>
      <c r="C243" s="39">
        <f t="shared" si="48"/>
        <v>8.7438957826639963E-30</v>
      </c>
      <c r="D243" s="39">
        <f t="shared" si="48"/>
        <v>7.0665509763870217E-28</v>
      </c>
      <c r="E243" s="39">
        <f t="shared" si="48"/>
        <v>3.7271564497497625E-26</v>
      </c>
      <c r="F243" s="39">
        <f t="shared" si="48"/>
        <v>1.4427455175673141E-24</v>
      </c>
      <c r="G243" s="39">
        <f t="shared" si="48"/>
        <v>4.3700592396900965E-23</v>
      </c>
      <c r="H243" s="39">
        <f t="shared" si="48"/>
        <v>1.0784659660746114E-21</v>
      </c>
      <c r="I243" s="39">
        <f t="shared" si="48"/>
        <v>2.2293636388629082E-20</v>
      </c>
      <c r="J243" s="39">
        <f t="shared" si="48"/>
        <v>3.9387331514111797E-19</v>
      </c>
      <c r="K243" s="39">
        <f t="shared" si="48"/>
        <v>6.0388594102224205E-18</v>
      </c>
      <c r="L243" s="39">
        <f t="shared" ref="L243:V252" si="49">_xlfn.HYPGEOM.DIST(L$2,comau,tongtheN*$W243,tongtheN,TRUE)</f>
        <v>8.1309960830281789E-17</v>
      </c>
      <c r="M243" s="39">
        <f t="shared" si="49"/>
        <v>9.7062314286654186E-16</v>
      </c>
      <c r="N243" s="39">
        <f t="shared" si="49"/>
        <v>1.0352183469782111E-14</v>
      </c>
      <c r="O243" s="39">
        <f t="shared" si="49"/>
        <v>9.9278510310211281E-14</v>
      </c>
      <c r="P243" s="39">
        <f t="shared" si="49"/>
        <v>8.6065128291246077E-13</v>
      </c>
      <c r="Q243" s="39">
        <f t="shared" si="49"/>
        <v>6.7746382810114149E-12</v>
      </c>
      <c r="R243" s="39">
        <f t="shared" si="49"/>
        <v>4.8603775486314805E-11</v>
      </c>
      <c r="S243" s="39">
        <f t="shared" si="49"/>
        <v>3.1883672110281635E-10</v>
      </c>
      <c r="T243" s="39">
        <f t="shared" si="49"/>
        <v>1.9176150444475889E-9</v>
      </c>
      <c r="U243" s="39">
        <f t="shared" si="49"/>
        <v>1.0598669756617578E-8</v>
      </c>
      <c r="V243" s="39">
        <f t="shared" si="49"/>
        <v>5.3936944039962125E-8</v>
      </c>
      <c r="W243" s="37">
        <v>0.76</v>
      </c>
    </row>
    <row r="244" spans="2:23" x14ac:dyDescent="0.25">
      <c r="B244" s="39">
        <f t="shared" si="48"/>
        <v>6.6029514716201751E-32</v>
      </c>
      <c r="C244" s="39">
        <f t="shared" si="48"/>
        <v>1.0834601377828292E-29</v>
      </c>
      <c r="D244" s="39">
        <f t="shared" si="48"/>
        <v>8.7054297437039762E-28</v>
      </c>
      <c r="E244" s="39">
        <f t="shared" si="48"/>
        <v>4.5649634640473897E-26</v>
      </c>
      <c r="F244" s="39">
        <f t="shared" si="48"/>
        <v>1.7568256492627227E-24</v>
      </c>
      <c r="G244" s="39">
        <f t="shared" si="48"/>
        <v>5.2906357613480025E-23</v>
      </c>
      <c r="H244" s="39">
        <f t="shared" si="48"/>
        <v>1.298108652292146E-21</v>
      </c>
      <c r="I244" s="39">
        <f t="shared" si="48"/>
        <v>2.6679158542936211E-20</v>
      </c>
      <c r="J244" s="39">
        <f t="shared" si="48"/>
        <v>4.6863751625019409E-19</v>
      </c>
      <c r="K244" s="39">
        <f t="shared" si="48"/>
        <v>7.1437703693508909E-18</v>
      </c>
      <c r="L244" s="39">
        <f t="shared" si="49"/>
        <v>9.5633781558621415E-17</v>
      </c>
      <c r="M244" s="39">
        <f t="shared" si="49"/>
        <v>1.135053494444646E-15</v>
      </c>
      <c r="N244" s="39">
        <f t="shared" si="49"/>
        <v>1.2036467454352788E-14</v>
      </c>
      <c r="O244" s="39">
        <f t="shared" si="49"/>
        <v>1.1476969687834063E-13</v>
      </c>
      <c r="P244" s="39">
        <f t="shared" si="49"/>
        <v>9.8925406595230914E-13</v>
      </c>
      <c r="Q244" s="39">
        <f t="shared" si="49"/>
        <v>7.7424676733250652E-12</v>
      </c>
      <c r="R244" s="39">
        <f t="shared" si="49"/>
        <v>5.5230669830811307E-11</v>
      </c>
      <c r="S244" s="39">
        <f t="shared" si="49"/>
        <v>3.6024700734345134E-10</v>
      </c>
      <c r="T244" s="39">
        <f t="shared" si="49"/>
        <v>2.154370474202607E-9</v>
      </c>
      <c r="U244" s="39">
        <f t="shared" si="49"/>
        <v>1.1839760594353957E-8</v>
      </c>
      <c r="V244" s="39">
        <f t="shared" si="49"/>
        <v>5.9912411078583557E-8</v>
      </c>
      <c r="W244" s="37">
        <v>0.75900000000000001</v>
      </c>
    </row>
    <row r="245" spans="2:23" x14ac:dyDescent="0.25">
      <c r="B245" s="39">
        <f t="shared" si="48"/>
        <v>7.9270885419471634E-32</v>
      </c>
      <c r="C245" s="39">
        <f t="shared" si="48"/>
        <v>1.2944594005689378E-29</v>
      </c>
      <c r="D245" s="39">
        <f t="shared" si="48"/>
        <v>1.0350644299662056E-27</v>
      </c>
      <c r="E245" s="39">
        <f t="shared" si="48"/>
        <v>5.4015448093344306E-26</v>
      </c>
      <c r="F245" s="39">
        <f t="shared" si="48"/>
        <v>2.0687820693855181E-24</v>
      </c>
      <c r="G245" s="39">
        <f t="shared" si="48"/>
        <v>6.2001373164089481E-23</v>
      </c>
      <c r="H245" s="39">
        <f t="shared" si="48"/>
        <v>1.5139582247774782E-21</v>
      </c>
      <c r="I245" s="39">
        <f t="shared" si="48"/>
        <v>3.0966099044507308E-20</v>
      </c>
      <c r="J245" s="39">
        <f t="shared" si="48"/>
        <v>5.4133382308307693E-19</v>
      </c>
      <c r="K245" s="39">
        <f t="shared" si="48"/>
        <v>8.2124295944889609E-18</v>
      </c>
      <c r="L245" s="39">
        <f t="shared" si="49"/>
        <v>1.0941428052412068E-16</v>
      </c>
      <c r="M245" s="39">
        <f t="shared" si="49"/>
        <v>1.2924093682212726E-15</v>
      </c>
      <c r="N245" s="39">
        <f t="shared" si="49"/>
        <v>1.3639757138743149E-14</v>
      </c>
      <c r="O245" s="39">
        <f t="shared" si="49"/>
        <v>1.2943793211179565E-13</v>
      </c>
      <c r="P245" s="39">
        <f t="shared" si="49"/>
        <v>1.1103810340121901E-12</v>
      </c>
      <c r="Q245" s="39">
        <f t="shared" si="49"/>
        <v>8.6492172847936183E-12</v>
      </c>
      <c r="R245" s="39">
        <f t="shared" si="49"/>
        <v>6.1406530669096883E-11</v>
      </c>
      <c r="S245" s="39">
        <f t="shared" si="49"/>
        <v>3.9863499639871859E-10</v>
      </c>
      <c r="T245" s="39">
        <f t="shared" si="49"/>
        <v>2.3726874678353003E-9</v>
      </c>
      <c r="U245" s="39">
        <f t="shared" si="49"/>
        <v>1.2978154117899247E-8</v>
      </c>
      <c r="V245" s="39">
        <f t="shared" si="49"/>
        <v>6.5364497625633098E-8</v>
      </c>
      <c r="W245" s="37">
        <v>0.75800000000000001</v>
      </c>
    </row>
    <row r="246" spans="2:23" x14ac:dyDescent="0.25">
      <c r="B246" s="39">
        <f t="shared" si="48"/>
        <v>9.8624082355689105E-32</v>
      </c>
      <c r="C246" s="39">
        <f t="shared" si="48"/>
        <v>1.6011969915116981E-29</v>
      </c>
      <c r="D246" s="39">
        <f t="shared" si="48"/>
        <v>1.2729545832199133E-27</v>
      </c>
      <c r="E246" s="39">
        <f t="shared" si="48"/>
        <v>6.6047273479788943E-26</v>
      </c>
      <c r="F246" s="39">
        <f t="shared" si="48"/>
        <v>2.5150423709493537E-24</v>
      </c>
      <c r="G246" s="39">
        <f t="shared" si="48"/>
        <v>7.4942446939387961E-23</v>
      </c>
      <c r="H246" s="39">
        <f t="shared" si="48"/>
        <v>1.8194448185822786E-21</v>
      </c>
      <c r="I246" s="39">
        <f t="shared" si="48"/>
        <v>3.7000915538434812E-20</v>
      </c>
      <c r="J246" s="39">
        <f t="shared" si="48"/>
        <v>6.4312406837085787E-19</v>
      </c>
      <c r="K246" s="39">
        <f t="shared" si="48"/>
        <v>9.7008026537121477E-18</v>
      </c>
      <c r="L246" s="39">
        <f t="shared" si="49"/>
        <v>1.2850480228513077E-16</v>
      </c>
      <c r="M246" s="39">
        <f t="shared" si="49"/>
        <v>1.5092385104564524E-15</v>
      </c>
      <c r="N246" s="39">
        <f t="shared" si="49"/>
        <v>1.5837263138758124E-14</v>
      </c>
      <c r="O246" s="39">
        <f t="shared" si="49"/>
        <v>1.4943566918399572E-13</v>
      </c>
      <c r="P246" s="39">
        <f t="shared" si="49"/>
        <v>1.2746404547926289E-12</v>
      </c>
      <c r="Q246" s="39">
        <f t="shared" si="49"/>
        <v>9.8723252792938084E-12</v>
      </c>
      <c r="R246" s="39">
        <f t="shared" si="49"/>
        <v>6.969290303133206E-11</v>
      </c>
      <c r="S246" s="39">
        <f t="shared" si="49"/>
        <v>4.4986841690284126E-10</v>
      </c>
      <c r="T246" s="39">
        <f t="shared" si="49"/>
        <v>2.662513975235149E-9</v>
      </c>
      <c r="U246" s="39">
        <f t="shared" si="49"/>
        <v>1.4481424402838613E-8</v>
      </c>
      <c r="V246" s="39">
        <f t="shared" si="49"/>
        <v>7.2525981435034607E-8</v>
      </c>
      <c r="W246" s="37">
        <v>0.75700000000000001</v>
      </c>
    </row>
    <row r="247" spans="2:23" x14ac:dyDescent="0.25">
      <c r="B247" s="39">
        <f t="shared" si="48"/>
        <v>1.2258561923613825E-31</v>
      </c>
      <c r="C247" s="39">
        <f t="shared" si="48"/>
        <v>1.9787738160173859E-29</v>
      </c>
      <c r="D247" s="39">
        <f t="shared" si="48"/>
        <v>1.5640882602160222E-27</v>
      </c>
      <c r="E247" s="39">
        <f t="shared" si="48"/>
        <v>8.0686779713784804E-26</v>
      </c>
      <c r="F247" s="39">
        <f t="shared" si="48"/>
        <v>3.0548802649590477E-24</v>
      </c>
      <c r="G247" s="39">
        <f t="shared" si="48"/>
        <v>9.0506650470325366E-23</v>
      </c>
      <c r="H247" s="39">
        <f t="shared" si="48"/>
        <v>2.1847295261146242E-21</v>
      </c>
      <c r="I247" s="39">
        <f t="shared" si="48"/>
        <v>4.4175345802281468E-20</v>
      </c>
      <c r="J247" s="39">
        <f t="shared" si="48"/>
        <v>7.6343768778552163E-19</v>
      </c>
      <c r="K247" s="39">
        <f t="shared" si="48"/>
        <v>1.1449871790760579E-17</v>
      </c>
      <c r="L247" s="39">
        <f t="shared" si="49"/>
        <v>1.5080972802113145E-16</v>
      </c>
      <c r="M247" s="39">
        <f t="shared" si="49"/>
        <v>1.7611162007309262E-15</v>
      </c>
      <c r="N247" s="39">
        <f t="shared" si="49"/>
        <v>1.8375267971212332E-14</v>
      </c>
      <c r="O247" s="39">
        <f t="shared" si="49"/>
        <v>1.7239899614775499E-13</v>
      </c>
      <c r="P247" s="39">
        <f t="shared" si="49"/>
        <v>1.4621731850796722E-12</v>
      </c>
      <c r="Q247" s="39">
        <f t="shared" si="49"/>
        <v>1.1260696746359071E-11</v>
      </c>
      <c r="R247" s="39">
        <f t="shared" si="49"/>
        <v>7.9044820271832794E-11</v>
      </c>
      <c r="S247" s="39">
        <f t="shared" si="49"/>
        <v>5.0735760080179356E-10</v>
      </c>
      <c r="T247" s="39">
        <f t="shared" si="49"/>
        <v>2.9858608908018328E-9</v>
      </c>
      <c r="U247" s="39">
        <f t="shared" si="49"/>
        <v>1.6148927935245183E-8</v>
      </c>
      <c r="V247" s="39">
        <f t="shared" si="49"/>
        <v>8.0424270346379704E-8</v>
      </c>
      <c r="W247" s="37">
        <v>0.75600000000000001</v>
      </c>
    </row>
    <row r="248" spans="2:23" x14ac:dyDescent="0.25">
      <c r="B248" s="39">
        <f t="shared" si="48"/>
        <v>1.5222533358814009E-31</v>
      </c>
      <c r="C248" s="39">
        <f t="shared" si="48"/>
        <v>2.443127322369018E-29</v>
      </c>
      <c r="D248" s="39">
        <f t="shared" si="48"/>
        <v>1.9200646277201174E-27</v>
      </c>
      <c r="E248" s="39">
        <f t="shared" si="48"/>
        <v>9.8483572196740856E-26</v>
      </c>
      <c r="F248" s="39">
        <f t="shared" si="48"/>
        <v>3.7073592402242548E-24</v>
      </c>
      <c r="G248" s="39">
        <f t="shared" si="48"/>
        <v>1.0920999028263994E-22</v>
      </c>
      <c r="H248" s="39">
        <f t="shared" si="48"/>
        <v>2.621159047132534E-21</v>
      </c>
      <c r="I248" s="39">
        <f t="shared" si="48"/>
        <v>5.2697740975032993E-20</v>
      </c>
      <c r="J248" s="39">
        <f t="shared" si="48"/>
        <v>9.05533708469228E-19</v>
      </c>
      <c r="K248" s="39">
        <f t="shared" si="48"/>
        <v>1.3503719445977E-17</v>
      </c>
      <c r="L248" s="39">
        <f t="shared" si="49"/>
        <v>1.768507129902332E-16</v>
      </c>
      <c r="M248" s="39">
        <f t="shared" si="49"/>
        <v>2.0534930286594717E-15</v>
      </c>
      <c r="N248" s="39">
        <f t="shared" si="49"/>
        <v>2.1304431110488021E-14</v>
      </c>
      <c r="O248" s="39">
        <f t="shared" si="49"/>
        <v>1.9874926411630293E-13</v>
      </c>
      <c r="P248" s="39">
        <f t="shared" si="49"/>
        <v>1.6761307542310275E-12</v>
      </c>
      <c r="Q248" s="39">
        <f t="shared" si="49"/>
        <v>1.2835614393059844E-11</v>
      </c>
      <c r="R248" s="39">
        <f t="shared" si="49"/>
        <v>8.9592468863176644E-11</v>
      </c>
      <c r="S248" s="39">
        <f t="shared" si="49"/>
        <v>5.718257502080452E-10</v>
      </c>
      <c r="T248" s="39">
        <f t="shared" si="49"/>
        <v>3.346383975507976E-9</v>
      </c>
      <c r="U248" s="39">
        <f t="shared" si="49"/>
        <v>1.7997505358979039E-8</v>
      </c>
      <c r="V248" s="39">
        <f t="shared" si="49"/>
        <v>8.9130129828578835E-8</v>
      </c>
      <c r="W248" s="37">
        <v>0.755</v>
      </c>
    </row>
    <row r="249" spans="2:23" x14ac:dyDescent="0.25">
      <c r="B249" s="39">
        <f t="shared" si="48"/>
        <v>1.8220059262321398E-31</v>
      </c>
      <c r="C249" s="39">
        <f t="shared" si="48"/>
        <v>2.9102718326023248E-29</v>
      </c>
      <c r="D249" s="39">
        <f t="shared" si="48"/>
        <v>2.2763008307455519E-27</v>
      </c>
      <c r="E249" s="39">
        <f t="shared" si="48"/>
        <v>1.1619990229362603E-25</v>
      </c>
      <c r="F249" s="39">
        <f t="shared" si="48"/>
        <v>4.3534811439489147E-24</v>
      </c>
      <c r="G249" s="39">
        <f t="shared" si="48"/>
        <v>1.2763398470670152E-22</v>
      </c>
      <c r="H249" s="39">
        <f t="shared" si="48"/>
        <v>3.0488166591930743E-21</v>
      </c>
      <c r="I249" s="39">
        <f t="shared" si="48"/>
        <v>6.1005080921003792E-20</v>
      </c>
      <c r="J249" s="39">
        <f t="shared" si="48"/>
        <v>1.0433184818272462E-18</v>
      </c>
      <c r="K249" s="39">
        <f t="shared" si="48"/>
        <v>1.5484823556588095E-17</v>
      </c>
      <c r="L249" s="39">
        <f t="shared" si="49"/>
        <v>2.0183787928073773E-16</v>
      </c>
      <c r="M249" s="39">
        <f t="shared" si="49"/>
        <v>2.3325698975282416E-15</v>
      </c>
      <c r="N249" s="39">
        <f t="shared" si="49"/>
        <v>2.4085722594690718E-14</v>
      </c>
      <c r="O249" s="39">
        <f t="shared" si="49"/>
        <v>2.2363845606548042E-13</v>
      </c>
      <c r="P249" s="39">
        <f t="shared" si="49"/>
        <v>1.8771682153569077E-12</v>
      </c>
      <c r="Q249" s="39">
        <f t="shared" si="49"/>
        <v>1.4307694752884884E-11</v>
      </c>
      <c r="R249" s="39">
        <f t="shared" si="49"/>
        <v>9.9399880680953998E-11</v>
      </c>
      <c r="S249" s="39">
        <f t="shared" si="49"/>
        <v>6.3145643673661529E-10</v>
      </c>
      <c r="T249" s="39">
        <f t="shared" si="49"/>
        <v>3.6781136208171902E-9</v>
      </c>
      <c r="U249" s="39">
        <f t="shared" si="49"/>
        <v>1.9689567093530901E-8</v>
      </c>
      <c r="V249" s="39">
        <f t="shared" si="49"/>
        <v>9.7057302485079454E-8</v>
      </c>
      <c r="W249" s="37">
        <v>0.754</v>
      </c>
    </row>
    <row r="250" spans="2:23" x14ac:dyDescent="0.25">
      <c r="B250" s="39">
        <f t="shared" si="48"/>
        <v>2.2586879626428378E-31</v>
      </c>
      <c r="C250" s="39">
        <f t="shared" si="48"/>
        <v>3.587207155215554E-29</v>
      </c>
      <c r="D250" s="39">
        <f t="shared" si="48"/>
        <v>2.7897873383155039E-27</v>
      </c>
      <c r="E250" s="39">
        <f t="shared" si="48"/>
        <v>1.4160151634013878E-25</v>
      </c>
      <c r="F250" s="39">
        <f t="shared" si="48"/>
        <v>5.2749912166309095E-24</v>
      </c>
      <c r="G250" s="39">
        <f t="shared" si="48"/>
        <v>1.5377178252354884E-22</v>
      </c>
      <c r="H250" s="39">
        <f t="shared" si="48"/>
        <v>3.6523239038033667E-21</v>
      </c>
      <c r="I250" s="39">
        <f t="shared" si="48"/>
        <v>7.2666485000272774E-20</v>
      </c>
      <c r="J250" s="39">
        <f t="shared" si="48"/>
        <v>1.2357136522699106E-18</v>
      </c>
      <c r="K250" s="39">
        <f t="shared" si="48"/>
        <v>1.8236553517434924E-17</v>
      </c>
      <c r="L250" s="39">
        <f t="shared" si="49"/>
        <v>2.363619968481591E-16</v>
      </c>
      <c r="M250" s="39">
        <f t="shared" si="49"/>
        <v>2.7161340207983583E-15</v>
      </c>
      <c r="N250" s="39">
        <f t="shared" si="49"/>
        <v>2.7888235426253645E-14</v>
      </c>
      <c r="O250" s="39">
        <f t="shared" si="49"/>
        <v>2.5748750809814168E-13</v>
      </c>
      <c r="P250" s="39">
        <f t="shared" si="49"/>
        <v>2.1491411698672423E-12</v>
      </c>
      <c r="Q250" s="39">
        <f t="shared" si="49"/>
        <v>1.628874158595891E-11</v>
      </c>
      <c r="R250" s="39">
        <f t="shared" si="49"/>
        <v>1.1252894001158188E-10</v>
      </c>
      <c r="S250" s="39">
        <f t="shared" si="49"/>
        <v>7.1086483935363261E-10</v>
      </c>
      <c r="T250" s="39">
        <f t="shared" si="49"/>
        <v>4.1175538984308137E-9</v>
      </c>
      <c r="U250" s="39">
        <f t="shared" si="49"/>
        <v>2.1919296582777747E-8</v>
      </c>
      <c r="V250" s="39">
        <f t="shared" si="49"/>
        <v>1.074487526197565E-7</v>
      </c>
      <c r="W250" s="37">
        <v>0.753</v>
      </c>
    </row>
    <row r="251" spans="2:23" x14ac:dyDescent="0.25">
      <c r="B251" s="39">
        <f t="shared" si="48"/>
        <v>2.7974570765818863E-31</v>
      </c>
      <c r="C251" s="39">
        <f t="shared" si="48"/>
        <v>4.4176121413326431E-29</v>
      </c>
      <c r="D251" s="39">
        <f t="shared" si="48"/>
        <v>3.4160816209431893E-27</v>
      </c>
      <c r="E251" s="39">
        <f t="shared" si="48"/>
        <v>1.7240633034358381E-25</v>
      </c>
      <c r="F251" s="39">
        <f t="shared" si="48"/>
        <v>6.3861252716793804E-24</v>
      </c>
      <c r="G251" s="39">
        <f t="shared" si="48"/>
        <v>1.8510793591936936E-22</v>
      </c>
      <c r="H251" s="39">
        <f t="shared" si="48"/>
        <v>4.3717243769033687E-21</v>
      </c>
      <c r="I251" s="39">
        <f t="shared" si="48"/>
        <v>8.6487878675952469E-20</v>
      </c>
      <c r="J251" s="39">
        <f t="shared" si="48"/>
        <v>1.4624437310746817E-18</v>
      </c>
      <c r="K251" s="39">
        <f t="shared" si="48"/>
        <v>2.1460857516694264E-17</v>
      </c>
      <c r="L251" s="39">
        <f t="shared" si="49"/>
        <v>2.7658450676381472E-16</v>
      </c>
      <c r="M251" s="39">
        <f t="shared" si="49"/>
        <v>3.1604604870122938E-15</v>
      </c>
      <c r="N251" s="39">
        <f t="shared" si="49"/>
        <v>3.2268029850156249E-14</v>
      </c>
      <c r="O251" s="39">
        <f t="shared" si="49"/>
        <v>2.9625338309579422E-13</v>
      </c>
      <c r="P251" s="39">
        <f t="shared" si="49"/>
        <v>2.4588474761913727E-12</v>
      </c>
      <c r="Q251" s="39">
        <f t="shared" si="49"/>
        <v>1.853180486487597E-11</v>
      </c>
      <c r="R251" s="39">
        <f t="shared" si="49"/>
        <v>1.2730994793706732E-10</v>
      </c>
      <c r="S251" s="39">
        <f t="shared" si="49"/>
        <v>7.9975665056516185E-10</v>
      </c>
      <c r="T251" s="39">
        <f t="shared" si="49"/>
        <v>4.6066804187697987E-9</v>
      </c>
      <c r="U251" s="39">
        <f t="shared" si="49"/>
        <v>2.4387044418404001E-8</v>
      </c>
      <c r="V251" s="39">
        <f t="shared" si="49"/>
        <v>1.1888420121879913E-7</v>
      </c>
      <c r="W251" s="37">
        <v>0.752</v>
      </c>
    </row>
    <row r="252" spans="2:23" x14ac:dyDescent="0.25">
      <c r="B252" s="39">
        <f t="shared" si="48"/>
        <v>3.4615831682949811E-31</v>
      </c>
      <c r="C252" s="39">
        <f t="shared" si="48"/>
        <v>5.4353843797653824E-29</v>
      </c>
      <c r="D252" s="39">
        <f t="shared" si="48"/>
        <v>4.179307553704308E-27</v>
      </c>
      <c r="E252" s="39">
        <f t="shared" si="48"/>
        <v>2.0973207644131903E-25</v>
      </c>
      <c r="F252" s="39">
        <f t="shared" si="48"/>
        <v>7.7247930648639164E-24</v>
      </c>
      <c r="G252" s="39">
        <f t="shared" si="48"/>
        <v>2.2264581259631048E-22</v>
      </c>
      <c r="H252" s="39">
        <f t="shared" si="48"/>
        <v>5.2285917578249248E-21</v>
      </c>
      <c r="I252" s="39">
        <f t="shared" si="48"/>
        <v>1.0285660206571716E-19</v>
      </c>
      <c r="J252" s="39">
        <f t="shared" si="48"/>
        <v>1.7294327497734854E-18</v>
      </c>
      <c r="K252" s="39">
        <f t="shared" si="48"/>
        <v>2.5236081594066745E-17</v>
      </c>
      <c r="L252" s="39">
        <f t="shared" si="49"/>
        <v>3.2341186029740201E-16</v>
      </c>
      <c r="M252" s="39">
        <f t="shared" si="49"/>
        <v>3.6748090424175372E-15</v>
      </c>
      <c r="N252" s="39">
        <f t="shared" si="49"/>
        <v>3.7309244174349485E-14</v>
      </c>
      <c r="O252" s="39">
        <f t="shared" si="49"/>
        <v>3.4062020459211481E-13</v>
      </c>
      <c r="P252" s="39">
        <f t="shared" si="49"/>
        <v>2.8112891528318223E-12</v>
      </c>
      <c r="Q252" s="39">
        <f t="shared" si="49"/>
        <v>2.1069903016140136E-11</v>
      </c>
      <c r="R252" s="39">
        <f t="shared" si="49"/>
        <v>1.4394031384601041E-10</v>
      </c>
      <c r="S252" s="39">
        <f t="shared" si="49"/>
        <v>8.9920362318088247E-10</v>
      </c>
      <c r="T252" s="39">
        <f t="shared" si="49"/>
        <v>5.1507873591695702E-9</v>
      </c>
      <c r="U252" s="39">
        <f t="shared" si="49"/>
        <v>2.7116639723565836E-8</v>
      </c>
      <c r="V252" s="39">
        <f t="shared" si="49"/>
        <v>1.3146146877703959E-7</v>
      </c>
      <c r="W252" s="37">
        <v>0.751</v>
      </c>
    </row>
    <row r="253" spans="2:23" x14ac:dyDescent="0.25">
      <c r="B253" s="39">
        <f t="shared" ref="B253:K262" si="50">_xlfn.HYPGEOM.DIST(B$2,comau,tongtheN*$W253,tongtheN,TRUE)</f>
        <v>4.1311178869087621E-31</v>
      </c>
      <c r="C253" s="39">
        <f t="shared" si="50"/>
        <v>6.4561181562780992E-29</v>
      </c>
      <c r="D253" s="39">
        <f t="shared" si="50"/>
        <v>4.9407815407219435E-27</v>
      </c>
      <c r="E253" s="39">
        <f t="shared" si="50"/>
        <v>2.4677892411663403E-25</v>
      </c>
      <c r="F253" s="39">
        <f t="shared" si="50"/>
        <v>9.0465668217175722E-24</v>
      </c>
      <c r="G253" s="39">
        <f t="shared" si="50"/>
        <v>2.5951777896612979E-22</v>
      </c>
      <c r="H253" s="39">
        <f t="shared" si="50"/>
        <v>6.0658958786774815E-21</v>
      </c>
      <c r="I253" s="39">
        <f t="shared" si="50"/>
        <v>1.1876872719729259E-19</v>
      </c>
      <c r="J253" s="39">
        <f t="shared" si="50"/>
        <v>1.9876297939198523E-18</v>
      </c>
      <c r="K253" s="39">
        <f t="shared" si="50"/>
        <v>2.8868081470279549E-17</v>
      </c>
      <c r="L253" s="39">
        <f t="shared" ref="L253:V262" si="51">_xlfn.HYPGEOM.DIST(L$2,comau,tongtheN*$W253,tongtheN,TRUE)</f>
        <v>3.6822946689529258E-16</v>
      </c>
      <c r="M253" s="39">
        <f t="shared" si="51"/>
        <v>4.1645351479693155E-15</v>
      </c>
      <c r="N253" s="39">
        <f t="shared" si="51"/>
        <v>4.2084298380022664E-14</v>
      </c>
      <c r="O253" s="39">
        <f t="shared" si="51"/>
        <v>3.8242726206337799E-13</v>
      </c>
      <c r="P253" s="39">
        <f t="shared" si="51"/>
        <v>3.1416795456721314E-12</v>
      </c>
      <c r="Q253" s="39">
        <f t="shared" si="51"/>
        <v>2.3436902459020988E-11</v>
      </c>
      <c r="R253" s="39">
        <f t="shared" si="51"/>
        <v>1.5936945891223316E-10</v>
      </c>
      <c r="S253" s="39">
        <f t="shared" si="51"/>
        <v>9.9099093709971944E-10</v>
      </c>
      <c r="T253" s="39">
        <f t="shared" si="51"/>
        <v>5.6503927511319235E-9</v>
      </c>
      <c r="U253" s="39">
        <f t="shared" si="51"/>
        <v>2.9610049111754173E-8</v>
      </c>
      <c r="V253" s="39">
        <f t="shared" si="51"/>
        <v>1.4289116853980833E-7</v>
      </c>
      <c r="W253" s="37">
        <v>0.75</v>
      </c>
    </row>
    <row r="254" spans="2:23" x14ac:dyDescent="0.25">
      <c r="B254" s="39">
        <f t="shared" si="50"/>
        <v>5.1034267623450222E-31</v>
      </c>
      <c r="C254" s="39">
        <f t="shared" si="50"/>
        <v>7.9306813824460868E-29</v>
      </c>
      <c r="D254" s="39">
        <f t="shared" si="50"/>
        <v>6.0350583879170445E-27</v>
      </c>
      <c r="E254" s="39">
        <f t="shared" si="50"/>
        <v>2.9973869315602975E-25</v>
      </c>
      <c r="F254" s="39">
        <f t="shared" si="50"/>
        <v>1.0926212921977048E-23</v>
      </c>
      <c r="G254" s="39">
        <f t="shared" si="50"/>
        <v>3.116781721301935E-22</v>
      </c>
      <c r="H254" s="39">
        <f t="shared" si="50"/>
        <v>7.2441930408357656E-21</v>
      </c>
      <c r="I254" s="39">
        <f t="shared" si="50"/>
        <v>1.4104426938958695E-19</v>
      </c>
      <c r="J254" s="39">
        <f t="shared" si="50"/>
        <v>2.3471980193641686E-18</v>
      </c>
      <c r="K254" s="39">
        <f t="shared" si="50"/>
        <v>3.389969472893416E-17</v>
      </c>
      <c r="L254" s="39">
        <f t="shared" si="51"/>
        <v>4.2999453401947482E-16</v>
      </c>
      <c r="M254" s="39">
        <f t="shared" si="51"/>
        <v>4.835935837801452E-15</v>
      </c>
      <c r="N254" s="39">
        <f t="shared" si="51"/>
        <v>4.8596720490588148E-14</v>
      </c>
      <c r="O254" s="39">
        <f t="shared" si="51"/>
        <v>4.3914918974041196E-13</v>
      </c>
      <c r="P254" s="39">
        <f t="shared" si="51"/>
        <v>3.5876102418360311E-12</v>
      </c>
      <c r="Q254" s="39">
        <f t="shared" si="51"/>
        <v>2.6615079772432297E-11</v>
      </c>
      <c r="R254" s="39">
        <f t="shared" si="51"/>
        <v>1.7997876020510299E-10</v>
      </c>
      <c r="S254" s="39">
        <f t="shared" si="51"/>
        <v>1.1129592263167419E-9</v>
      </c>
      <c r="T254" s="39">
        <f t="shared" si="51"/>
        <v>6.3108362636643075E-9</v>
      </c>
      <c r="U254" s="39">
        <f t="shared" si="51"/>
        <v>3.2889097796292053E-8</v>
      </c>
      <c r="V254" s="39">
        <f t="shared" si="51"/>
        <v>1.5784444042453228E-7</v>
      </c>
      <c r="W254" s="37">
        <v>0.749</v>
      </c>
    </row>
    <row r="255" spans="2:23" x14ac:dyDescent="0.25">
      <c r="B255" s="39">
        <f t="shared" si="50"/>
        <v>6.2989728706819178E-31</v>
      </c>
      <c r="C255" s="39">
        <f t="shared" si="50"/>
        <v>9.7335282064524864E-29</v>
      </c>
      <c r="D255" s="39">
        <f t="shared" si="50"/>
        <v>7.3653816205523662E-27</v>
      </c>
      <c r="E255" s="39">
        <f t="shared" si="50"/>
        <v>3.6375811758122077E-25</v>
      </c>
      <c r="F255" s="39">
        <f t="shared" si="50"/>
        <v>1.3185537720703667E-23</v>
      </c>
      <c r="G255" s="39">
        <f t="shared" si="50"/>
        <v>3.7402028467096947E-22</v>
      </c>
      <c r="H255" s="39">
        <f t="shared" si="50"/>
        <v>8.6445370715827556E-21</v>
      </c>
      <c r="I255" s="39">
        <f t="shared" si="50"/>
        <v>1.6736807200337931E-19</v>
      </c>
      <c r="J255" s="39">
        <f t="shared" si="50"/>
        <v>2.7697141082274434E-18</v>
      </c>
      <c r="K255" s="39">
        <f t="shared" si="50"/>
        <v>3.9778809933112127E-17</v>
      </c>
      <c r="L255" s="39">
        <f t="shared" si="51"/>
        <v>5.0175604558666305E-16</v>
      </c>
      <c r="M255" s="39">
        <f t="shared" si="51"/>
        <v>5.6116032631408451E-15</v>
      </c>
      <c r="N255" s="39">
        <f t="shared" si="51"/>
        <v>5.6078115535452123E-14</v>
      </c>
      <c r="O255" s="39">
        <f t="shared" si="51"/>
        <v>5.0394373797293871E-13</v>
      </c>
      <c r="P255" s="39">
        <f t="shared" si="51"/>
        <v>4.094138237103116E-12</v>
      </c>
      <c r="Q255" s="39">
        <f t="shared" si="51"/>
        <v>3.0204827821467933E-11</v>
      </c>
      <c r="R255" s="39">
        <f t="shared" si="51"/>
        <v>2.0312604372637873E-10</v>
      </c>
      <c r="S255" s="39">
        <f t="shared" si="51"/>
        <v>1.2491776244469225E-9</v>
      </c>
      <c r="T255" s="39">
        <f t="shared" si="51"/>
        <v>7.044298474054519E-9</v>
      </c>
      <c r="U255" s="39">
        <f t="shared" si="51"/>
        <v>3.651022940290546E-8</v>
      </c>
      <c r="V255" s="39">
        <f t="shared" si="51"/>
        <v>1.7426500951342747E-7</v>
      </c>
      <c r="W255" s="37">
        <v>0.748</v>
      </c>
    </row>
    <row r="256" spans="2:23" x14ac:dyDescent="0.25">
      <c r="B256" s="39">
        <f t="shared" si="50"/>
        <v>7.767734665217959E-31</v>
      </c>
      <c r="C256" s="39">
        <f t="shared" si="50"/>
        <v>1.1935868032383819E-28</v>
      </c>
      <c r="D256" s="39">
        <f t="shared" si="50"/>
        <v>8.9813182226982491E-27</v>
      </c>
      <c r="E256" s="39">
        <f t="shared" si="50"/>
        <v>4.4108343619252385E-25</v>
      </c>
      <c r="F256" s="39">
        <f t="shared" si="50"/>
        <v>1.5899055064074809E-23</v>
      </c>
      <c r="G256" s="39">
        <f t="shared" si="50"/>
        <v>4.484730090513419E-22</v>
      </c>
      <c r="H256" s="39">
        <f t="shared" si="50"/>
        <v>1.0307490688266531E-20</v>
      </c>
      <c r="I256" s="39">
        <f t="shared" si="50"/>
        <v>1.9845240070941569E-19</v>
      </c>
      <c r="J256" s="39">
        <f t="shared" si="50"/>
        <v>3.2658318467793227E-18</v>
      </c>
      <c r="K256" s="39">
        <f t="shared" si="50"/>
        <v>4.664322082578074E-17</v>
      </c>
      <c r="L256" s="39">
        <f t="shared" si="51"/>
        <v>5.850730858860676E-16</v>
      </c>
      <c r="M256" s="39">
        <f t="shared" si="51"/>
        <v>6.5071121907105402E-15</v>
      </c>
      <c r="N256" s="39">
        <f t="shared" si="51"/>
        <v>6.4666870619546552E-14</v>
      </c>
      <c r="O256" s="39">
        <f t="shared" si="51"/>
        <v>5.7791116530362647E-13</v>
      </c>
      <c r="P256" s="39">
        <f t="shared" si="51"/>
        <v>4.6691292645411816E-12</v>
      </c>
      <c r="Q256" s="39">
        <f t="shared" si="51"/>
        <v>3.4256910495712642E-11</v>
      </c>
      <c r="R256" s="39">
        <f t="shared" si="51"/>
        <v>2.2910802241941025E-10</v>
      </c>
      <c r="S256" s="39">
        <f t="shared" si="51"/>
        <v>1.4012208120978809E-9</v>
      </c>
      <c r="T256" s="39">
        <f t="shared" si="51"/>
        <v>7.8583822304060122E-9</v>
      </c>
      <c r="U256" s="39">
        <f t="shared" si="51"/>
        <v>4.0506887022134553E-8</v>
      </c>
      <c r="V256" s="39">
        <f t="shared" si="51"/>
        <v>1.9228702129987434E-7</v>
      </c>
      <c r="W256" s="37">
        <v>0.747</v>
      </c>
    </row>
    <row r="257" spans="2:23" x14ac:dyDescent="0.25">
      <c r="B257" s="39">
        <f t="shared" si="50"/>
        <v>9.570596792197279E-31</v>
      </c>
      <c r="C257" s="39">
        <f t="shared" si="50"/>
        <v>1.4623953005229785E-28</v>
      </c>
      <c r="D257" s="39">
        <f t="shared" si="50"/>
        <v>1.0942562333690848E-26</v>
      </c>
      <c r="E257" s="39">
        <f t="shared" si="50"/>
        <v>5.3440432918541676E-25</v>
      </c>
      <c r="F257" s="39">
        <f t="shared" si="50"/>
        <v>1.9155477667551438E-23</v>
      </c>
      <c r="G257" s="39">
        <f t="shared" si="50"/>
        <v>5.3731962688740546E-22</v>
      </c>
      <c r="H257" s="39">
        <f t="shared" si="50"/>
        <v>1.2280793536546282E-20</v>
      </c>
      <c r="I257" s="39">
        <f t="shared" si="50"/>
        <v>2.3513073062146846E-19</v>
      </c>
      <c r="J257" s="39">
        <f t="shared" si="50"/>
        <v>3.8479463480358156E-18</v>
      </c>
      <c r="K257" s="39">
        <f t="shared" si="50"/>
        <v>5.4652320271385339E-17</v>
      </c>
      <c r="L257" s="39">
        <f t="shared" si="51"/>
        <v>6.8173872935053461E-16</v>
      </c>
      <c r="M257" s="39">
        <f t="shared" si="51"/>
        <v>7.5402714554514851E-15</v>
      </c>
      <c r="N257" s="39">
        <f t="shared" si="51"/>
        <v>7.4520307945249509E-14</v>
      </c>
      <c r="O257" s="39">
        <f t="shared" si="51"/>
        <v>6.6229502376118452E-13</v>
      </c>
      <c r="P257" s="39">
        <f t="shared" si="51"/>
        <v>5.3214217849090268E-12</v>
      </c>
      <c r="Q257" s="39">
        <f t="shared" si="51"/>
        <v>3.8828036897946916E-11</v>
      </c>
      <c r="R257" s="39">
        <f t="shared" si="51"/>
        <v>2.5825421920266675E-10</v>
      </c>
      <c r="S257" s="39">
        <f t="shared" si="51"/>
        <v>1.5708273181008852E-9</v>
      </c>
      <c r="T257" s="39">
        <f t="shared" si="51"/>
        <v>8.761431889431906E-9</v>
      </c>
      <c r="U257" s="39">
        <f t="shared" si="51"/>
        <v>4.4915557318330358E-8</v>
      </c>
      <c r="V257" s="39">
        <f t="shared" si="51"/>
        <v>2.1205595320356766E-7</v>
      </c>
      <c r="W257" s="37">
        <v>0.746</v>
      </c>
    </row>
    <row r="258" spans="2:23" x14ac:dyDescent="0.25">
      <c r="B258" s="39">
        <f t="shared" si="50"/>
        <v>1.1381204209645284E-30</v>
      </c>
      <c r="C258" s="39">
        <f t="shared" si="50"/>
        <v>1.7309762385592579E-28</v>
      </c>
      <c r="D258" s="39">
        <f t="shared" si="50"/>
        <v>1.2892114945961866E-26</v>
      </c>
      <c r="E258" s="39">
        <f t="shared" si="50"/>
        <v>6.2669419333222284E-25</v>
      </c>
      <c r="F258" s="39">
        <f t="shared" si="50"/>
        <v>2.2359447311784561E-23</v>
      </c>
      <c r="G258" s="39">
        <f t="shared" si="50"/>
        <v>6.2428807894623112E-22</v>
      </c>
      <c r="H258" s="39">
        <f t="shared" si="50"/>
        <v>1.420250635250945E-20</v>
      </c>
      <c r="I258" s="39">
        <f t="shared" si="50"/>
        <v>2.7066757774200764E-19</v>
      </c>
      <c r="J258" s="39">
        <f t="shared" si="50"/>
        <v>4.4090628617940726E-18</v>
      </c>
      <c r="K258" s="39">
        <f t="shared" si="50"/>
        <v>6.2333082135006502E-17</v>
      </c>
      <c r="L258" s="39">
        <f t="shared" si="51"/>
        <v>7.7396813989825023E-16</v>
      </c>
      <c r="M258" s="39">
        <f t="shared" si="51"/>
        <v>8.5209844348165645E-15</v>
      </c>
      <c r="N258" s="39">
        <f t="shared" si="51"/>
        <v>8.3825823870003916E-14</v>
      </c>
      <c r="O258" s="39">
        <f t="shared" si="51"/>
        <v>7.4157998424018788E-13</v>
      </c>
      <c r="P258" s="39">
        <f t="shared" si="51"/>
        <v>5.9311738146922268E-12</v>
      </c>
      <c r="Q258" s="39">
        <f t="shared" si="51"/>
        <v>4.3079262892325146E-11</v>
      </c>
      <c r="R258" s="39">
        <f t="shared" si="51"/>
        <v>2.8522252371717031E-10</v>
      </c>
      <c r="S258" s="39">
        <f t="shared" si="51"/>
        <v>1.7269606862901781E-9</v>
      </c>
      <c r="T258" s="39">
        <f t="shared" si="51"/>
        <v>9.5885109105102879E-9</v>
      </c>
      <c r="U258" s="39">
        <f t="shared" si="51"/>
        <v>4.8932779235753937E-8</v>
      </c>
      <c r="V258" s="39">
        <f t="shared" si="51"/>
        <v>2.2997788895113625E-7</v>
      </c>
      <c r="W258" s="37">
        <v>0.745</v>
      </c>
    </row>
    <row r="259" spans="2:23" x14ac:dyDescent="0.25">
      <c r="B259" s="39">
        <f t="shared" si="50"/>
        <v>1.4000526023381249E-30</v>
      </c>
      <c r="C259" s="39">
        <f t="shared" si="50"/>
        <v>2.1175133357030318E-28</v>
      </c>
      <c r="D259" s="39">
        <f t="shared" si="50"/>
        <v>1.5683397388883537E-26</v>
      </c>
      <c r="E259" s="39">
        <f t="shared" si="50"/>
        <v>7.5814917757724086E-25</v>
      </c>
      <c r="F259" s="39">
        <f t="shared" si="50"/>
        <v>2.6899564527408424E-23</v>
      </c>
      <c r="G259" s="39">
        <f t="shared" si="50"/>
        <v>7.4689004314363515E-22</v>
      </c>
      <c r="H259" s="39">
        <f t="shared" si="50"/>
        <v>1.6897654113918655E-20</v>
      </c>
      <c r="I259" s="39">
        <f t="shared" si="50"/>
        <v>3.2025057576146952E-19</v>
      </c>
      <c r="J259" s="39">
        <f t="shared" si="50"/>
        <v>5.1879385007654759E-18</v>
      </c>
      <c r="K259" s="39">
        <f t="shared" si="50"/>
        <v>7.2939822465048165E-17</v>
      </c>
      <c r="L259" s="39">
        <f t="shared" si="51"/>
        <v>9.0067817697826811E-16</v>
      </c>
      <c r="M259" s="39">
        <f t="shared" si="51"/>
        <v>9.8614289345100487E-15</v>
      </c>
      <c r="N259" s="39">
        <f t="shared" si="51"/>
        <v>9.6479423174690754E-14</v>
      </c>
      <c r="O259" s="39">
        <f t="shared" si="51"/>
        <v>8.4883868163934761E-13</v>
      </c>
      <c r="P259" s="39">
        <f t="shared" si="51"/>
        <v>6.751835988566347E-12</v>
      </c>
      <c r="Q259" s="39">
        <f t="shared" si="51"/>
        <v>4.8771673029187113E-11</v>
      </c>
      <c r="R259" s="39">
        <f t="shared" si="51"/>
        <v>3.2114843831221406E-10</v>
      </c>
      <c r="S259" s="39">
        <f t="shared" si="51"/>
        <v>1.9338906992811499E-9</v>
      </c>
      <c r="T259" s="39">
        <f t="shared" si="51"/>
        <v>1.0679071235128606E-8</v>
      </c>
      <c r="U259" s="39">
        <f t="shared" si="51"/>
        <v>5.4202708766295572E-8</v>
      </c>
      <c r="V259" s="39">
        <f t="shared" si="51"/>
        <v>2.5336849947297367E-7</v>
      </c>
      <c r="W259" s="37">
        <v>0.74399999999999999</v>
      </c>
    </row>
    <row r="260" spans="2:23" x14ac:dyDescent="0.25">
      <c r="B260" s="39">
        <f t="shared" si="50"/>
        <v>1.7207957927140622E-30</v>
      </c>
      <c r="C260" s="39">
        <f t="shared" si="50"/>
        <v>2.5881945540198124E-28</v>
      </c>
      <c r="D260" s="39">
        <f t="shared" si="50"/>
        <v>1.9063327379940514E-26</v>
      </c>
      <c r="E260" s="39">
        <f t="shared" si="50"/>
        <v>9.1643803307498023E-25</v>
      </c>
      <c r="F260" s="39">
        <f t="shared" si="50"/>
        <v>3.2335957390047738E-23</v>
      </c>
      <c r="G260" s="39">
        <f t="shared" si="50"/>
        <v>8.9287658024598011E-22</v>
      </c>
      <c r="H260" s="39">
        <f t="shared" si="50"/>
        <v>2.0088976600872222E-20</v>
      </c>
      <c r="I260" s="39">
        <f t="shared" si="50"/>
        <v>3.7863469706952683E-19</v>
      </c>
      <c r="J260" s="39">
        <f t="shared" si="50"/>
        <v>6.0999599631416523E-18</v>
      </c>
      <c r="K260" s="39">
        <f t="shared" si="50"/>
        <v>8.5290618908479075E-17</v>
      </c>
      <c r="L260" s="39">
        <f t="shared" si="51"/>
        <v>1.0474022078550998E-15</v>
      </c>
      <c r="M260" s="39">
        <f t="shared" si="51"/>
        <v>1.1404967149529721E-14</v>
      </c>
      <c r="N260" s="39">
        <f t="shared" si="51"/>
        <v>1.1096921200004835E-13</v>
      </c>
      <c r="O260" s="39">
        <f t="shared" si="51"/>
        <v>9.7097955905595528E-13</v>
      </c>
      <c r="P260" s="39">
        <f t="shared" si="51"/>
        <v>7.681175881350103E-12</v>
      </c>
      <c r="Q260" s="39">
        <f t="shared" si="51"/>
        <v>5.5182131630156536E-11</v>
      </c>
      <c r="R260" s="39">
        <f t="shared" si="51"/>
        <v>3.6138164113919755E-10</v>
      </c>
      <c r="S260" s="39">
        <f t="shared" si="51"/>
        <v>2.1643452126582506E-9</v>
      </c>
      <c r="T260" s="39">
        <f t="shared" si="51"/>
        <v>1.1886878081372941E-8</v>
      </c>
      <c r="U260" s="39">
        <f t="shared" si="51"/>
        <v>6.0006873905318997E-8</v>
      </c>
      <c r="V260" s="39">
        <f t="shared" si="51"/>
        <v>2.7898765242191467E-7</v>
      </c>
      <c r="W260" s="37">
        <v>0.74299999999999999</v>
      </c>
    </row>
    <row r="261" spans="2:23" x14ac:dyDescent="0.25">
      <c r="B261" s="39">
        <f t="shared" si="50"/>
        <v>2.1132273043779368E-30</v>
      </c>
      <c r="C261" s="39">
        <f t="shared" si="50"/>
        <v>3.1608681846213093E-28</v>
      </c>
      <c r="D261" s="39">
        <f t="shared" si="50"/>
        <v>2.3152759737827422E-26</v>
      </c>
      <c r="E261" s="39">
        <f t="shared" si="50"/>
        <v>1.1068883884108627E-24</v>
      </c>
      <c r="F261" s="39">
        <f t="shared" si="50"/>
        <v>3.8840541308319472E-23</v>
      </c>
      <c r="G261" s="39">
        <f t="shared" si="50"/>
        <v>1.0665765915643357E-21</v>
      </c>
      <c r="H261" s="39">
        <f t="shared" si="50"/>
        <v>2.3865021903077798E-20</v>
      </c>
      <c r="I261" s="39">
        <f t="shared" si="50"/>
        <v>4.4733233827749247E-19</v>
      </c>
      <c r="J261" s="39">
        <f t="shared" si="50"/>
        <v>7.1671304766681098E-18</v>
      </c>
      <c r="K261" s="39">
        <f t="shared" si="50"/>
        <v>9.9662264861629804E-17</v>
      </c>
      <c r="L261" s="39">
        <f t="shared" si="51"/>
        <v>1.2171861788979348E-15</v>
      </c>
      <c r="M261" s="39">
        <f t="shared" si="51"/>
        <v>1.3181191492352699E-14</v>
      </c>
      <c r="N261" s="39">
        <f t="shared" si="51"/>
        <v>1.2755089401036942E-13</v>
      </c>
      <c r="O261" s="39">
        <f t="shared" si="51"/>
        <v>1.1099795447233652E-12</v>
      </c>
      <c r="P261" s="39">
        <f t="shared" si="51"/>
        <v>8.7329357384272296E-12</v>
      </c>
      <c r="Q261" s="39">
        <f t="shared" si="51"/>
        <v>6.2396868507978943E-11</v>
      </c>
      <c r="R261" s="39">
        <f t="shared" si="51"/>
        <v>4.0641211152667916E-10</v>
      </c>
      <c r="S261" s="39">
        <f t="shared" si="51"/>
        <v>2.420851885079485E-9</v>
      </c>
      <c r="T261" s="39">
        <f t="shared" si="51"/>
        <v>1.3223792470149887E-8</v>
      </c>
      <c r="U261" s="39">
        <f t="shared" si="51"/>
        <v>6.6395972954900673E-8</v>
      </c>
      <c r="V261" s="39">
        <f t="shared" si="51"/>
        <v>3.0703291198202945E-7</v>
      </c>
      <c r="W261" s="37">
        <v>0.74199999999999999</v>
      </c>
    </row>
    <row r="262" spans="2:23" x14ac:dyDescent="0.25">
      <c r="B262" s="39">
        <f t="shared" si="50"/>
        <v>2.5061934787728877E-30</v>
      </c>
      <c r="C262" s="39">
        <f t="shared" si="50"/>
        <v>3.7314166258677193E-28</v>
      </c>
      <c r="D262" s="39">
        <f t="shared" si="50"/>
        <v>2.7206380140602833E-26</v>
      </c>
      <c r="E262" s="39">
        <f t="shared" si="50"/>
        <v>1.2947150392017236E-24</v>
      </c>
      <c r="F262" s="39">
        <f t="shared" si="50"/>
        <v>4.5223043818231937E-23</v>
      </c>
      <c r="G262" s="39">
        <f t="shared" si="50"/>
        <v>1.236154014730608E-21</v>
      </c>
      <c r="H262" s="39">
        <f t="shared" si="50"/>
        <v>2.75327975028888E-20</v>
      </c>
      <c r="I262" s="39">
        <f t="shared" si="50"/>
        <v>5.1372275976769882E-19</v>
      </c>
      <c r="J262" s="39">
        <f t="shared" si="50"/>
        <v>8.1932456716540982E-18</v>
      </c>
      <c r="K262" s="39">
        <f t="shared" si="50"/>
        <v>1.1341117184869801E-16</v>
      </c>
      <c r="L262" s="39">
        <f t="shared" si="51"/>
        <v>1.3787925108734053E-15</v>
      </c>
      <c r="M262" s="39">
        <f t="shared" si="51"/>
        <v>1.4863323924114036E-14</v>
      </c>
      <c r="N262" s="39">
        <f t="shared" si="51"/>
        <v>1.4317489603154852E-13</v>
      </c>
      <c r="O262" s="39">
        <f t="shared" si="51"/>
        <v>1.2402903574121108E-12</v>
      </c>
      <c r="P262" s="39">
        <f t="shared" si="51"/>
        <v>9.7139717221862133E-12</v>
      </c>
      <c r="Q262" s="39">
        <f t="shared" si="51"/>
        <v>6.9092509285714851E-11</v>
      </c>
      <c r="R262" s="39">
        <f t="shared" si="51"/>
        <v>4.4799188194948724E-10</v>
      </c>
      <c r="S262" s="39">
        <f t="shared" si="51"/>
        <v>2.656508088366434E-9</v>
      </c>
      <c r="T262" s="39">
        <f t="shared" si="51"/>
        <v>1.4445842717966591E-8</v>
      </c>
      <c r="U262" s="39">
        <f t="shared" si="51"/>
        <v>7.2206706918054263E-8</v>
      </c>
      <c r="V262" s="39">
        <f t="shared" si="51"/>
        <v>3.3241091170076562E-7</v>
      </c>
      <c r="W262" s="37">
        <v>0.74099999999999999</v>
      </c>
    </row>
    <row r="263" spans="2:23" x14ac:dyDescent="0.25">
      <c r="B263" s="39">
        <f t="shared" ref="B263:K272" si="52">_xlfn.HYPGEOM.DIST(B$2,comau,tongtheN*$W263,tongtheN,TRUE)</f>
        <v>3.0730131174205525E-30</v>
      </c>
      <c r="C263" s="39">
        <f t="shared" si="52"/>
        <v>4.5501787331737411E-28</v>
      </c>
      <c r="D263" s="39">
        <f t="shared" si="52"/>
        <v>3.299380192250294E-26</v>
      </c>
      <c r="E263" s="39">
        <f t="shared" si="52"/>
        <v>1.5615099055222743E-24</v>
      </c>
      <c r="F263" s="39">
        <f t="shared" si="52"/>
        <v>5.4242716852612197E-23</v>
      </c>
      <c r="G263" s="39">
        <f t="shared" si="52"/>
        <v>1.4745773315529217E-21</v>
      </c>
      <c r="H263" s="39">
        <f t="shared" si="52"/>
        <v>3.2663368355384188E-20</v>
      </c>
      <c r="I263" s="39">
        <f t="shared" si="52"/>
        <v>6.0611849813383004E-19</v>
      </c>
      <c r="J263" s="39">
        <f t="shared" si="52"/>
        <v>9.6140280324212449E-18</v>
      </c>
      <c r="K263" s="39">
        <f t="shared" si="52"/>
        <v>1.3235142913540767E-16</v>
      </c>
      <c r="L263" s="39">
        <f t="shared" ref="L263:V272" si="53">_xlfn.HYPGEOM.DIST(L$2,comau,tongtheN*$W263,tongtheN,TRUE)</f>
        <v>1.6002873813538404E-15</v>
      </c>
      <c r="M263" s="39">
        <f t="shared" si="53"/>
        <v>1.7157117958413362E-14</v>
      </c>
      <c r="N263" s="39">
        <f t="shared" si="53"/>
        <v>1.6437201264912973E-13</v>
      </c>
      <c r="O263" s="39">
        <f t="shared" si="53"/>
        <v>1.4161865970196191E-12</v>
      </c>
      <c r="P263" s="39">
        <f t="shared" si="53"/>
        <v>1.1031481864645012E-11</v>
      </c>
      <c r="Q263" s="39">
        <f t="shared" si="53"/>
        <v>7.8039055934604659E-11</v>
      </c>
      <c r="R263" s="39">
        <f t="shared" si="53"/>
        <v>5.0326843489819135E-10</v>
      </c>
      <c r="S263" s="39">
        <f t="shared" si="53"/>
        <v>2.9682065402409973E-9</v>
      </c>
      <c r="T263" s="39">
        <f t="shared" si="53"/>
        <v>1.6054053823410578E-8</v>
      </c>
      <c r="U263" s="39">
        <f t="shared" si="53"/>
        <v>7.9814952617755728E-8</v>
      </c>
      <c r="V263" s="39">
        <f t="shared" si="53"/>
        <v>3.6547159198822837E-7</v>
      </c>
      <c r="W263" s="37">
        <v>0.74</v>
      </c>
    </row>
    <row r="264" spans="2:23" x14ac:dyDescent="0.25">
      <c r="B264" s="39">
        <f t="shared" si="52"/>
        <v>3.7649097466230506E-30</v>
      </c>
      <c r="C264" s="39">
        <f t="shared" si="52"/>
        <v>5.5440881808685198E-28</v>
      </c>
      <c r="D264" s="39">
        <f t="shared" si="52"/>
        <v>3.9980437069261495E-26</v>
      </c>
      <c r="E264" s="39">
        <f t="shared" si="52"/>
        <v>1.8818087198155141E-24</v>
      </c>
      <c r="F264" s="39">
        <f t="shared" si="52"/>
        <v>6.5011451463868139E-23</v>
      </c>
      <c r="G264" s="39">
        <f t="shared" si="52"/>
        <v>1.7576641876684575E-21</v>
      </c>
      <c r="H264" s="39">
        <f t="shared" si="52"/>
        <v>3.8721446219569273E-20</v>
      </c>
      <c r="I264" s="39">
        <f t="shared" si="52"/>
        <v>7.1461615593168749E-19</v>
      </c>
      <c r="J264" s="39">
        <f t="shared" si="52"/>
        <v>1.1273218782804931E-17</v>
      </c>
      <c r="K264" s="39">
        <f t="shared" si="52"/>
        <v>1.5434805410514832E-16</v>
      </c>
      <c r="L264" s="39">
        <f t="shared" si="53"/>
        <v>1.8561084674101365E-15</v>
      </c>
      <c r="M264" s="39">
        <f t="shared" si="53"/>
        <v>1.9791814770604659E-14</v>
      </c>
      <c r="N264" s="39">
        <f t="shared" si="53"/>
        <v>1.885855170350255E-13</v>
      </c>
      <c r="O264" s="39">
        <f t="shared" si="53"/>
        <v>1.6160085118812772E-12</v>
      </c>
      <c r="P264" s="39">
        <f t="shared" si="53"/>
        <v>1.2519976582305145E-11</v>
      </c>
      <c r="Q264" s="39">
        <f t="shared" si="53"/>
        <v>8.8091151209161215E-11</v>
      </c>
      <c r="R264" s="39">
        <f t="shared" si="53"/>
        <v>5.6503465388902211E-10</v>
      </c>
      <c r="S264" s="39">
        <f t="shared" si="53"/>
        <v>3.3145880259958639E-9</v>
      </c>
      <c r="T264" s="39">
        <f t="shared" si="53"/>
        <v>1.7831408511315042E-8</v>
      </c>
      <c r="U264" s="39">
        <f t="shared" si="53"/>
        <v>8.8177289454813056E-8</v>
      </c>
      <c r="V264" s="39">
        <f t="shared" si="53"/>
        <v>4.0160991966543695E-7</v>
      </c>
      <c r="W264" s="37">
        <v>0.73899999999999999</v>
      </c>
    </row>
    <row r="265" spans="2:23" x14ac:dyDescent="0.25">
      <c r="B265" s="39">
        <f t="shared" si="52"/>
        <v>4.6088011695085784E-30</v>
      </c>
      <c r="C265" s="39">
        <f t="shared" si="52"/>
        <v>6.7496555130357306E-28</v>
      </c>
      <c r="D265" s="39">
        <f t="shared" si="52"/>
        <v>4.8408215099127707E-26</v>
      </c>
      <c r="E265" s="39">
        <f t="shared" si="52"/>
        <v>2.2660480383537442E-24</v>
      </c>
      <c r="F265" s="39">
        <f t="shared" si="52"/>
        <v>7.7858804812263378E-23</v>
      </c>
      <c r="G265" s="39">
        <f t="shared" si="52"/>
        <v>2.0935350234327126E-21</v>
      </c>
      <c r="H265" s="39">
        <f t="shared" si="52"/>
        <v>4.5869570691631482E-20</v>
      </c>
      <c r="I265" s="39">
        <f t="shared" si="52"/>
        <v>8.4193226368938609E-19</v>
      </c>
      <c r="J265" s="39">
        <f t="shared" si="52"/>
        <v>1.3209489646444981E-17</v>
      </c>
      <c r="K265" s="39">
        <f t="shared" si="52"/>
        <v>1.7987704866167476E-16</v>
      </c>
      <c r="L265" s="39">
        <f t="shared" si="53"/>
        <v>2.1513809194221058E-15</v>
      </c>
      <c r="M265" s="39">
        <f t="shared" si="53"/>
        <v>2.2816131224848576E-14</v>
      </c>
      <c r="N265" s="39">
        <f t="shared" si="53"/>
        <v>2.162272514460036E-13</v>
      </c>
      <c r="O265" s="39">
        <f t="shared" si="53"/>
        <v>1.8428710940825054E-12</v>
      </c>
      <c r="P265" s="39">
        <f t="shared" si="53"/>
        <v>1.4200637972185029E-11</v>
      </c>
      <c r="Q265" s="39">
        <f t="shared" si="53"/>
        <v>9.9378806746618435E-11</v>
      </c>
      <c r="R265" s="39">
        <f t="shared" si="53"/>
        <v>6.3401310660746912E-10</v>
      </c>
      <c r="S265" s="39">
        <f t="shared" si="53"/>
        <v>3.6992979895714739E-9</v>
      </c>
      <c r="T265" s="39">
        <f t="shared" si="53"/>
        <v>1.9794634298630768E-8</v>
      </c>
      <c r="U265" s="39">
        <f t="shared" si="53"/>
        <v>9.7363623509289432E-8</v>
      </c>
      <c r="V265" s="39">
        <f t="shared" si="53"/>
        <v>4.4109218900070572E-7</v>
      </c>
      <c r="W265" s="37">
        <v>0.73799999999999999</v>
      </c>
    </row>
    <row r="266" spans="2:23" x14ac:dyDescent="0.25">
      <c r="B266" s="39">
        <f t="shared" si="52"/>
        <v>5.4514499660868171E-30</v>
      </c>
      <c r="C266" s="39">
        <f t="shared" si="52"/>
        <v>7.9474113830747926E-28</v>
      </c>
      <c r="D266" s="39">
        <f t="shared" si="52"/>
        <v>5.6739411442431685E-26</v>
      </c>
      <c r="E266" s="39">
        <f t="shared" si="52"/>
        <v>2.6439804746017365E-24</v>
      </c>
      <c r="F266" s="39">
        <f t="shared" si="52"/>
        <v>9.0431973793687449E-23</v>
      </c>
      <c r="G266" s="39">
        <f t="shared" si="52"/>
        <v>2.4205914853810853E-21</v>
      </c>
      <c r="H266" s="39">
        <f t="shared" si="52"/>
        <v>5.2795252529871871E-20</v>
      </c>
      <c r="I266" s="39">
        <f t="shared" si="52"/>
        <v>9.6466895388105762E-19</v>
      </c>
      <c r="J266" s="39">
        <f t="shared" si="52"/>
        <v>1.5066774092916319E-17</v>
      </c>
      <c r="K266" s="39">
        <f t="shared" si="52"/>
        <v>2.0424213252300577E-16</v>
      </c>
      <c r="L266" s="39">
        <f t="shared" si="53"/>
        <v>2.4317819780373021E-15</v>
      </c>
      <c r="M266" s="39">
        <f t="shared" si="53"/>
        <v>2.5673768474718853E-14</v>
      </c>
      <c r="N266" s="39">
        <f t="shared" si="53"/>
        <v>2.4221501648278978E-13</v>
      </c>
      <c r="O266" s="39">
        <f t="shared" si="53"/>
        <v>2.0550933443219352E-12</v>
      </c>
      <c r="P266" s="39">
        <f t="shared" si="53"/>
        <v>1.576498569860541E-11</v>
      </c>
      <c r="Q266" s="39">
        <f t="shared" si="53"/>
        <v>1.0983280618968357E-10</v>
      </c>
      <c r="R266" s="39">
        <f t="shared" si="53"/>
        <v>6.9757816486274766E-10</v>
      </c>
      <c r="S266" s="39">
        <f t="shared" si="53"/>
        <v>4.0520466178693607E-9</v>
      </c>
      <c r="T266" s="39">
        <f t="shared" si="53"/>
        <v>2.1585774860387659E-8</v>
      </c>
      <c r="U266" s="39">
        <f t="shared" si="53"/>
        <v>1.0570292725830531E-7</v>
      </c>
      <c r="V266" s="39">
        <f t="shared" si="53"/>
        <v>4.7675523419688594E-7</v>
      </c>
      <c r="W266" s="37">
        <v>0.73699999999999999</v>
      </c>
    </row>
    <row r="267" spans="2:23" x14ac:dyDescent="0.25">
      <c r="B267" s="39">
        <f t="shared" si="52"/>
        <v>6.6634451685685171E-30</v>
      </c>
      <c r="C267" s="39">
        <f t="shared" si="52"/>
        <v>9.6614526475676084E-28</v>
      </c>
      <c r="D267" s="39">
        <f t="shared" si="52"/>
        <v>6.8601476827442949E-26</v>
      </c>
      <c r="E267" s="39">
        <f t="shared" si="52"/>
        <v>3.1793681840902984E-24</v>
      </c>
      <c r="F267" s="39">
        <f t="shared" si="52"/>
        <v>1.0815351848695069E-22</v>
      </c>
      <c r="G267" s="39">
        <f t="shared" si="52"/>
        <v>2.8792436543355867E-21</v>
      </c>
      <c r="H267" s="39">
        <f t="shared" si="52"/>
        <v>6.2458619020999556E-20</v>
      </c>
      <c r="I267" s="39">
        <f t="shared" si="52"/>
        <v>1.1350600194209105E-18</v>
      </c>
      <c r="J267" s="39">
        <f t="shared" si="52"/>
        <v>1.7632194987311818E-17</v>
      </c>
      <c r="K267" s="39">
        <f t="shared" si="52"/>
        <v>2.3772766479525475E-16</v>
      </c>
      <c r="L267" s="39">
        <f t="shared" si="53"/>
        <v>2.8152060097060651E-15</v>
      </c>
      <c r="M267" s="39">
        <f t="shared" si="53"/>
        <v>2.9561698636844247E-14</v>
      </c>
      <c r="N267" s="39">
        <f t="shared" si="53"/>
        <v>2.7739480745936314E-13</v>
      </c>
      <c r="O267" s="39">
        <f t="shared" si="53"/>
        <v>2.3409376156505881E-12</v>
      </c>
      <c r="P267" s="39">
        <f t="shared" si="53"/>
        <v>1.7861449720347157E-11</v>
      </c>
      <c r="Q267" s="39">
        <f t="shared" si="53"/>
        <v>1.2377250582577867E-10</v>
      </c>
      <c r="R267" s="39">
        <f t="shared" si="53"/>
        <v>7.819130970353699E-10</v>
      </c>
      <c r="S267" s="39">
        <f t="shared" si="53"/>
        <v>4.5177118054997976E-9</v>
      </c>
      <c r="T267" s="39">
        <f t="shared" si="53"/>
        <v>2.3938432720027998E-8</v>
      </c>
      <c r="U267" s="39">
        <f t="shared" si="53"/>
        <v>1.1660178139364664E-7</v>
      </c>
      <c r="V267" s="39">
        <f t="shared" si="53"/>
        <v>5.2313117029812469E-7</v>
      </c>
      <c r="W267" s="37">
        <v>0.73599999999999999</v>
      </c>
    </row>
    <row r="268" spans="2:23" x14ac:dyDescent="0.25">
      <c r="B268" s="39">
        <f t="shared" si="52"/>
        <v>8.1383606156924918E-30</v>
      </c>
      <c r="C268" s="39">
        <f t="shared" si="52"/>
        <v>1.1735912195769282E-27</v>
      </c>
      <c r="D268" s="39">
        <f t="shared" si="52"/>
        <v>8.2879317580164424E-26</v>
      </c>
      <c r="E268" s="39">
        <f t="shared" si="52"/>
        <v>3.8202680593571515E-24</v>
      </c>
      <c r="F268" s="39">
        <f t="shared" si="52"/>
        <v>1.2925164922758712E-22</v>
      </c>
      <c r="G268" s="39">
        <f t="shared" si="52"/>
        <v>3.4223032790025927E-21</v>
      </c>
      <c r="H268" s="39">
        <f t="shared" si="52"/>
        <v>7.3837910315280084E-20</v>
      </c>
      <c r="I268" s="39">
        <f t="shared" si="52"/>
        <v>1.3346125886791039E-18</v>
      </c>
      <c r="J268" s="39">
        <f t="shared" si="52"/>
        <v>2.062028662438102E-17</v>
      </c>
      <c r="K268" s="39">
        <f t="shared" si="52"/>
        <v>2.7651753332272035E-16</v>
      </c>
      <c r="L268" s="39">
        <f t="shared" si="53"/>
        <v>3.2569465745558536E-15</v>
      </c>
      <c r="M268" s="39">
        <f t="shared" si="53"/>
        <v>3.4016561027821967E-14</v>
      </c>
      <c r="N268" s="39">
        <f t="shared" si="53"/>
        <v>3.1748498784755922E-13</v>
      </c>
      <c r="O268" s="39">
        <f t="shared" si="53"/>
        <v>2.6649071684021394E-12</v>
      </c>
      <c r="P268" s="39">
        <f t="shared" si="53"/>
        <v>2.0224609539803799E-11</v>
      </c>
      <c r="Q268" s="39">
        <f t="shared" si="53"/>
        <v>1.3940006311578514E-10</v>
      </c>
      <c r="R268" s="39">
        <f t="shared" si="53"/>
        <v>8.7594564686943511E-10</v>
      </c>
      <c r="S268" s="39">
        <f t="shared" si="53"/>
        <v>5.0341026548164835E-9</v>
      </c>
      <c r="T268" s="39">
        <f t="shared" si="53"/>
        <v>2.6533201204484118E-8</v>
      </c>
      <c r="U268" s="39">
        <f t="shared" si="53"/>
        <v>1.2855697949228333E-7</v>
      </c>
      <c r="V268" s="39">
        <f t="shared" si="53"/>
        <v>5.7372595359873543E-7</v>
      </c>
      <c r="W268" s="37">
        <v>0.73499999999999999</v>
      </c>
    </row>
    <row r="269" spans="2:23" x14ac:dyDescent="0.25">
      <c r="B269" s="39">
        <f t="shared" si="52"/>
        <v>9.9318262425333017E-30</v>
      </c>
      <c r="C269" s="39">
        <f t="shared" si="52"/>
        <v>1.4244646547245556E-27</v>
      </c>
      <c r="D269" s="39">
        <f t="shared" si="52"/>
        <v>1.0005195700024186E-25</v>
      </c>
      <c r="E269" s="39">
        <f t="shared" si="52"/>
        <v>4.5869064305640795E-24</v>
      </c>
      <c r="F269" s="39">
        <f t="shared" si="52"/>
        <v>1.5435150512150228E-22</v>
      </c>
      <c r="G269" s="39">
        <f t="shared" si="52"/>
        <v>4.0648469956686468E-21</v>
      </c>
      <c r="H269" s="39">
        <f t="shared" si="52"/>
        <v>8.7228488510240381E-20</v>
      </c>
      <c r="I269" s="39">
        <f t="shared" si="52"/>
        <v>1.5681580427242998E-18</v>
      </c>
      <c r="J269" s="39">
        <f t="shared" si="52"/>
        <v>2.4098362199911083E-17</v>
      </c>
      <c r="K269" s="39">
        <f t="shared" si="52"/>
        <v>3.2142261031846209E-16</v>
      </c>
      <c r="L269" s="39">
        <f t="shared" si="53"/>
        <v>3.7655478916869367E-15</v>
      </c>
      <c r="M269" s="39">
        <f t="shared" si="53"/>
        <v>3.9117834148604021E-14</v>
      </c>
      <c r="N269" s="39">
        <f t="shared" si="53"/>
        <v>3.6314304209197154E-13</v>
      </c>
      <c r="O269" s="39">
        <f t="shared" si="53"/>
        <v>3.031868001240769E-12</v>
      </c>
      <c r="P269" s="39">
        <f t="shared" si="53"/>
        <v>2.2886840662457077E-11</v>
      </c>
      <c r="Q269" s="39">
        <f t="shared" si="53"/>
        <v>1.5690989294748066E-10</v>
      </c>
      <c r="R269" s="39">
        <f t="shared" si="53"/>
        <v>9.8073284246198586E-10</v>
      </c>
      <c r="S269" s="39">
        <f t="shared" si="53"/>
        <v>5.6064355863048849E-9</v>
      </c>
      <c r="T269" s="39">
        <f t="shared" si="53"/>
        <v>2.9393490874577626E-8</v>
      </c>
      <c r="U269" s="39">
        <f t="shared" si="53"/>
        <v>1.416641936786028E-7</v>
      </c>
      <c r="V269" s="39">
        <f t="shared" si="53"/>
        <v>6.2889590294522978E-7</v>
      </c>
      <c r="W269" s="37">
        <v>0.73399999999999999</v>
      </c>
    </row>
    <row r="270" spans="2:23" x14ac:dyDescent="0.25">
      <c r="B270" s="39">
        <f t="shared" si="52"/>
        <v>1.1717734962693945E-29</v>
      </c>
      <c r="C270" s="39">
        <f t="shared" si="52"/>
        <v>1.6730408966197972E-27</v>
      </c>
      <c r="D270" s="39">
        <f t="shared" si="52"/>
        <v>1.1698290766628203E-25</v>
      </c>
      <c r="E270" s="39">
        <f t="shared" si="52"/>
        <v>5.3390050778355948E-24</v>
      </c>
      <c r="F270" s="39">
        <f t="shared" si="52"/>
        <v>1.7885319585402207E-22</v>
      </c>
      <c r="G270" s="39">
        <f t="shared" si="52"/>
        <v>4.6889678365835168E-21</v>
      </c>
      <c r="H270" s="39">
        <f t="shared" si="52"/>
        <v>1.001706590600528E-19</v>
      </c>
      <c r="I270" s="39">
        <f t="shared" si="52"/>
        <v>1.7927641686055112E-18</v>
      </c>
      <c r="J270" s="39">
        <f t="shared" si="52"/>
        <v>2.7426736713720323E-17</v>
      </c>
      <c r="K270" s="39">
        <f t="shared" si="52"/>
        <v>3.6418207074097977E-16</v>
      </c>
      <c r="L270" s="39">
        <f t="shared" si="53"/>
        <v>4.247449583657321E-15</v>
      </c>
      <c r="M270" s="39">
        <f t="shared" si="53"/>
        <v>4.3927383079275156E-14</v>
      </c>
      <c r="N270" s="39">
        <f t="shared" si="53"/>
        <v>4.0597703610341525E-13</v>
      </c>
      <c r="O270" s="39">
        <f t="shared" si="53"/>
        <v>3.3744281859163279E-12</v>
      </c>
      <c r="P270" s="39">
        <f t="shared" si="53"/>
        <v>2.5359757574350815E-11</v>
      </c>
      <c r="Q270" s="39">
        <f t="shared" si="53"/>
        <v>1.7309415447014666E-10</v>
      </c>
      <c r="R270" s="39">
        <f t="shared" si="53"/>
        <v>1.0771084145446984E-9</v>
      </c>
      <c r="S270" s="39">
        <f t="shared" si="53"/>
        <v>6.1302239798219749E-9</v>
      </c>
      <c r="T270" s="39">
        <f t="shared" si="53"/>
        <v>3.1998241374818446E-8</v>
      </c>
      <c r="U270" s="39">
        <f t="shared" si="53"/>
        <v>1.5354144861284427E-7</v>
      </c>
      <c r="V270" s="39">
        <f t="shared" si="53"/>
        <v>6.786419330044192E-7</v>
      </c>
      <c r="W270" s="37">
        <v>0.73299999999999998</v>
      </c>
    </row>
    <row r="271" spans="2:23" x14ac:dyDescent="0.25">
      <c r="B271" s="39">
        <f t="shared" si="52"/>
        <v>1.4279361121338933E-29</v>
      </c>
      <c r="C271" s="39">
        <f t="shared" si="52"/>
        <v>2.0278029096149629E-27</v>
      </c>
      <c r="D271" s="39">
        <f t="shared" si="52"/>
        <v>1.410254896329808E-25</v>
      </c>
      <c r="E271" s="39">
        <f t="shared" si="52"/>
        <v>6.4016743004467029E-24</v>
      </c>
      <c r="F271" s="39">
        <f t="shared" si="52"/>
        <v>2.1329962012438848E-22</v>
      </c>
      <c r="G271" s="39">
        <f t="shared" si="52"/>
        <v>5.5620253155649525E-21</v>
      </c>
      <c r="H271" s="39">
        <f t="shared" si="52"/>
        <v>1.1818459400603817E-19</v>
      </c>
      <c r="I271" s="39">
        <f t="shared" si="52"/>
        <v>2.1038295248877536E-18</v>
      </c>
      <c r="J271" s="39">
        <f t="shared" si="52"/>
        <v>3.2013349426881387E-17</v>
      </c>
      <c r="K271" s="39">
        <f t="shared" si="52"/>
        <v>4.2281251527398416E-16</v>
      </c>
      <c r="L271" s="39">
        <f t="shared" si="53"/>
        <v>4.9049283967934927E-15</v>
      </c>
      <c r="M271" s="39">
        <f t="shared" si="53"/>
        <v>5.0456602295902047E-14</v>
      </c>
      <c r="N271" s="39">
        <f t="shared" si="53"/>
        <v>4.6383728726219297E-13</v>
      </c>
      <c r="O271" s="39">
        <f t="shared" si="53"/>
        <v>3.8348593533110595E-12</v>
      </c>
      <c r="P271" s="39">
        <f t="shared" si="53"/>
        <v>2.8667065921646282E-11</v>
      </c>
      <c r="Q271" s="39">
        <f t="shared" si="53"/>
        <v>1.9463172068167232E-10</v>
      </c>
      <c r="R271" s="39">
        <f t="shared" si="53"/>
        <v>1.2047260001898609E-9</v>
      </c>
      <c r="S271" s="39">
        <f t="shared" si="53"/>
        <v>6.8203691969795048E-9</v>
      </c>
      <c r="T271" s="39">
        <f t="shared" si="53"/>
        <v>3.541325968409233E-8</v>
      </c>
      <c r="U271" s="39">
        <f t="shared" si="53"/>
        <v>1.690362678869558E-7</v>
      </c>
      <c r="V271" s="39">
        <f t="shared" si="53"/>
        <v>7.4321830313490677E-7</v>
      </c>
      <c r="W271" s="37">
        <v>0.73199999999999998</v>
      </c>
    </row>
    <row r="272" spans="2:23" x14ac:dyDescent="0.25">
      <c r="B272" s="39">
        <f t="shared" si="52"/>
        <v>1.7387440583157828E-29</v>
      </c>
      <c r="C272" s="39">
        <f t="shared" si="52"/>
        <v>2.4559123133143754E-27</v>
      </c>
      <c r="D272" s="39">
        <f t="shared" si="52"/>
        <v>1.6988181764705995E-25</v>
      </c>
      <c r="E272" s="39">
        <f t="shared" si="52"/>
        <v>7.6702061512684502E-24</v>
      </c>
      <c r="F272" s="39">
        <f t="shared" si="52"/>
        <v>2.5419664732962037E-22</v>
      </c>
      <c r="G272" s="39">
        <f t="shared" si="52"/>
        <v>6.5929709344882903E-21</v>
      </c>
      <c r="H272" s="39">
        <f t="shared" si="52"/>
        <v>1.3934128978168616E-19</v>
      </c>
      <c r="I272" s="39">
        <f t="shared" si="52"/>
        <v>2.4671904566220833E-18</v>
      </c>
      <c r="J272" s="39">
        <f t="shared" si="52"/>
        <v>3.7342119599797748E-17</v>
      </c>
      <c r="K272" s="39">
        <f t="shared" si="52"/>
        <v>4.9056222526398512E-16</v>
      </c>
      <c r="L272" s="39">
        <f t="shared" si="53"/>
        <v>5.6605708482092039E-15</v>
      </c>
      <c r="M272" s="39">
        <f t="shared" si="53"/>
        <v>5.7920181820404417E-14</v>
      </c>
      <c r="N272" s="39">
        <f t="shared" si="53"/>
        <v>5.2962102599871417E-13</v>
      </c>
      <c r="O272" s="39">
        <f t="shared" si="53"/>
        <v>4.3555218167180115E-12</v>
      </c>
      <c r="P272" s="39">
        <f t="shared" si="53"/>
        <v>3.2386874144760539E-11</v>
      </c>
      <c r="Q272" s="39">
        <f t="shared" si="53"/>
        <v>2.187251038420437E-10</v>
      </c>
      <c r="R272" s="39">
        <f t="shared" si="53"/>
        <v>1.3467193395630963E-9</v>
      </c>
      <c r="S272" s="39">
        <f t="shared" si="53"/>
        <v>7.5841262003289953E-9</v>
      </c>
      <c r="T272" s="39">
        <f t="shared" si="53"/>
        <v>3.9172205097137081E-8</v>
      </c>
      <c r="U272" s="39">
        <f t="shared" si="53"/>
        <v>1.8599989592495809E-7</v>
      </c>
      <c r="V272" s="39">
        <f t="shared" si="53"/>
        <v>8.1353623370564617E-7</v>
      </c>
      <c r="W272" s="37">
        <v>0.73099999999999998</v>
      </c>
    </row>
    <row r="273" spans="2:23" x14ac:dyDescent="0.25">
      <c r="B273" s="39">
        <f t="shared" ref="B273:K282" si="54">_xlfn.HYPGEOM.DIST(B$2,comau,tongtheN*$W273,tongtheN,TRUE)</f>
        <v>2.1155679109770345E-29</v>
      </c>
      <c r="C273" s="39">
        <f t="shared" si="54"/>
        <v>2.9721484514839501E-27</v>
      </c>
      <c r="D273" s="39">
        <f t="shared" si="54"/>
        <v>2.044903407741062E-25</v>
      </c>
      <c r="E273" s="39">
        <f t="shared" si="54"/>
        <v>9.1833936384338575E-24</v>
      </c>
      <c r="F273" s="39">
        <f t="shared" si="54"/>
        <v>3.027180635222874E-22</v>
      </c>
      <c r="G273" s="39">
        <f t="shared" si="54"/>
        <v>7.8095177997662452E-21</v>
      </c>
      <c r="H273" s="39">
        <f t="shared" si="54"/>
        <v>1.641722366944968E-19</v>
      </c>
      <c r="I273" s="39">
        <f t="shared" si="54"/>
        <v>2.8913575934955401E-18</v>
      </c>
      <c r="J273" s="39">
        <f t="shared" si="54"/>
        <v>4.3529119593352995E-17</v>
      </c>
      <c r="K273" s="39">
        <f t="shared" si="54"/>
        <v>5.6879989288350376E-16</v>
      </c>
      <c r="L273" s="39">
        <f t="shared" ref="L273:V282" si="55">_xlfn.HYPGEOM.DIST(L$2,comau,tongtheN*$W273,tongtheN,TRUE)</f>
        <v>6.5284936936187943E-15</v>
      </c>
      <c r="M273" s="39">
        <f t="shared" si="55"/>
        <v>6.6446651273415277E-14</v>
      </c>
      <c r="N273" s="39">
        <f t="shared" si="55"/>
        <v>6.0436891257406221E-13</v>
      </c>
      <c r="O273" s="39">
        <f t="shared" si="55"/>
        <v>4.9439533090283101E-12</v>
      </c>
      <c r="P273" s="39">
        <f t="shared" si="55"/>
        <v>3.6568261915818153E-11</v>
      </c>
      <c r="Q273" s="39">
        <f t="shared" si="55"/>
        <v>2.4566270499850375E-10</v>
      </c>
      <c r="R273" s="39">
        <f t="shared" si="55"/>
        <v>1.5046226807491234E-9</v>
      </c>
      <c r="S273" s="39">
        <f t="shared" si="55"/>
        <v>8.4289025473775679E-9</v>
      </c>
      <c r="T273" s="39">
        <f t="shared" si="55"/>
        <v>4.3307597525837346E-8</v>
      </c>
      <c r="U273" s="39">
        <f t="shared" si="55"/>
        <v>2.0456231589765593E-7</v>
      </c>
      <c r="V273" s="39">
        <f t="shared" si="55"/>
        <v>8.9006911277967152E-7</v>
      </c>
      <c r="W273" s="37">
        <v>0.73</v>
      </c>
    </row>
    <row r="274" spans="2:23" x14ac:dyDescent="0.25">
      <c r="B274" s="39">
        <f t="shared" si="54"/>
        <v>2.5720851166831961E-29</v>
      </c>
      <c r="C274" s="39">
        <f t="shared" si="54"/>
        <v>3.5941916487844335E-27</v>
      </c>
      <c r="D274" s="39">
        <f t="shared" si="54"/>
        <v>2.4596755473449297E-25</v>
      </c>
      <c r="E274" s="39">
        <f t="shared" si="54"/>
        <v>1.0987136437023821E-23</v>
      </c>
      <c r="F274" s="39">
        <f t="shared" si="54"/>
        <v>3.6024505790850608E-22</v>
      </c>
      <c r="G274" s="39">
        <f t="shared" si="54"/>
        <v>9.2440965513375784E-21</v>
      </c>
      <c r="H274" s="39">
        <f t="shared" si="54"/>
        <v>1.9329597706365588E-19</v>
      </c>
      <c r="I274" s="39">
        <f t="shared" si="54"/>
        <v>3.3861809493346855E-18</v>
      </c>
      <c r="J274" s="39">
        <f t="shared" si="54"/>
        <v>5.070794801617399E-17</v>
      </c>
      <c r="K274" s="39">
        <f t="shared" si="54"/>
        <v>6.5909217279884598E-16</v>
      </c>
      <c r="L274" s="39">
        <f t="shared" si="55"/>
        <v>7.5247660718038434E-15</v>
      </c>
      <c r="M274" s="39">
        <f t="shared" si="55"/>
        <v>7.6181505061854063E-14</v>
      </c>
      <c r="N274" s="39">
        <f t="shared" si="55"/>
        <v>6.8925241863366147E-13</v>
      </c>
      <c r="O274" s="39">
        <f t="shared" si="55"/>
        <v>5.6085917756347055E-12</v>
      </c>
      <c r="P274" s="39">
        <f t="shared" si="55"/>
        <v>4.1265863241789494E-11</v>
      </c>
      <c r="Q274" s="39">
        <f t="shared" si="55"/>
        <v>2.7576376213517581E-10</v>
      </c>
      <c r="R274" s="39">
        <f t="shared" si="55"/>
        <v>1.6801247483545045E-9</v>
      </c>
      <c r="S274" s="39">
        <f t="shared" si="55"/>
        <v>9.3628054376721692E-9</v>
      </c>
      <c r="T274" s="39">
        <f t="shared" si="55"/>
        <v>4.7854825473068769E-8</v>
      </c>
      <c r="U274" s="39">
        <f t="shared" si="55"/>
        <v>2.2486416427539204E-7</v>
      </c>
      <c r="V274" s="39">
        <f t="shared" si="55"/>
        <v>9.7332615713289161E-7</v>
      </c>
      <c r="W274" s="37">
        <v>0.72899999999999998</v>
      </c>
    </row>
    <row r="275" spans="2:23" x14ac:dyDescent="0.25">
      <c r="B275" s="39">
        <f t="shared" si="54"/>
        <v>3.0251588056952901E-29</v>
      </c>
      <c r="C275" s="39">
        <f t="shared" si="54"/>
        <v>4.2085156923023207E-27</v>
      </c>
      <c r="D275" s="39">
        <f t="shared" si="54"/>
        <v>2.8672926501735319E-25</v>
      </c>
      <c r="E275" s="39">
        <f t="shared" si="54"/>
        <v>1.2751076643523901E-23</v>
      </c>
      <c r="F275" s="39">
        <f t="shared" si="54"/>
        <v>4.1622699685207447E-22</v>
      </c>
      <c r="G275" s="39">
        <f t="shared" si="54"/>
        <v>1.0633307580654291E-20</v>
      </c>
      <c r="H275" s="39">
        <f t="shared" si="54"/>
        <v>2.2136059462157874E-19</v>
      </c>
      <c r="I275" s="39">
        <f t="shared" si="54"/>
        <v>3.8606751275363078E-18</v>
      </c>
      <c r="J275" s="39">
        <f t="shared" si="54"/>
        <v>5.7558152918355943E-17</v>
      </c>
      <c r="K275" s="39">
        <f t="shared" si="54"/>
        <v>7.4482960409306396E-16</v>
      </c>
      <c r="L275" s="39">
        <f t="shared" si="55"/>
        <v>8.466153439748078E-15</v>
      </c>
      <c r="M275" s="39">
        <f t="shared" si="55"/>
        <v>8.5335079240455269E-14</v>
      </c>
      <c r="N275" s="39">
        <f t="shared" si="55"/>
        <v>7.686772211011454E-13</v>
      </c>
      <c r="O275" s="39">
        <f t="shared" si="55"/>
        <v>6.2274489549460391E-12</v>
      </c>
      <c r="P275" s="39">
        <f t="shared" si="55"/>
        <v>4.5618513856983931E-11</v>
      </c>
      <c r="Q275" s="39">
        <f t="shared" si="55"/>
        <v>3.0351821392793951E-10</v>
      </c>
      <c r="R275" s="39">
        <f t="shared" si="55"/>
        <v>1.8411548098325695E-9</v>
      </c>
      <c r="S275" s="39">
        <f t="shared" si="55"/>
        <v>1.0215514381013508E-8</v>
      </c>
      <c r="T275" s="39">
        <f t="shared" si="55"/>
        <v>5.1986449182187153E-8</v>
      </c>
      <c r="U275" s="39">
        <f t="shared" si="55"/>
        <v>2.4322046278276518E-7</v>
      </c>
      <c r="V275" s="39">
        <f t="shared" si="55"/>
        <v>1.0482373262124867E-6</v>
      </c>
      <c r="W275" s="37">
        <v>0.72799999999999998</v>
      </c>
    </row>
    <row r="276" spans="2:23" x14ac:dyDescent="0.25">
      <c r="B276" s="39">
        <f t="shared" si="54"/>
        <v>3.6728471296701672E-29</v>
      </c>
      <c r="C276" s="39">
        <f t="shared" si="54"/>
        <v>5.0823774789418811E-27</v>
      </c>
      <c r="D276" s="39">
        <f t="shared" si="54"/>
        <v>3.4442541842201452E-25</v>
      </c>
      <c r="E276" s="39">
        <f t="shared" si="54"/>
        <v>1.5235518075601871E-23</v>
      </c>
      <c r="F276" s="39">
        <f t="shared" si="54"/>
        <v>4.9468630880101573E-22</v>
      </c>
      <c r="G276" s="39">
        <f t="shared" si="54"/>
        <v>1.2570700234101771E-20</v>
      </c>
      <c r="H276" s="39">
        <f t="shared" si="54"/>
        <v>2.603065741428434E-19</v>
      </c>
      <c r="I276" s="39">
        <f t="shared" si="54"/>
        <v>4.5158989454317776E-18</v>
      </c>
      <c r="J276" s="39">
        <f t="shared" si="54"/>
        <v>6.6970953141856067E-17</v>
      </c>
      <c r="K276" s="39">
        <f t="shared" si="54"/>
        <v>8.6206086683880252E-16</v>
      </c>
      <c r="L276" s="39">
        <f t="shared" si="55"/>
        <v>9.7470092433605395E-15</v>
      </c>
      <c r="M276" s="39">
        <f t="shared" si="55"/>
        <v>9.7728257010872329E-14</v>
      </c>
      <c r="N276" s="39">
        <f t="shared" si="55"/>
        <v>8.7568353817389066E-13</v>
      </c>
      <c r="O276" s="39">
        <f t="shared" si="55"/>
        <v>7.0571205162312906E-12</v>
      </c>
      <c r="P276" s="39">
        <f t="shared" si="55"/>
        <v>5.1425265766176111E-11</v>
      </c>
      <c r="Q276" s="39">
        <f t="shared" si="55"/>
        <v>3.4036308185002456E-10</v>
      </c>
      <c r="R276" s="39">
        <f t="shared" si="55"/>
        <v>2.0538792496768182E-9</v>
      </c>
      <c r="S276" s="39">
        <f t="shared" si="55"/>
        <v>1.1336444446963013E-8</v>
      </c>
      <c r="T276" s="39">
        <f t="shared" si="55"/>
        <v>5.7391091037000252E-8</v>
      </c>
      <c r="U276" s="39">
        <f t="shared" si="55"/>
        <v>2.6711512618235579E-7</v>
      </c>
      <c r="V276" s="39">
        <f t="shared" si="55"/>
        <v>1.1452733991204949E-6</v>
      </c>
      <c r="W276" s="37">
        <v>0.72699999999999998</v>
      </c>
    </row>
    <row r="277" spans="2:23" x14ac:dyDescent="0.25">
      <c r="B277" s="39">
        <f t="shared" si="54"/>
        <v>4.4558631917775462E-29</v>
      </c>
      <c r="C277" s="39">
        <f t="shared" si="54"/>
        <v>6.1331711709109877E-27</v>
      </c>
      <c r="D277" s="39">
        <f t="shared" si="54"/>
        <v>4.1343233771132954E-25</v>
      </c>
      <c r="E277" s="39">
        <f t="shared" si="54"/>
        <v>1.819112433481007E-23</v>
      </c>
      <c r="F277" s="39">
        <f t="shared" si="54"/>
        <v>5.8752634618517805E-22</v>
      </c>
      <c r="G277" s="39">
        <f t="shared" si="54"/>
        <v>1.4850949988841652E-20</v>
      </c>
      <c r="H277" s="39">
        <f t="shared" si="54"/>
        <v>3.0590000957215233E-19</v>
      </c>
      <c r="I277" s="39">
        <f t="shared" si="54"/>
        <v>5.2788650361841898E-18</v>
      </c>
      <c r="J277" s="39">
        <f t="shared" si="54"/>
        <v>7.7873080039013297E-17</v>
      </c>
      <c r="K277" s="39">
        <f t="shared" si="54"/>
        <v>9.9711678502610134E-16</v>
      </c>
      <c r="L277" s="39">
        <f t="shared" si="55"/>
        <v>1.1214749330556393E-14</v>
      </c>
      <c r="M277" s="39">
        <f t="shared" si="55"/>
        <v>1.1185399951059026E-13</v>
      </c>
      <c r="N277" s="39">
        <f t="shared" si="55"/>
        <v>9.9699970038876612E-13</v>
      </c>
      <c r="O277" s="39">
        <f t="shared" si="55"/>
        <v>7.9927352223201862E-12</v>
      </c>
      <c r="P277" s="39">
        <f t="shared" si="55"/>
        <v>5.7938649170003133E-11</v>
      </c>
      <c r="Q277" s="39">
        <f t="shared" si="55"/>
        <v>3.8147179272237298E-10</v>
      </c>
      <c r="R277" s="39">
        <f t="shared" si="55"/>
        <v>2.2899589628971622E-9</v>
      </c>
      <c r="S277" s="39">
        <f t="shared" si="55"/>
        <v>1.2573830359521036E-8</v>
      </c>
      <c r="T277" s="39">
        <f t="shared" si="55"/>
        <v>6.3325532901192992E-8</v>
      </c>
      <c r="U277" s="39">
        <f t="shared" si="55"/>
        <v>2.9321275960892803E-7</v>
      </c>
      <c r="V277" s="39">
        <f t="shared" si="55"/>
        <v>1.2506930588466462E-6</v>
      </c>
      <c r="W277" s="37">
        <v>0.72599999999999998</v>
      </c>
    </row>
    <row r="278" spans="2:23" x14ac:dyDescent="0.25">
      <c r="B278" s="39">
        <f t="shared" si="54"/>
        <v>5.4017897073175638E-29</v>
      </c>
      <c r="C278" s="39">
        <f t="shared" si="54"/>
        <v>7.3958127562705026E-27</v>
      </c>
      <c r="D278" s="39">
        <f t="shared" si="54"/>
        <v>4.9590920001780894E-25</v>
      </c>
      <c r="E278" s="39">
        <f t="shared" si="54"/>
        <v>2.1704817896097846E-23</v>
      </c>
      <c r="F278" s="39">
        <f t="shared" si="54"/>
        <v>6.9730840700133177E-22</v>
      </c>
      <c r="G278" s="39">
        <f t="shared" si="54"/>
        <v>1.7532946502077823E-20</v>
      </c>
      <c r="H278" s="39">
        <f t="shared" si="54"/>
        <v>3.5924071776060283E-19</v>
      </c>
      <c r="I278" s="39">
        <f t="shared" si="54"/>
        <v>6.1667226318783598E-18</v>
      </c>
      <c r="J278" s="39">
        <f t="shared" si="54"/>
        <v>9.0492281548876126E-17</v>
      </c>
      <c r="K278" s="39">
        <f t="shared" si="54"/>
        <v>1.152612266354555E-15</v>
      </c>
      <c r="L278" s="39">
        <f t="shared" si="55"/>
        <v>1.2895633410135291E-14</v>
      </c>
      <c r="M278" s="39">
        <f t="shared" si="55"/>
        <v>1.2794508308346987E-13</v>
      </c>
      <c r="N278" s="39">
        <f t="shared" si="55"/>
        <v>1.1344605446878163E-12</v>
      </c>
      <c r="O278" s="39">
        <f t="shared" si="55"/>
        <v>9.0472305549009203E-12</v>
      </c>
      <c r="P278" s="39">
        <f t="shared" si="55"/>
        <v>6.5240660159689471E-11</v>
      </c>
      <c r="Q278" s="39">
        <f t="shared" si="55"/>
        <v>4.2731329594202776E-10</v>
      </c>
      <c r="R278" s="39">
        <f t="shared" si="55"/>
        <v>2.551821728475277E-9</v>
      </c>
      <c r="S278" s="39">
        <f t="shared" si="55"/>
        <v>1.3939077486625085E-8</v>
      </c>
      <c r="T278" s="39">
        <f t="shared" si="55"/>
        <v>6.9838485820632325E-8</v>
      </c>
      <c r="U278" s="39">
        <f t="shared" si="55"/>
        <v>3.2170273484493288E-7</v>
      </c>
      <c r="V278" s="39">
        <f t="shared" si="55"/>
        <v>1.3651669302965477E-6</v>
      </c>
      <c r="W278" s="37">
        <v>0.72499999999999998</v>
      </c>
    </row>
    <row r="279" spans="2:23" x14ac:dyDescent="0.25">
      <c r="B279" s="39">
        <f t="shared" si="54"/>
        <v>6.3381734032327232E-29</v>
      </c>
      <c r="C279" s="39">
        <f t="shared" si="54"/>
        <v>8.6396455510524059E-27</v>
      </c>
      <c r="D279" s="39">
        <f t="shared" si="54"/>
        <v>5.76762931223705E-25</v>
      </c>
      <c r="E279" s="39">
        <f t="shared" si="54"/>
        <v>2.5132640905737779E-23</v>
      </c>
      <c r="F279" s="39">
        <f t="shared" si="54"/>
        <v>8.0388774191302204E-22</v>
      </c>
      <c r="G279" s="39">
        <f t="shared" si="54"/>
        <v>2.012406636294414E-20</v>
      </c>
      <c r="H279" s="39">
        <f t="shared" si="54"/>
        <v>4.1052405582217756E-19</v>
      </c>
      <c r="I279" s="39">
        <f t="shared" si="54"/>
        <v>7.0161956382669476E-18</v>
      </c>
      <c r="J279" s="39">
        <f t="shared" si="54"/>
        <v>1.025073831734504E-16</v>
      </c>
      <c r="K279" s="39">
        <f t="shared" si="54"/>
        <v>1.2999463391253943E-15</v>
      </c>
      <c r="L279" s="39">
        <f t="shared" si="55"/>
        <v>1.4480576146729349E-14</v>
      </c>
      <c r="M279" s="39">
        <f t="shared" si="55"/>
        <v>1.4304421693645654E-13</v>
      </c>
      <c r="N279" s="39">
        <f t="shared" si="55"/>
        <v>1.2628227662875482E-12</v>
      </c>
      <c r="O279" s="39">
        <f t="shared" si="55"/>
        <v>1.00271601916066E-11</v>
      </c>
      <c r="P279" s="39">
        <f t="shared" si="55"/>
        <v>7.1993481574478475E-11</v>
      </c>
      <c r="Q279" s="39">
        <f t="shared" si="55"/>
        <v>4.6950185786964358E-10</v>
      </c>
      <c r="R279" s="39">
        <f t="shared" si="55"/>
        <v>2.7916515849985188E-9</v>
      </c>
      <c r="S279" s="39">
        <f t="shared" si="55"/>
        <v>1.5183405648765878E-8</v>
      </c>
      <c r="T279" s="39">
        <f t="shared" si="55"/>
        <v>7.5745884671557391E-8</v>
      </c>
      <c r="U279" s="39">
        <f t="shared" si="55"/>
        <v>3.4741886749444356E-7</v>
      </c>
      <c r="V279" s="39">
        <f t="shared" si="55"/>
        <v>1.4679959555801003E-6</v>
      </c>
      <c r="W279" s="37">
        <v>0.72399999999999998</v>
      </c>
    </row>
    <row r="280" spans="2:23" x14ac:dyDescent="0.25">
      <c r="B280" s="39">
        <f t="shared" si="54"/>
        <v>7.6733300840761731E-29</v>
      </c>
      <c r="C280" s="39">
        <f t="shared" si="54"/>
        <v>1.0404500245396557E-26</v>
      </c>
      <c r="D280" s="39">
        <f t="shared" si="54"/>
        <v>6.9092366663015736E-25</v>
      </c>
      <c r="E280" s="39">
        <f t="shared" si="54"/>
        <v>2.9948857374939921E-23</v>
      </c>
      <c r="F280" s="39">
        <f t="shared" si="54"/>
        <v>9.5290367526435018E-22</v>
      </c>
      <c r="G280" s="39">
        <f t="shared" si="54"/>
        <v>2.3729192556216179E-20</v>
      </c>
      <c r="H280" s="39">
        <f t="shared" si="54"/>
        <v>4.8152819926511026E-19</v>
      </c>
      <c r="I280" s="39">
        <f t="shared" si="54"/>
        <v>8.1865910181924011E-18</v>
      </c>
      <c r="J280" s="39">
        <f t="shared" si="54"/>
        <v>1.1898093483247904E-16</v>
      </c>
      <c r="K280" s="39">
        <f t="shared" si="54"/>
        <v>1.500967109410596E-15</v>
      </c>
      <c r="L280" s="39">
        <f t="shared" si="55"/>
        <v>1.6632517467132254E-14</v>
      </c>
      <c r="M280" s="39">
        <f t="shared" si="55"/>
        <v>1.6344510898784484E-13</v>
      </c>
      <c r="N280" s="39">
        <f t="shared" si="55"/>
        <v>1.4354128278270043E-12</v>
      </c>
      <c r="O280" s="39">
        <f t="shared" si="55"/>
        <v>1.1338321266067381E-11</v>
      </c>
      <c r="P280" s="39">
        <f t="shared" si="55"/>
        <v>8.0984940701442215E-11</v>
      </c>
      <c r="Q280" s="39">
        <f t="shared" si="55"/>
        <v>5.2540349719072697E-10</v>
      </c>
      <c r="R280" s="39">
        <f t="shared" si="55"/>
        <v>3.1078932856193454E-9</v>
      </c>
      <c r="S280" s="39">
        <f t="shared" si="55"/>
        <v>1.6816224630590299E-8</v>
      </c>
      <c r="T280" s="39">
        <f t="shared" si="55"/>
        <v>8.3460029305554993E-8</v>
      </c>
      <c r="U280" s="39">
        <f t="shared" si="55"/>
        <v>3.8083734526595534E-7</v>
      </c>
      <c r="V280" s="39">
        <f t="shared" si="55"/>
        <v>1.6009762828765418E-6</v>
      </c>
      <c r="W280" s="37">
        <v>0.72299999999999998</v>
      </c>
    </row>
    <row r="281" spans="2:23" x14ac:dyDescent="0.25">
      <c r="B281" s="39">
        <f t="shared" si="54"/>
        <v>9.2829802256918357E-29</v>
      </c>
      <c r="C281" s="39">
        <f t="shared" si="54"/>
        <v>1.2520912401711137E-26</v>
      </c>
      <c r="D281" s="39">
        <f t="shared" si="54"/>
        <v>8.2709980535115837E-25</v>
      </c>
      <c r="E281" s="39">
        <f t="shared" si="54"/>
        <v>3.5663435186088793E-23</v>
      </c>
      <c r="F281" s="39">
        <f t="shared" si="54"/>
        <v>1.1287793115695037E-21</v>
      </c>
      <c r="G281" s="39">
        <f t="shared" si="54"/>
        <v>2.7961616810130644E-20</v>
      </c>
      <c r="H281" s="39">
        <f t="shared" si="54"/>
        <v>5.6444625108219921E-19</v>
      </c>
      <c r="I281" s="39">
        <f t="shared" si="54"/>
        <v>9.5461422984832697E-18</v>
      </c>
      <c r="J281" s="39">
        <f t="shared" si="54"/>
        <v>1.3801575403606071E-16</v>
      </c>
      <c r="K281" s="39">
        <f t="shared" si="54"/>
        <v>1.7320149357787434E-15</v>
      </c>
      <c r="L281" s="39">
        <f t="shared" si="55"/>
        <v>1.9092838269522735E-14</v>
      </c>
      <c r="M281" s="39">
        <f t="shared" si="55"/>
        <v>1.866463785121933E-13</v>
      </c>
      <c r="N281" s="39">
        <f t="shared" si="55"/>
        <v>1.6306581191019716E-12</v>
      </c>
      <c r="O281" s="39">
        <f t="shared" si="55"/>
        <v>1.2813769379779032E-11</v>
      </c>
      <c r="P281" s="39">
        <f t="shared" si="55"/>
        <v>9.1049669819367718E-11</v>
      </c>
      <c r="Q281" s="39">
        <f t="shared" si="55"/>
        <v>5.8764805623208496E-10</v>
      </c>
      <c r="R281" s="39">
        <f t="shared" si="55"/>
        <v>3.4581623906946614E-9</v>
      </c>
      <c r="S281" s="39">
        <f t="shared" si="55"/>
        <v>1.8615209417888852E-8</v>
      </c>
      <c r="T281" s="39">
        <f t="shared" si="55"/>
        <v>9.1914470152837734E-8</v>
      </c>
      <c r="U281" s="39">
        <f t="shared" si="55"/>
        <v>4.1727012808762902E-7</v>
      </c>
      <c r="V281" s="39">
        <f t="shared" si="55"/>
        <v>1.7451886656001331E-6</v>
      </c>
      <c r="W281" s="37">
        <v>0.72199999999999998</v>
      </c>
    </row>
    <row r="282" spans="2:23" x14ac:dyDescent="0.25">
      <c r="B282" s="39">
        <f t="shared" si="54"/>
        <v>1.122217794066975E-28</v>
      </c>
      <c r="C282" s="39">
        <f t="shared" si="54"/>
        <v>1.5057141440779448E-26</v>
      </c>
      <c r="D282" s="39">
        <f t="shared" si="54"/>
        <v>9.8942569281610602E-25</v>
      </c>
      <c r="E282" s="39">
        <f t="shared" si="54"/>
        <v>4.2439388241976509E-23</v>
      </c>
      <c r="F282" s="39">
        <f t="shared" si="54"/>
        <v>1.3362192173675789E-21</v>
      </c>
      <c r="G282" s="39">
        <f t="shared" si="54"/>
        <v>3.2927278456781808E-20</v>
      </c>
      <c r="H282" s="39">
        <f t="shared" si="54"/>
        <v>6.6121591668474408E-19</v>
      </c>
      <c r="I282" s="39">
        <f t="shared" si="54"/>
        <v>1.1124439839358038E-17</v>
      </c>
      <c r="J282" s="39">
        <f t="shared" si="54"/>
        <v>1.5999668551131774E-16</v>
      </c>
      <c r="K282" s="39">
        <f t="shared" si="54"/>
        <v>1.9974169319446981E-15</v>
      </c>
      <c r="L282" s="39">
        <f t="shared" si="55"/>
        <v>2.1904091119976942E-14</v>
      </c>
      <c r="M282" s="39">
        <f t="shared" si="55"/>
        <v>2.1301738471440501E-13</v>
      </c>
      <c r="N282" s="39">
        <f t="shared" si="55"/>
        <v>1.8514093886162166E-12</v>
      </c>
      <c r="O282" s="39">
        <f t="shared" si="55"/>
        <v>1.4473185017030463E-11</v>
      </c>
      <c r="P282" s="39">
        <f t="shared" si="55"/>
        <v>1.0230978487885179E-10</v>
      </c>
      <c r="Q282" s="39">
        <f t="shared" si="55"/>
        <v>6.5691922837740471E-10</v>
      </c>
      <c r="R282" s="39">
        <f t="shared" si="55"/>
        <v>3.8459235284940682E-9</v>
      </c>
      <c r="S282" s="39">
        <f t="shared" si="55"/>
        <v>2.0596290023649932E-8</v>
      </c>
      <c r="T282" s="39">
        <f t="shared" si="55"/>
        <v>1.0117578506978324E-7</v>
      </c>
      <c r="U282" s="39">
        <f t="shared" si="55"/>
        <v>4.5697045761288198E-7</v>
      </c>
      <c r="V282" s="39">
        <f t="shared" si="55"/>
        <v>1.901510347884787E-6</v>
      </c>
      <c r="W282" s="37">
        <v>0.72099999999999997</v>
      </c>
    </row>
    <row r="283" spans="2:23" x14ac:dyDescent="0.25">
      <c r="B283" s="39">
        <f t="shared" ref="B283:K292" si="56">_xlfn.HYPGEOM.DIST(B$2,comau,tongtheN*$W283,tongtheN,TRUE)</f>
        <v>1.3137031602677945E-28</v>
      </c>
      <c r="C283" s="39">
        <f t="shared" si="56"/>
        <v>1.7549479309992532E-26</v>
      </c>
      <c r="D283" s="39">
        <f t="shared" si="56"/>
        <v>1.1481749507602727E-24</v>
      </c>
      <c r="E283" s="39">
        <f t="shared" si="56"/>
        <v>4.9034168115541299E-23</v>
      </c>
      <c r="F283" s="39">
        <f t="shared" si="56"/>
        <v>1.5371417959462797E-21</v>
      </c>
      <c r="G283" s="39">
        <f t="shared" si="56"/>
        <v>3.7713806467630838E-20</v>
      </c>
      <c r="H283" s="39">
        <f t="shared" si="56"/>
        <v>7.5404633065934453E-19</v>
      </c>
      <c r="I283" s="39">
        <f t="shared" si="56"/>
        <v>1.2631213479065354E-17</v>
      </c>
      <c r="J283" s="39">
        <f t="shared" si="56"/>
        <v>1.8088069267128583E-16</v>
      </c>
      <c r="K283" s="39">
        <f t="shared" si="56"/>
        <v>2.2483633795537653E-15</v>
      </c>
      <c r="L283" s="39">
        <f t="shared" ref="L283:V292" si="57">_xlfn.HYPGEOM.DIST(L$2,comau,tongtheN*$W283,tongtheN,TRUE)</f>
        <v>2.4549461096300658E-14</v>
      </c>
      <c r="M283" s="39">
        <f t="shared" si="57"/>
        <v>2.3771320031092346E-13</v>
      </c>
      <c r="N283" s="39">
        <f t="shared" si="57"/>
        <v>2.0571455156537483E-12</v>
      </c>
      <c r="O283" s="39">
        <f t="shared" si="57"/>
        <v>1.6012309409793686E-11</v>
      </c>
      <c r="P283" s="39">
        <f t="shared" si="57"/>
        <v>1.1270355429989604E-10</v>
      </c>
      <c r="Q283" s="39">
        <f t="shared" si="57"/>
        <v>7.2055407569134765E-10</v>
      </c>
      <c r="R283" s="39">
        <f t="shared" si="57"/>
        <v>4.2004261764973923E-9</v>
      </c>
      <c r="S283" s="39">
        <f t="shared" si="57"/>
        <v>2.2398770597411226E-8</v>
      </c>
      <c r="T283" s="39">
        <f t="shared" si="57"/>
        <v>1.0956178496825085E-7</v>
      </c>
      <c r="U283" s="39">
        <f t="shared" si="57"/>
        <v>4.9274635830235464E-7</v>
      </c>
      <c r="V283" s="39">
        <f t="shared" si="57"/>
        <v>2.0417046804532036E-6</v>
      </c>
      <c r="W283" s="37">
        <v>0.72</v>
      </c>
    </row>
    <row r="284" spans="2:23" x14ac:dyDescent="0.25">
      <c r="B284" s="39">
        <f t="shared" si="56"/>
        <v>1.586053299808701E-28</v>
      </c>
      <c r="C284" s="39">
        <f t="shared" si="56"/>
        <v>2.1077144077298558E-26</v>
      </c>
      <c r="D284" s="39">
        <f t="shared" si="56"/>
        <v>1.3717800052340366E-24</v>
      </c>
      <c r="E284" s="39">
        <f t="shared" si="56"/>
        <v>5.8278188151818337E-23</v>
      </c>
      <c r="F284" s="39">
        <f t="shared" si="56"/>
        <v>1.8174147031367932E-21</v>
      </c>
      <c r="G284" s="39">
        <f t="shared" si="56"/>
        <v>4.4358361739801727E-20</v>
      </c>
      <c r="H284" s="39">
        <f t="shared" si="56"/>
        <v>8.8228815132461421E-19</v>
      </c>
      <c r="I284" s="39">
        <f t="shared" si="56"/>
        <v>1.4702702378092194E-17</v>
      </c>
      <c r="J284" s="39">
        <f t="shared" si="56"/>
        <v>2.0945296435638115E-16</v>
      </c>
      <c r="K284" s="39">
        <f t="shared" si="56"/>
        <v>2.5900354362986928E-15</v>
      </c>
      <c r="L284" s="39">
        <f t="shared" si="57"/>
        <v>2.8133836030016488E-14</v>
      </c>
      <c r="M284" s="39">
        <f t="shared" si="57"/>
        <v>2.7101365123197209E-13</v>
      </c>
      <c r="N284" s="39">
        <f t="shared" si="57"/>
        <v>2.3332275562550008E-12</v>
      </c>
      <c r="O284" s="39">
        <f t="shared" si="57"/>
        <v>1.8067742280541905E-11</v>
      </c>
      <c r="P284" s="39">
        <f t="shared" si="57"/>
        <v>1.2651711872638808E-10</v>
      </c>
      <c r="Q284" s="39">
        <f t="shared" si="57"/>
        <v>8.0471914985018945E-10</v>
      </c>
      <c r="R284" s="39">
        <f t="shared" si="57"/>
        <v>4.6670444386212677E-9</v>
      </c>
      <c r="S284" s="39">
        <f t="shared" si="57"/>
        <v>2.4759897358655437E-8</v>
      </c>
      <c r="T284" s="39">
        <f t="shared" si="57"/>
        <v>1.2049407494165182E-7</v>
      </c>
      <c r="U284" s="39">
        <f t="shared" si="57"/>
        <v>5.3916105962709041E-7</v>
      </c>
      <c r="V284" s="39">
        <f t="shared" si="57"/>
        <v>2.2227157975720974E-6</v>
      </c>
      <c r="W284" s="37">
        <v>0.71899999999999997</v>
      </c>
    </row>
    <row r="285" spans="2:23" x14ac:dyDescent="0.25">
      <c r="B285" s="39">
        <f t="shared" si="56"/>
        <v>1.9135118020489636E-28</v>
      </c>
      <c r="C285" s="39">
        <f t="shared" si="56"/>
        <v>2.529633481013119E-26</v>
      </c>
      <c r="D285" s="39">
        <f t="shared" si="56"/>
        <v>1.6378142519752671E-24</v>
      </c>
      <c r="E285" s="39">
        <f t="shared" si="56"/>
        <v>6.9218552495369439E-23</v>
      </c>
      <c r="F285" s="39">
        <f t="shared" si="56"/>
        <v>2.1473797192536963E-21</v>
      </c>
      <c r="G285" s="39">
        <f t="shared" si="56"/>
        <v>5.213997176421565E-20</v>
      </c>
      <c r="H285" s="39">
        <f t="shared" si="56"/>
        <v>1.0316882473101877E-18</v>
      </c>
      <c r="I285" s="39">
        <f t="shared" si="56"/>
        <v>1.7103316519168287E-17</v>
      </c>
      <c r="J285" s="39">
        <f t="shared" si="56"/>
        <v>2.4239147504307734E-16</v>
      </c>
      <c r="K285" s="39">
        <f t="shared" si="56"/>
        <v>2.9818575793232997E-15</v>
      </c>
      <c r="L285" s="39">
        <f t="shared" si="57"/>
        <v>3.2222808230489493E-14</v>
      </c>
      <c r="M285" s="39">
        <f t="shared" si="57"/>
        <v>3.0880330725784586E-13</v>
      </c>
      <c r="N285" s="39">
        <f t="shared" si="57"/>
        <v>2.6448896349210393E-12</v>
      </c>
      <c r="O285" s="39">
        <f t="shared" si="57"/>
        <v>2.0375939794269258E-11</v>
      </c>
      <c r="P285" s="39">
        <f t="shared" si="57"/>
        <v>1.4194833559707912E-10</v>
      </c>
      <c r="Q285" s="39">
        <f t="shared" si="57"/>
        <v>8.9824936934810502E-10</v>
      </c>
      <c r="R285" s="39">
        <f t="shared" si="57"/>
        <v>5.1828764373224342E-9</v>
      </c>
      <c r="S285" s="39">
        <f t="shared" si="57"/>
        <v>2.7356426687404169E-8</v>
      </c>
      <c r="T285" s="39">
        <f t="shared" si="57"/>
        <v>1.3245358335683759E-7</v>
      </c>
      <c r="U285" s="39">
        <f t="shared" si="57"/>
        <v>5.8967216561382887E-7</v>
      </c>
      <c r="V285" s="39">
        <f t="shared" si="57"/>
        <v>2.4186754096555746E-6</v>
      </c>
      <c r="W285" s="37">
        <v>0.71799999999999997</v>
      </c>
    </row>
    <row r="286" spans="2:23" x14ac:dyDescent="0.25">
      <c r="B286" s="39">
        <f t="shared" si="56"/>
        <v>2.3069577698306755E-28</v>
      </c>
      <c r="C286" s="39">
        <f t="shared" si="56"/>
        <v>3.0339190738891899E-26</v>
      </c>
      <c r="D286" s="39">
        <f t="shared" si="56"/>
        <v>1.9541180549101857E-24</v>
      </c>
      <c r="E286" s="39">
        <f t="shared" si="56"/>
        <v>8.2158097452032821E-23</v>
      </c>
      <c r="F286" s="39">
        <f t="shared" si="56"/>
        <v>2.5355983329097475E-21</v>
      </c>
      <c r="G286" s="39">
        <f t="shared" si="56"/>
        <v>6.1247489880559141E-20</v>
      </c>
      <c r="H286" s="39">
        <f t="shared" si="56"/>
        <v>1.2056302500371162E-18</v>
      </c>
      <c r="I286" s="39">
        <f t="shared" si="56"/>
        <v>1.9883668891578026E-17</v>
      </c>
      <c r="J286" s="39">
        <f t="shared" si="56"/>
        <v>2.8034098839184364E-16</v>
      </c>
      <c r="K286" s="39">
        <f t="shared" si="56"/>
        <v>3.43093051252075E-15</v>
      </c>
      <c r="L286" s="39">
        <f t="shared" si="57"/>
        <v>3.6884768761724459E-14</v>
      </c>
      <c r="M286" s="39">
        <f t="shared" si="57"/>
        <v>3.5166356523086649E-13</v>
      </c>
      <c r="N286" s="39">
        <f t="shared" si="57"/>
        <v>2.9965262476714379E-12</v>
      </c>
      <c r="O286" s="39">
        <f t="shared" si="57"/>
        <v>2.2966610721406566E-11</v>
      </c>
      <c r="P286" s="39">
        <f t="shared" si="57"/>
        <v>1.5917770918410843E-10</v>
      </c>
      <c r="Q286" s="39">
        <f t="shared" si="57"/>
        <v>1.0021342078231668E-9</v>
      </c>
      <c r="R286" s="39">
        <f t="shared" si="57"/>
        <v>5.7528310425930213E-9</v>
      </c>
      <c r="S286" s="39">
        <f t="shared" si="57"/>
        <v>3.0210452270751549E-8</v>
      </c>
      <c r="T286" s="39">
        <f t="shared" si="57"/>
        <v>1.4553068403039824E-7</v>
      </c>
      <c r="U286" s="39">
        <f t="shared" si="57"/>
        <v>6.4461605405222185E-7</v>
      </c>
      <c r="V286" s="39">
        <f t="shared" si="57"/>
        <v>2.6307234802037014E-6</v>
      </c>
      <c r="W286" s="37">
        <v>0.71699999999999997</v>
      </c>
    </row>
    <row r="287" spans="2:23" x14ac:dyDescent="0.25">
      <c r="B287" s="39">
        <f t="shared" si="56"/>
        <v>2.6945245749454858E-28</v>
      </c>
      <c r="C287" s="39">
        <f t="shared" si="56"/>
        <v>3.5283000696788818E-26</v>
      </c>
      <c r="D287" s="39">
        <f t="shared" si="56"/>
        <v>2.2627307985983648E-24</v>
      </c>
      <c r="E287" s="39">
        <f t="shared" si="56"/>
        <v>9.4722828069984268E-23</v>
      </c>
      <c r="F287" s="39">
        <f t="shared" si="56"/>
        <v>2.9107749547070426E-21</v>
      </c>
      <c r="G287" s="39">
        <f t="shared" si="56"/>
        <v>7.0007108401155314E-20</v>
      </c>
      <c r="H287" s="39">
        <f t="shared" si="56"/>
        <v>1.3721308676584937E-18</v>
      </c>
      <c r="I287" s="39">
        <f t="shared" si="56"/>
        <v>2.2532400496944834E-17</v>
      </c>
      <c r="J287" s="39">
        <f t="shared" si="56"/>
        <v>3.1632184936249512E-16</v>
      </c>
      <c r="K287" s="39">
        <f t="shared" si="56"/>
        <v>3.8546807378922643E-15</v>
      </c>
      <c r="L287" s="39">
        <f t="shared" si="57"/>
        <v>4.1262911046069854E-14</v>
      </c>
      <c r="M287" s="39">
        <f t="shared" si="57"/>
        <v>3.9172299564902279E-13</v>
      </c>
      <c r="N287" s="39">
        <f t="shared" si="57"/>
        <v>3.3236207765956298E-12</v>
      </c>
      <c r="O287" s="39">
        <f t="shared" si="57"/>
        <v>2.5365008084606559E-11</v>
      </c>
      <c r="P287" s="39">
        <f t="shared" si="57"/>
        <v>1.7505252005260805E-10</v>
      </c>
      <c r="Q287" s="39">
        <f t="shared" si="57"/>
        <v>1.0973966949206072E-9</v>
      </c>
      <c r="R287" s="39">
        <f t="shared" si="57"/>
        <v>6.2729961041144176E-9</v>
      </c>
      <c r="S287" s="39">
        <f t="shared" si="57"/>
        <v>3.2802783100617793E-8</v>
      </c>
      <c r="T287" s="39">
        <f t="shared" si="57"/>
        <v>1.5735228155460867E-7</v>
      </c>
      <c r="U287" s="39">
        <f t="shared" si="57"/>
        <v>6.9404902576114286E-7</v>
      </c>
      <c r="V287" s="39">
        <f t="shared" si="57"/>
        <v>2.8205971583440298E-6</v>
      </c>
      <c r="W287" s="37">
        <v>0.71599999999999997</v>
      </c>
    </row>
    <row r="288" spans="2:23" x14ac:dyDescent="0.25">
      <c r="B288" s="39">
        <f t="shared" si="56"/>
        <v>3.2444240101108649E-28</v>
      </c>
      <c r="C288" s="39">
        <f t="shared" si="56"/>
        <v>4.2263812995950619E-26</v>
      </c>
      <c r="D288" s="39">
        <f t="shared" si="56"/>
        <v>2.696408056164132E-24</v>
      </c>
      <c r="E288" s="39">
        <f t="shared" si="56"/>
        <v>1.1229460492443186E-22</v>
      </c>
      <c r="F288" s="39">
        <f t="shared" si="56"/>
        <v>3.432941538403773E-21</v>
      </c>
      <c r="G288" s="39">
        <f t="shared" si="56"/>
        <v>8.2140170268838754E-20</v>
      </c>
      <c r="H288" s="39">
        <f t="shared" si="56"/>
        <v>1.6016474566406489E-18</v>
      </c>
      <c r="I288" s="39">
        <f t="shared" si="56"/>
        <v>2.6166110784362102E-17</v>
      </c>
      <c r="J288" s="39">
        <f t="shared" si="56"/>
        <v>3.6544645834843149E-16</v>
      </c>
      <c r="K288" s="39">
        <f t="shared" si="56"/>
        <v>4.4304570645561059E-15</v>
      </c>
      <c r="L288" s="39">
        <f t="shared" si="57"/>
        <v>4.7183312218752111E-14</v>
      </c>
      <c r="M288" s="39">
        <f t="shared" si="57"/>
        <v>4.4563488224573758E-13</v>
      </c>
      <c r="N288" s="39">
        <f t="shared" si="57"/>
        <v>3.7617201449468953E-12</v>
      </c>
      <c r="O288" s="39">
        <f t="shared" si="57"/>
        <v>2.8561997235122724E-11</v>
      </c>
      <c r="P288" s="39">
        <f t="shared" si="57"/>
        <v>1.9611213131807907E-10</v>
      </c>
      <c r="Q288" s="39">
        <f t="shared" si="57"/>
        <v>1.2231694457639054E-9</v>
      </c>
      <c r="R288" s="39">
        <f t="shared" si="57"/>
        <v>6.9564823209584533E-9</v>
      </c>
      <c r="S288" s="39">
        <f t="shared" si="57"/>
        <v>3.6192816920553018E-8</v>
      </c>
      <c r="T288" s="39">
        <f t="shared" si="57"/>
        <v>1.7273793270413429E-7</v>
      </c>
      <c r="U288" s="39">
        <f t="shared" si="57"/>
        <v>7.5807904286219493E-7</v>
      </c>
      <c r="V288" s="39">
        <f t="shared" si="57"/>
        <v>3.0653681392639021E-6</v>
      </c>
      <c r="W288" s="37">
        <v>0.71499999999999997</v>
      </c>
    </row>
    <row r="289" spans="2:23" x14ac:dyDescent="0.25">
      <c r="B289" s="39">
        <f t="shared" si="56"/>
        <v>3.9038630048717043E-28</v>
      </c>
      <c r="C289" s="39">
        <f t="shared" si="56"/>
        <v>5.0591624628759042E-26</v>
      </c>
      <c r="D289" s="39">
        <f t="shared" si="56"/>
        <v>3.2110747069657168E-24</v>
      </c>
      <c r="E289" s="39">
        <f t="shared" si="56"/>
        <v>1.3303945840386284E-22</v>
      </c>
      <c r="F289" s="39">
        <f t="shared" si="56"/>
        <v>4.0461949086217714E-21</v>
      </c>
      <c r="G289" s="39">
        <f t="shared" si="56"/>
        <v>9.6315668046889909E-20</v>
      </c>
      <c r="H289" s="39">
        <f t="shared" si="56"/>
        <v>1.8684069512164426E-18</v>
      </c>
      <c r="I289" s="39">
        <f t="shared" si="56"/>
        <v>3.0367518820272152E-17</v>
      </c>
      <c r="J289" s="39">
        <f t="shared" si="56"/>
        <v>4.2195099089536571E-16</v>
      </c>
      <c r="K289" s="39">
        <f t="shared" si="56"/>
        <v>5.0892947880292182E-15</v>
      </c>
      <c r="L289" s="39">
        <f t="shared" si="57"/>
        <v>5.3922648353740927E-14</v>
      </c>
      <c r="M289" s="39">
        <f t="shared" si="57"/>
        <v>5.0668587000760167E-13</v>
      </c>
      <c r="N289" s="39">
        <f t="shared" si="57"/>
        <v>4.2552618168848437E-12</v>
      </c>
      <c r="O289" s="39">
        <f t="shared" si="57"/>
        <v>3.2144910136287986E-11</v>
      </c>
      <c r="P289" s="39">
        <f t="shared" si="57"/>
        <v>2.1959170333569946E-10</v>
      </c>
      <c r="Q289" s="39">
        <f t="shared" si="57"/>
        <v>1.3626687277383558E-9</v>
      </c>
      <c r="R289" s="39">
        <f t="shared" si="57"/>
        <v>7.7106390451447065E-9</v>
      </c>
      <c r="S289" s="39">
        <f t="shared" si="57"/>
        <v>3.9914018167729856E-8</v>
      </c>
      <c r="T289" s="39">
        <f t="shared" si="57"/>
        <v>1.8953924225429964E-7</v>
      </c>
      <c r="U289" s="39">
        <f t="shared" si="57"/>
        <v>8.2763908542147992E-7</v>
      </c>
      <c r="V289" s="39">
        <f t="shared" si="57"/>
        <v>3.3299048570705488E-6</v>
      </c>
      <c r="W289" s="37">
        <v>0.71399999999999997</v>
      </c>
    </row>
    <row r="290" spans="2:23" x14ac:dyDescent="0.25">
      <c r="B290" s="39">
        <f t="shared" si="56"/>
        <v>4.6941313408942168E-28</v>
      </c>
      <c r="C290" s="39">
        <f t="shared" si="56"/>
        <v>6.0519804415952172E-26</v>
      </c>
      <c r="D290" s="39">
        <f t="shared" si="56"/>
        <v>3.8214604895150431E-24</v>
      </c>
      <c r="E290" s="39">
        <f t="shared" si="56"/>
        <v>1.575148275910268E-22</v>
      </c>
      <c r="F290" s="39">
        <f t="shared" si="56"/>
        <v>4.7659755749471814E-21</v>
      </c>
      <c r="G290" s="39">
        <f t="shared" si="56"/>
        <v>1.1286729767721607E-19</v>
      </c>
      <c r="H290" s="39">
        <f t="shared" si="56"/>
        <v>2.178266859631185E-18</v>
      </c>
      <c r="I290" s="39">
        <f t="shared" si="56"/>
        <v>3.5222463396202746E-17</v>
      </c>
      <c r="J290" s="39">
        <f t="shared" si="56"/>
        <v>4.8690672023902205E-16</v>
      </c>
      <c r="K290" s="39">
        <f t="shared" si="56"/>
        <v>5.8427513964830809E-15</v>
      </c>
      <c r="L290" s="39">
        <f t="shared" si="57"/>
        <v>6.1589964404322768E-14</v>
      </c>
      <c r="M290" s="39">
        <f t="shared" si="57"/>
        <v>5.7578399257519692E-13</v>
      </c>
      <c r="N290" s="39">
        <f t="shared" si="57"/>
        <v>4.8109683860160189E-12</v>
      </c>
      <c r="O290" s="39">
        <f t="shared" si="57"/>
        <v>3.6158259318659632E-11</v>
      </c>
      <c r="P290" s="39">
        <f t="shared" si="57"/>
        <v>2.4575609905323982E-10</v>
      </c>
      <c r="Q290" s="39">
        <f t="shared" si="57"/>
        <v>1.5173163267763718E-9</v>
      </c>
      <c r="R290" s="39">
        <f t="shared" si="57"/>
        <v>8.5423728131445975E-9</v>
      </c>
      <c r="S290" s="39">
        <f t="shared" si="57"/>
        <v>4.3996819420672275E-8</v>
      </c>
      <c r="T290" s="39">
        <f t="shared" si="57"/>
        <v>2.0787806307419905E-7</v>
      </c>
      <c r="U290" s="39">
        <f t="shared" si="57"/>
        <v>9.0317302577741962E-7</v>
      </c>
      <c r="V290" s="39">
        <f t="shared" si="57"/>
        <v>3.6156791279663961E-6</v>
      </c>
      <c r="W290" s="37">
        <v>0.71299999999999997</v>
      </c>
    </row>
    <row r="291" spans="2:23" x14ac:dyDescent="0.25">
      <c r="B291" s="39">
        <f t="shared" si="56"/>
        <v>5.6405543445382776E-28</v>
      </c>
      <c r="C291" s="39">
        <f t="shared" si="56"/>
        <v>7.2348157406044257E-26</v>
      </c>
      <c r="D291" s="39">
        <f t="shared" si="56"/>
        <v>4.5449026918405215E-24</v>
      </c>
      <c r="E291" s="39">
        <f t="shared" si="56"/>
        <v>1.8637336510290146E-22</v>
      </c>
      <c r="F291" s="39">
        <f t="shared" si="56"/>
        <v>5.6102657345473937E-21</v>
      </c>
      <c r="G291" s="39">
        <f t="shared" si="56"/>
        <v>1.3218162734695366E-19</v>
      </c>
      <c r="H291" s="39">
        <f t="shared" si="56"/>
        <v>2.537976803078112E-18</v>
      </c>
      <c r="I291" s="39">
        <f t="shared" si="56"/>
        <v>4.0829331627261794E-17</v>
      </c>
      <c r="J291" s="39">
        <f t="shared" si="56"/>
        <v>5.6153499426421904E-16</v>
      </c>
      <c r="K291" s="39">
        <f t="shared" si="56"/>
        <v>6.703933273888982E-15</v>
      </c>
      <c r="L291" s="39">
        <f t="shared" si="57"/>
        <v>7.0308259049838967E-14</v>
      </c>
      <c r="M291" s="39">
        <f t="shared" si="57"/>
        <v>6.5394799764632887E-13</v>
      </c>
      <c r="N291" s="39">
        <f t="shared" si="57"/>
        <v>5.4363416412659784E-12</v>
      </c>
      <c r="O291" s="39">
        <f t="shared" si="57"/>
        <v>4.0651449212780677E-11</v>
      </c>
      <c r="P291" s="39">
        <f t="shared" si="57"/>
        <v>2.7489770102804865E-10</v>
      </c>
      <c r="Q291" s="39">
        <f t="shared" si="57"/>
        <v>1.68867323412419E-9</v>
      </c>
      <c r="R291" s="39">
        <f t="shared" si="57"/>
        <v>9.4592249887105822E-9</v>
      </c>
      <c r="S291" s="39">
        <f t="shared" si="57"/>
        <v>4.8474268012045868E-8</v>
      </c>
      <c r="T291" s="39">
        <f t="shared" si="57"/>
        <v>2.2788598519301915E-7</v>
      </c>
      <c r="U291" s="39">
        <f t="shared" si="57"/>
        <v>9.8515752765012372E-7</v>
      </c>
      <c r="V291" s="39">
        <f t="shared" si="57"/>
        <v>3.9242625663147522E-6</v>
      </c>
      <c r="W291" s="37">
        <v>0.71199999999999997</v>
      </c>
    </row>
    <row r="292" spans="2:23" x14ac:dyDescent="0.25">
      <c r="B292" s="39">
        <f t="shared" si="56"/>
        <v>6.5700820768521568E-28</v>
      </c>
      <c r="C292" s="39">
        <f t="shared" si="56"/>
        <v>8.3910552892102228E-26</v>
      </c>
      <c r="D292" s="39">
        <f t="shared" si="56"/>
        <v>5.248743326696388E-24</v>
      </c>
      <c r="E292" s="39">
        <f t="shared" si="56"/>
        <v>2.1431760105618273E-22</v>
      </c>
      <c r="F292" s="39">
        <f t="shared" si="56"/>
        <v>6.4239530490354556E-21</v>
      </c>
      <c r="G292" s="39">
        <f t="shared" si="56"/>
        <v>1.5070814627608742E-19</v>
      </c>
      <c r="H292" s="39">
        <f t="shared" si="56"/>
        <v>2.8813888007689151E-18</v>
      </c>
      <c r="I292" s="39">
        <f t="shared" si="56"/>
        <v>4.6156944691986593E-17</v>
      </c>
      <c r="J292" s="39">
        <f t="shared" si="56"/>
        <v>6.3211236829819076E-16</v>
      </c>
      <c r="K292" s="39">
        <f t="shared" si="56"/>
        <v>7.5145344310040987E-15</v>
      </c>
      <c r="L292" s="39">
        <f t="shared" si="57"/>
        <v>7.8475861392293717E-14</v>
      </c>
      <c r="M292" s="39">
        <f t="shared" si="57"/>
        <v>7.2683012102855645E-13</v>
      </c>
      <c r="N292" s="39">
        <f t="shared" si="57"/>
        <v>6.016711903696587E-12</v>
      </c>
      <c r="O292" s="39">
        <f t="shared" si="57"/>
        <v>4.4801684498082049E-11</v>
      </c>
      <c r="P292" s="39">
        <f t="shared" si="57"/>
        <v>3.0168839277057884E-10</v>
      </c>
      <c r="Q292" s="39">
        <f t="shared" si="57"/>
        <v>1.8454656826563756E-9</v>
      </c>
      <c r="R292" s="39">
        <f t="shared" si="57"/>
        <v>1.0294205480876657E-8</v>
      </c>
      <c r="S292" s="39">
        <f t="shared" si="57"/>
        <v>5.2532730718274368E-8</v>
      </c>
      <c r="T292" s="39">
        <f t="shared" si="57"/>
        <v>2.4593640640493604E-7</v>
      </c>
      <c r="U292" s="39">
        <f t="shared" si="57"/>
        <v>1.0587734866447628E-6</v>
      </c>
      <c r="V292" s="39">
        <f t="shared" si="57"/>
        <v>4.2000459792867736E-6</v>
      </c>
      <c r="W292" s="37">
        <v>0.71099999999999997</v>
      </c>
    </row>
    <row r="293" spans="2:23" x14ac:dyDescent="0.25">
      <c r="B293" s="39">
        <f t="shared" ref="B293:K302" si="58">_xlfn.HYPGEOM.DIST(B$2,comau,tongtheN*$W293,tongtheN,TRUE)</f>
        <v>7.8850364772500943E-28</v>
      </c>
      <c r="C293" s="39">
        <f t="shared" si="58"/>
        <v>1.0018951801897534E-25</v>
      </c>
      <c r="D293" s="39">
        <f t="shared" si="58"/>
        <v>6.2349887605823961E-24</v>
      </c>
      <c r="E293" s="39">
        <f t="shared" si="58"/>
        <v>2.5328807333495484E-22</v>
      </c>
      <c r="F293" s="39">
        <f t="shared" si="58"/>
        <v>7.5533192776333678E-21</v>
      </c>
      <c r="G293" s="39">
        <f t="shared" si="58"/>
        <v>1.7630024833797525E-19</v>
      </c>
      <c r="H293" s="39">
        <f t="shared" si="58"/>
        <v>3.3535209135850103E-18</v>
      </c>
      <c r="I293" s="39">
        <f t="shared" si="58"/>
        <v>5.3446780589176876E-17</v>
      </c>
      <c r="J293" s="39">
        <f t="shared" si="58"/>
        <v>7.2822680576678965E-16</v>
      </c>
      <c r="K293" s="39">
        <f t="shared" si="58"/>
        <v>8.6132099898165743E-15</v>
      </c>
      <c r="L293" s="39">
        <f t="shared" ref="L293:V302" si="59">_xlfn.HYPGEOM.DIST(L$2,comau,tongtheN*$W293,tongtheN,TRUE)</f>
        <v>8.9493714889294087E-14</v>
      </c>
      <c r="M293" s="39">
        <f t="shared" si="59"/>
        <v>8.2468097982203578E-13</v>
      </c>
      <c r="N293" s="39">
        <f t="shared" si="59"/>
        <v>6.7922284043135218E-12</v>
      </c>
      <c r="O293" s="39">
        <f t="shared" si="59"/>
        <v>5.032121229954567E-11</v>
      </c>
      <c r="P293" s="39">
        <f t="shared" si="59"/>
        <v>3.3714992503182665E-10</v>
      </c>
      <c r="Q293" s="39">
        <f t="shared" si="59"/>
        <v>2.0520246820589277E-9</v>
      </c>
      <c r="R293" s="39">
        <f t="shared" si="59"/>
        <v>1.1389023058660762E-8</v>
      </c>
      <c r="S293" s="39">
        <f t="shared" si="59"/>
        <v>5.7829054032461087E-8</v>
      </c>
      <c r="T293" s="39">
        <f t="shared" si="59"/>
        <v>2.6938132927642285E-7</v>
      </c>
      <c r="U293" s="39">
        <f t="shared" si="59"/>
        <v>1.1539397506178663E-6</v>
      </c>
      <c r="V293" s="39">
        <f t="shared" si="59"/>
        <v>4.5548837199794811E-6</v>
      </c>
      <c r="W293" s="37">
        <v>0.71</v>
      </c>
    </row>
    <row r="294" spans="2:23" x14ac:dyDescent="0.25">
      <c r="B294" s="39">
        <f t="shared" si="58"/>
        <v>9.456894439915912E-28</v>
      </c>
      <c r="C294" s="39">
        <f t="shared" si="58"/>
        <v>1.1954873020978878E-25</v>
      </c>
      <c r="D294" s="39">
        <f t="shared" si="58"/>
        <v>7.4018118145305135E-24</v>
      </c>
      <c r="E294" s="39">
        <f t="shared" si="58"/>
        <v>2.9915668550052232E-22</v>
      </c>
      <c r="F294" s="39">
        <f t="shared" si="58"/>
        <v>8.8757577907725475E-21</v>
      </c>
      <c r="G294" s="39">
        <f t="shared" si="58"/>
        <v>2.0611342377229705E-19</v>
      </c>
      <c r="H294" s="39">
        <f t="shared" si="58"/>
        <v>3.9006984063484921E-18</v>
      </c>
      <c r="I294" s="39">
        <f t="shared" si="58"/>
        <v>6.1851934410898625E-17</v>
      </c>
      <c r="J294" s="39">
        <f t="shared" si="58"/>
        <v>8.3847731196974334E-16</v>
      </c>
      <c r="K294" s="39">
        <f t="shared" si="58"/>
        <v>9.8670043035374239E-15</v>
      </c>
      <c r="L294" s="39">
        <f t="shared" si="59"/>
        <v>1.0200262617957478E-13</v>
      </c>
      <c r="M294" s="39">
        <f t="shared" si="59"/>
        <v>9.3520423418163665E-13</v>
      </c>
      <c r="N294" s="39">
        <f t="shared" si="59"/>
        <v>7.6636882561190159E-12</v>
      </c>
      <c r="O294" s="39">
        <f t="shared" si="59"/>
        <v>5.6491798151781478E-11</v>
      </c>
      <c r="P294" s="39">
        <f t="shared" si="59"/>
        <v>3.7659119737686434E-10</v>
      </c>
      <c r="Q294" s="39">
        <f t="shared" si="59"/>
        <v>2.2805884029440481E-9</v>
      </c>
      <c r="R294" s="39">
        <f t="shared" si="59"/>
        <v>1.2594268521376258E-8</v>
      </c>
      <c r="S294" s="39">
        <f t="shared" si="59"/>
        <v>6.3629743393131366E-8</v>
      </c>
      <c r="T294" s="39">
        <f t="shared" si="59"/>
        <v>2.9492751777394676E-7</v>
      </c>
      <c r="U294" s="39">
        <f t="shared" si="59"/>
        <v>1.2571049720863169E-6</v>
      </c>
      <c r="V294" s="39">
        <f t="shared" si="59"/>
        <v>4.9375796962167769E-6</v>
      </c>
      <c r="W294" s="37">
        <v>0.70899999999999996</v>
      </c>
    </row>
    <row r="295" spans="2:23" x14ac:dyDescent="0.25">
      <c r="B295" s="39">
        <f t="shared" si="58"/>
        <v>1.133463099929406E-27</v>
      </c>
      <c r="C295" s="39">
        <f t="shared" si="58"/>
        <v>1.4255638199020579E-25</v>
      </c>
      <c r="D295" s="39">
        <f t="shared" si="58"/>
        <v>8.7814134179064149E-24</v>
      </c>
      <c r="E295" s="39">
        <f t="shared" si="58"/>
        <v>3.531113730266189E-22</v>
      </c>
      <c r="F295" s="39">
        <f t="shared" si="58"/>
        <v>1.0423343749440203E-20</v>
      </c>
      <c r="G295" s="39">
        <f t="shared" si="58"/>
        <v>2.4082337909392386E-19</v>
      </c>
      <c r="H295" s="39">
        <f t="shared" si="58"/>
        <v>4.5344825743474287E-18</v>
      </c>
      <c r="I295" s="39">
        <f t="shared" si="58"/>
        <v>7.1537544531722711E-17</v>
      </c>
      <c r="J295" s="39">
        <f t="shared" si="58"/>
        <v>9.6487259844103746E-16</v>
      </c>
      <c r="K295" s="39">
        <f t="shared" si="58"/>
        <v>1.1297038302085191E-14</v>
      </c>
      <c r="L295" s="39">
        <f t="shared" si="59"/>
        <v>1.161968016695387E-13</v>
      </c>
      <c r="M295" s="39">
        <f t="shared" si="59"/>
        <v>1.0599758277110795E-12</v>
      </c>
      <c r="N295" s="39">
        <f t="shared" si="59"/>
        <v>8.6424605088349406E-12</v>
      </c>
      <c r="O295" s="39">
        <f t="shared" si="59"/>
        <v>6.3386788748844509E-11</v>
      </c>
      <c r="P295" s="39">
        <f t="shared" si="59"/>
        <v>4.2043740287975733E-10</v>
      </c>
      <c r="Q295" s="39">
        <f t="shared" si="59"/>
        <v>2.5333802245505194E-9</v>
      </c>
      <c r="R295" s="39">
        <f t="shared" si="59"/>
        <v>1.3920461283384105E-8</v>
      </c>
      <c r="S295" s="39">
        <f t="shared" si="59"/>
        <v>6.9979937265334373E-8</v>
      </c>
      <c r="T295" s="39">
        <f t="shared" si="59"/>
        <v>3.2275093807862056E-7</v>
      </c>
      <c r="U295" s="39">
        <f t="shared" si="59"/>
        <v>1.3688930646654909E-6</v>
      </c>
      <c r="V295" s="39">
        <f t="shared" si="59"/>
        <v>5.3501469479227492E-6</v>
      </c>
      <c r="W295" s="37">
        <v>0.70799999999999996</v>
      </c>
    </row>
    <row r="296" spans="2:23" x14ac:dyDescent="0.25">
      <c r="B296" s="39">
        <f t="shared" si="58"/>
        <v>1.3174661008180745E-27</v>
      </c>
      <c r="C296" s="39">
        <f t="shared" si="58"/>
        <v>1.649965624676978E-25</v>
      </c>
      <c r="D296" s="39">
        <f t="shared" si="58"/>
        <v>1.0120695310589208E-23</v>
      </c>
      <c r="E296" s="39">
        <f t="shared" si="58"/>
        <v>4.0524431042482755E-22</v>
      </c>
      <c r="F296" s="39">
        <f t="shared" si="58"/>
        <v>1.1911686482522021E-20</v>
      </c>
      <c r="G296" s="39">
        <f t="shared" si="58"/>
        <v>2.740485964338584E-19</v>
      </c>
      <c r="H296" s="39">
        <f t="shared" si="58"/>
        <v>5.1383216519137534E-18</v>
      </c>
      <c r="I296" s="39">
        <f t="shared" si="58"/>
        <v>8.0722420832690699E-17</v>
      </c>
      <c r="J296" s="39">
        <f t="shared" si="58"/>
        <v>1.0841736173337613E-15</v>
      </c>
      <c r="K296" s="39">
        <f t="shared" si="58"/>
        <v>1.264050537833263E-14</v>
      </c>
      <c r="L296" s="39">
        <f t="shared" si="59"/>
        <v>1.2946948309507359E-13</v>
      </c>
      <c r="M296" s="39">
        <f t="shared" si="59"/>
        <v>1.1761026388384426E-12</v>
      </c>
      <c r="N296" s="39">
        <f t="shared" si="59"/>
        <v>9.5491678847854665E-12</v>
      </c>
      <c r="O296" s="39">
        <f t="shared" si="59"/>
        <v>6.9744317613912849E-11</v>
      </c>
      <c r="P296" s="39">
        <f t="shared" si="59"/>
        <v>4.6067724620217295E-10</v>
      </c>
      <c r="Q296" s="39">
        <f t="shared" si="59"/>
        <v>2.7642979809014744E-9</v>
      </c>
      <c r="R296" s="39">
        <f t="shared" si="59"/>
        <v>1.5126250639540533E-8</v>
      </c>
      <c r="S296" s="39">
        <f t="shared" si="59"/>
        <v>7.5726692476999902E-8</v>
      </c>
      <c r="T296" s="39">
        <f t="shared" si="59"/>
        <v>3.4781304559915979E-7</v>
      </c>
      <c r="U296" s="39">
        <f t="shared" si="59"/>
        <v>1.4691176836453505E-6</v>
      </c>
      <c r="V296" s="39">
        <f t="shared" si="59"/>
        <v>5.7183147894132523E-6</v>
      </c>
      <c r="W296" s="37">
        <v>0.70699999999999996</v>
      </c>
    </row>
    <row r="297" spans="2:23" x14ac:dyDescent="0.25">
      <c r="B297" s="39">
        <f t="shared" si="58"/>
        <v>1.5771729725747759E-27</v>
      </c>
      <c r="C297" s="39">
        <f t="shared" si="58"/>
        <v>1.9651996839805217E-25</v>
      </c>
      <c r="D297" s="39">
        <f t="shared" si="58"/>
        <v>1.1993222244582391E-23</v>
      </c>
      <c r="E297" s="39">
        <f t="shared" si="58"/>
        <v>4.7779116551878117E-22</v>
      </c>
      <c r="F297" s="39">
        <f t="shared" si="58"/>
        <v>1.397307899990085E-20</v>
      </c>
      <c r="G297" s="39">
        <f t="shared" si="58"/>
        <v>3.1984991198791531E-19</v>
      </c>
      <c r="H297" s="39">
        <f t="shared" si="58"/>
        <v>5.9668068286896902E-18</v>
      </c>
      <c r="I297" s="39">
        <f t="shared" si="58"/>
        <v>9.3265127644378309E-17</v>
      </c>
      <c r="J297" s="39">
        <f t="shared" si="58"/>
        <v>1.2463238469118407E-15</v>
      </c>
      <c r="K297" s="39">
        <f t="shared" si="58"/>
        <v>1.4457932155100475E-14</v>
      </c>
      <c r="L297" s="39">
        <f t="shared" si="59"/>
        <v>1.4734036834731149E-13</v>
      </c>
      <c r="M297" s="39">
        <f t="shared" si="59"/>
        <v>1.3317272996257259E-12</v>
      </c>
      <c r="N297" s="39">
        <f t="shared" si="59"/>
        <v>1.0758575243599871E-11</v>
      </c>
      <c r="O297" s="39">
        <f t="shared" si="59"/>
        <v>7.8184549082827434E-11</v>
      </c>
      <c r="P297" s="39">
        <f t="shared" si="59"/>
        <v>5.1384935344004755E-10</v>
      </c>
      <c r="Q297" s="39">
        <f t="shared" si="59"/>
        <v>3.0679998811535729E-9</v>
      </c>
      <c r="R297" s="39">
        <f t="shared" si="59"/>
        <v>1.6704680283669604E-8</v>
      </c>
      <c r="S297" s="39">
        <f t="shared" si="59"/>
        <v>8.3214265929154487E-8</v>
      </c>
      <c r="T297" s="39">
        <f t="shared" si="59"/>
        <v>3.8031441138822284E-7</v>
      </c>
      <c r="U297" s="39">
        <f t="shared" si="59"/>
        <v>1.5984851495002331E-6</v>
      </c>
      <c r="V297" s="39">
        <f t="shared" si="59"/>
        <v>6.1913180675171491E-6</v>
      </c>
      <c r="W297" s="37">
        <v>0.70599999999999996</v>
      </c>
    </row>
    <row r="298" spans="2:23" x14ac:dyDescent="0.25">
      <c r="B298" s="39">
        <f t="shared" si="58"/>
        <v>1.8868570792502744E-27</v>
      </c>
      <c r="C298" s="39">
        <f t="shared" si="58"/>
        <v>2.3391773822313235E-25</v>
      </c>
      <c r="D298" s="39">
        <f t="shared" si="58"/>
        <v>1.4203355887381176E-23</v>
      </c>
      <c r="E298" s="39">
        <f t="shared" si="58"/>
        <v>5.6298099384365389E-22</v>
      </c>
      <c r="F298" s="39">
        <f t="shared" si="58"/>
        <v>1.6381372062547155E-20</v>
      </c>
      <c r="G298" s="39">
        <f t="shared" si="58"/>
        <v>3.7308609066181068E-19</v>
      </c>
      <c r="H298" s="39">
        <f t="shared" si="58"/>
        <v>6.924871311282489E-18</v>
      </c>
      <c r="I298" s="39">
        <f t="shared" si="58"/>
        <v>1.07695686076281E-16</v>
      </c>
      <c r="J298" s="39">
        <f t="shared" si="58"/>
        <v>1.4319298829971575E-15</v>
      </c>
      <c r="K298" s="39">
        <f t="shared" si="58"/>
        <v>1.6527667906932545E-14</v>
      </c>
      <c r="L298" s="39">
        <f t="shared" si="59"/>
        <v>1.6758865525855071E-13</v>
      </c>
      <c r="M298" s="39">
        <f t="shared" si="59"/>
        <v>1.5071580278350954E-12</v>
      </c>
      <c r="N298" s="39">
        <f t="shared" si="59"/>
        <v>1.2114968651683821E-11</v>
      </c>
      <c r="O298" s="39">
        <f t="shared" si="59"/>
        <v>8.7602447933027442E-11</v>
      </c>
      <c r="P298" s="39">
        <f t="shared" si="59"/>
        <v>5.7287910045596161E-10</v>
      </c>
      <c r="Q298" s="39">
        <f t="shared" si="59"/>
        <v>3.4034459663363756E-9</v>
      </c>
      <c r="R298" s="39">
        <f t="shared" si="59"/>
        <v>1.843924056583907E-8</v>
      </c>
      <c r="S298" s="39">
        <f t="shared" si="59"/>
        <v>9.1400704287885876E-8</v>
      </c>
      <c r="T298" s="39">
        <f t="shared" si="59"/>
        <v>4.1566901908851092E-7</v>
      </c>
      <c r="U298" s="39">
        <f t="shared" si="59"/>
        <v>1.7384957025991539E-6</v>
      </c>
      <c r="V298" s="39">
        <f t="shared" si="59"/>
        <v>6.7006394593803381E-6</v>
      </c>
      <c r="W298" s="37">
        <v>0.70499999999999996</v>
      </c>
    </row>
    <row r="299" spans="2:23" x14ac:dyDescent="0.25">
      <c r="B299" s="39">
        <f t="shared" si="58"/>
        <v>2.255903355699378E-27</v>
      </c>
      <c r="C299" s="39">
        <f t="shared" si="58"/>
        <v>2.7825710703701175E-25</v>
      </c>
      <c r="D299" s="39">
        <f t="shared" si="58"/>
        <v>1.6810379838935226E-23</v>
      </c>
      <c r="E299" s="39">
        <f t="shared" si="58"/>
        <v>6.6295744179409572E-22</v>
      </c>
      <c r="F299" s="39">
        <f t="shared" si="58"/>
        <v>1.919329592626326E-20</v>
      </c>
      <c r="G299" s="39">
        <f t="shared" si="58"/>
        <v>4.3492846396085078E-19</v>
      </c>
      <c r="H299" s="39">
        <f t="shared" si="58"/>
        <v>8.0321574216105061E-18</v>
      </c>
      <c r="I299" s="39">
        <f t="shared" si="58"/>
        <v>1.2428906661866304E-16</v>
      </c>
      <c r="J299" s="39">
        <f t="shared" si="58"/>
        <v>1.6442696024044834E-15</v>
      </c>
      <c r="K299" s="39">
        <f t="shared" si="58"/>
        <v>1.8883488620322465E-14</v>
      </c>
      <c r="L299" s="39">
        <f t="shared" si="59"/>
        <v>1.9051868369925592E-13</v>
      </c>
      <c r="M299" s="39">
        <f t="shared" si="59"/>
        <v>1.7048148129437315E-12</v>
      </c>
      <c r="N299" s="39">
        <f t="shared" si="59"/>
        <v>1.3635454088857645E-11</v>
      </c>
      <c r="O299" s="39">
        <f t="shared" si="59"/>
        <v>9.8106138708881575E-11</v>
      </c>
      <c r="P299" s="39">
        <f t="shared" si="59"/>
        <v>6.3838055087973852E-10</v>
      </c>
      <c r="Q299" s="39">
        <f t="shared" si="59"/>
        <v>3.7737816729946998E-9</v>
      </c>
      <c r="R299" s="39">
        <f t="shared" si="59"/>
        <v>2.0344507791703755E-8</v>
      </c>
      <c r="S299" s="39">
        <f t="shared" si="59"/>
        <v>1.0034726077342811E-7</v>
      </c>
      <c r="T299" s="39">
        <f t="shared" si="59"/>
        <v>4.5411067793838746E-7</v>
      </c>
      <c r="U299" s="39">
        <f t="shared" si="59"/>
        <v>1.8899608896497628E-6</v>
      </c>
      <c r="V299" s="39">
        <f t="shared" si="59"/>
        <v>7.2488415635199173E-6</v>
      </c>
      <c r="W299" s="37">
        <v>0.70399999999999996</v>
      </c>
    </row>
    <row r="300" spans="2:23" x14ac:dyDescent="0.25">
      <c r="B300" s="39">
        <f t="shared" si="58"/>
        <v>2.6167404474913347E-27</v>
      </c>
      <c r="C300" s="39">
        <f t="shared" si="58"/>
        <v>3.2140905233068188E-25</v>
      </c>
      <c r="D300" s="39">
        <f t="shared" si="58"/>
        <v>1.9335818642625283E-23</v>
      </c>
      <c r="E300" s="39">
        <f t="shared" si="58"/>
        <v>7.5935608377841501E-22</v>
      </c>
      <c r="F300" s="39">
        <f t="shared" si="58"/>
        <v>2.189202062701632E-20</v>
      </c>
      <c r="G300" s="39">
        <f t="shared" si="58"/>
        <v>4.940061417148681E-19</v>
      </c>
      <c r="H300" s="39">
        <f t="shared" si="58"/>
        <v>9.0850396311146965E-18</v>
      </c>
      <c r="I300" s="39">
        <f t="shared" si="58"/>
        <v>1.3999406521674618E-16</v>
      </c>
      <c r="J300" s="39">
        <f t="shared" si="58"/>
        <v>1.8443100356686115E-15</v>
      </c>
      <c r="K300" s="39">
        <f t="shared" si="58"/>
        <v>2.1092575143009913E-14</v>
      </c>
      <c r="L300" s="39">
        <f t="shared" si="59"/>
        <v>2.1192093453225883E-13</v>
      </c>
      <c r="M300" s="39">
        <f t="shared" si="59"/>
        <v>1.8884480847824065E-12</v>
      </c>
      <c r="N300" s="39">
        <f t="shared" si="59"/>
        <v>1.5041524665441145E-11</v>
      </c>
      <c r="O300" s="39">
        <f t="shared" si="59"/>
        <v>1.0777448983938952E-10</v>
      </c>
      <c r="P300" s="39">
        <f t="shared" si="59"/>
        <v>6.9839384350844019E-10</v>
      </c>
      <c r="Q300" s="39">
        <f t="shared" si="59"/>
        <v>4.1115186379493833E-9</v>
      </c>
      <c r="R300" s="39">
        <f t="shared" si="59"/>
        <v>2.2074028613758686E-8</v>
      </c>
      <c r="S300" s="39">
        <f t="shared" si="59"/>
        <v>1.084310152276566E-7</v>
      </c>
      <c r="T300" s="39">
        <f t="shared" si="59"/>
        <v>4.8868447265403255E-7</v>
      </c>
      <c r="U300" s="39">
        <f t="shared" si="59"/>
        <v>2.0255565823711605E-6</v>
      </c>
      <c r="V300" s="39">
        <f t="shared" si="59"/>
        <v>7.737339036983657E-6</v>
      </c>
      <c r="W300" s="37">
        <v>0.70299999999999996</v>
      </c>
    </row>
    <row r="301" spans="2:23" x14ac:dyDescent="0.25">
      <c r="B301" s="39">
        <f t="shared" si="58"/>
        <v>3.1249080176674682E-27</v>
      </c>
      <c r="C301" s="39">
        <f t="shared" si="58"/>
        <v>3.8189596372416114E-25</v>
      </c>
      <c r="D301" s="39">
        <f t="shared" si="58"/>
        <v>2.2859236411719815E-23</v>
      </c>
      <c r="E301" s="39">
        <f t="shared" si="58"/>
        <v>8.9322059867808154E-22</v>
      </c>
      <c r="F301" s="39">
        <f t="shared" si="58"/>
        <v>2.5622128556097115E-20</v>
      </c>
      <c r="G301" s="39">
        <f t="shared" si="58"/>
        <v>5.7528086308553969E-19</v>
      </c>
      <c r="H301" s="39">
        <f t="shared" si="58"/>
        <v>1.0526763597106579E-17</v>
      </c>
      <c r="I301" s="39">
        <f t="shared" si="58"/>
        <v>1.613988805096516E-16</v>
      </c>
      <c r="J301" s="39">
        <f t="shared" si="58"/>
        <v>2.1156811484854895E-15</v>
      </c>
      <c r="K301" s="39">
        <f t="shared" si="58"/>
        <v>2.4075427754172078E-14</v>
      </c>
      <c r="L301" s="39">
        <f t="shared" si="59"/>
        <v>2.4068516428178969E-13</v>
      </c>
      <c r="M301" s="39">
        <f t="shared" si="59"/>
        <v>2.1340998518674211E-12</v>
      </c>
      <c r="N301" s="39">
        <f t="shared" si="59"/>
        <v>1.6913722982418531E-11</v>
      </c>
      <c r="O301" s="39">
        <f t="shared" si="59"/>
        <v>1.2058818364815909E-10</v>
      </c>
      <c r="P301" s="39">
        <f t="shared" si="59"/>
        <v>7.775614592980066E-10</v>
      </c>
      <c r="Q301" s="39">
        <f t="shared" si="59"/>
        <v>4.5549821329810006E-9</v>
      </c>
      <c r="R301" s="39">
        <f t="shared" si="59"/>
        <v>2.4334428234025815E-8</v>
      </c>
      <c r="S301" s="39">
        <f t="shared" si="59"/>
        <v>1.1894709029599848E-7</v>
      </c>
      <c r="T301" s="39">
        <f t="shared" si="59"/>
        <v>5.3345268241981572E-7</v>
      </c>
      <c r="U301" s="39">
        <f t="shared" si="59"/>
        <v>2.200320457741684E-6</v>
      </c>
      <c r="V301" s="39">
        <f t="shared" si="59"/>
        <v>8.3640281730217513E-6</v>
      </c>
      <c r="W301" s="37">
        <v>0.70199999999999996</v>
      </c>
    </row>
    <row r="302" spans="2:23" x14ac:dyDescent="0.25">
      <c r="B302" s="39">
        <f t="shared" si="58"/>
        <v>3.7294191184195205E-27</v>
      </c>
      <c r="C302" s="39">
        <f t="shared" si="58"/>
        <v>4.5348623220542614E-25</v>
      </c>
      <c r="D302" s="39">
        <f t="shared" si="58"/>
        <v>2.700832532375187E-23</v>
      </c>
      <c r="E302" s="39">
        <f t="shared" si="58"/>
        <v>1.0500584410223988E-21</v>
      </c>
      <c r="F302" s="39">
        <f t="shared" si="58"/>
        <v>2.9970276841282307E-20</v>
      </c>
      <c r="G302" s="39">
        <f t="shared" si="58"/>
        <v>6.695428875999053E-19</v>
      </c>
      <c r="H302" s="39">
        <f t="shared" si="58"/>
        <v>1.2190415585863703E-17</v>
      </c>
      <c r="I302" s="39">
        <f t="shared" si="58"/>
        <v>1.8597377756861355E-16</v>
      </c>
      <c r="J302" s="39">
        <f t="shared" si="58"/>
        <v>2.4256688468080803E-15</v>
      </c>
      <c r="K302" s="39">
        <f t="shared" si="58"/>
        <v>2.7465539567431622E-14</v>
      </c>
      <c r="L302" s="39">
        <f t="shared" si="59"/>
        <v>2.7321164846696901E-13</v>
      </c>
      <c r="M302" s="39">
        <f t="shared" si="59"/>
        <v>2.4104802081975127E-12</v>
      </c>
      <c r="N302" s="39">
        <f t="shared" si="59"/>
        <v>1.9009489009058361E-11</v>
      </c>
      <c r="O302" s="39">
        <f t="shared" si="59"/>
        <v>1.3485968658759886E-10</v>
      </c>
      <c r="P302" s="39">
        <f t="shared" si="59"/>
        <v>8.6529145660305254E-10</v>
      </c>
      <c r="Q302" s="39">
        <f t="shared" si="59"/>
        <v>5.0439320336291876E-9</v>
      </c>
      <c r="R302" s="39">
        <f t="shared" si="59"/>
        <v>2.6814124019153017E-8</v>
      </c>
      <c r="S302" s="39">
        <f t="shared" si="59"/>
        <v>1.3042530385327136E-7</v>
      </c>
      <c r="T302" s="39">
        <f t="shared" si="59"/>
        <v>5.8207084573657182E-7</v>
      </c>
      <c r="U302" s="39">
        <f t="shared" si="59"/>
        <v>2.3891584766175392E-6</v>
      </c>
      <c r="V302" s="39">
        <f t="shared" si="59"/>
        <v>9.0377795001401203E-6</v>
      </c>
      <c r="W302" s="37">
        <v>0.70099999999999996</v>
      </c>
    </row>
    <row r="303" spans="2:23" x14ac:dyDescent="0.25">
      <c r="B303" s="39">
        <f t="shared" ref="B303:K312" si="60">_xlfn.HYPGEOM.DIST(B$2,comau,tongtheN*$W303,tongtheN,TRUE)</f>
        <v>4.4480988820113164E-27</v>
      </c>
      <c r="C303" s="39">
        <f t="shared" si="60"/>
        <v>5.3816704266647304E-25</v>
      </c>
      <c r="D303" s="39">
        <f t="shared" si="60"/>
        <v>3.189129918114904E-23</v>
      </c>
      <c r="E303" s="39">
        <f t="shared" si="60"/>
        <v>1.2337054765535684E-21</v>
      </c>
      <c r="F303" s="39">
        <f t="shared" si="60"/>
        <v>3.5035978131310845E-20</v>
      </c>
      <c r="G303" s="39">
        <f t="shared" si="60"/>
        <v>7.7880634071159869E-19</v>
      </c>
      <c r="H303" s="39">
        <f t="shared" si="60"/>
        <v>1.410910345297124E-17</v>
      </c>
      <c r="I303" s="39">
        <f t="shared" si="60"/>
        <v>2.1417305618393835E-16</v>
      </c>
      <c r="J303" s="39">
        <f t="shared" si="60"/>
        <v>2.7795813884445637E-15</v>
      </c>
      <c r="K303" s="39">
        <f t="shared" si="60"/>
        <v>3.1316521439665347E-14</v>
      </c>
      <c r="L303" s="39">
        <f t="shared" ref="L303:V312" si="61">_xlfn.HYPGEOM.DIST(L$2,comau,tongtheN*$W303,tongtheN,TRUE)</f>
        <v>3.0997383102266809E-13</v>
      </c>
      <c r="M303" s="39">
        <f t="shared" si="61"/>
        <v>2.7212786291776194E-12</v>
      </c>
      <c r="N303" s="39">
        <f t="shared" si="61"/>
        <v>2.1354379935132959E-11</v>
      </c>
      <c r="O303" s="39">
        <f t="shared" si="61"/>
        <v>1.5074729516058496E-10</v>
      </c>
      <c r="P303" s="39">
        <f t="shared" si="61"/>
        <v>9.6246469052647338E-10</v>
      </c>
      <c r="Q303" s="39">
        <f t="shared" si="61"/>
        <v>5.5827888383081511E-9</v>
      </c>
      <c r="R303" s="39">
        <f t="shared" si="61"/>
        <v>2.9533183010172342E-8</v>
      </c>
      <c r="S303" s="39">
        <f t="shared" si="61"/>
        <v>1.4294824934199556E-7</v>
      </c>
      <c r="T303" s="39">
        <f t="shared" si="61"/>
        <v>6.3484769339423554E-7</v>
      </c>
      <c r="U303" s="39">
        <f t="shared" si="61"/>
        <v>2.5931197839131605E-6</v>
      </c>
      <c r="V303" s="39">
        <f t="shared" si="61"/>
        <v>9.7618355411613534E-6</v>
      </c>
      <c r="W303" s="37">
        <v>0.7</v>
      </c>
    </row>
    <row r="304" spans="2:23" x14ac:dyDescent="0.25">
      <c r="B304" s="39">
        <f t="shared" si="60"/>
        <v>5.149282401146594E-27</v>
      </c>
      <c r="C304" s="39">
        <f t="shared" si="60"/>
        <v>6.2040606752034537E-25</v>
      </c>
      <c r="D304" s="39">
        <f t="shared" si="60"/>
        <v>3.6611651530634878E-23</v>
      </c>
      <c r="E304" s="39">
        <f t="shared" si="60"/>
        <v>1.4104196655586922E-21</v>
      </c>
      <c r="F304" s="39">
        <f t="shared" si="60"/>
        <v>3.9888024761831713E-20</v>
      </c>
      <c r="G304" s="39">
        <f t="shared" si="60"/>
        <v>8.8298016482986975E-19</v>
      </c>
      <c r="H304" s="39">
        <f t="shared" si="60"/>
        <v>1.5930006059125083E-17</v>
      </c>
      <c r="I304" s="39">
        <f t="shared" si="60"/>
        <v>2.408121529352663E-16</v>
      </c>
      <c r="J304" s="39">
        <f t="shared" si="60"/>
        <v>3.1123765189749062E-15</v>
      </c>
      <c r="K304" s="39">
        <f t="shared" si="60"/>
        <v>3.4921082623232224E-14</v>
      </c>
      <c r="L304" s="39">
        <f t="shared" si="61"/>
        <v>3.4422556286533898E-13</v>
      </c>
      <c r="M304" s="39">
        <f t="shared" si="61"/>
        <v>3.0095229601488461E-12</v>
      </c>
      <c r="N304" s="39">
        <f t="shared" si="61"/>
        <v>2.3519119932704265E-11</v>
      </c>
      <c r="O304" s="39">
        <f t="shared" si="61"/>
        <v>1.6534696896200168E-10</v>
      </c>
      <c r="P304" s="39">
        <f t="shared" si="61"/>
        <v>1.0513506578109597E-9</v>
      </c>
      <c r="Q304" s="39">
        <f t="shared" si="61"/>
        <v>6.0734280376630098E-9</v>
      </c>
      <c r="R304" s="39">
        <f t="shared" si="61"/>
        <v>3.1997577475325218E-8</v>
      </c>
      <c r="S304" s="39">
        <f t="shared" si="61"/>
        <v>1.5424623986467747E-7</v>
      </c>
      <c r="T304" s="39">
        <f t="shared" si="61"/>
        <v>6.8224369225917059E-7</v>
      </c>
      <c r="U304" s="39">
        <f t="shared" si="61"/>
        <v>2.7754463426711113E-6</v>
      </c>
      <c r="V304" s="39">
        <f t="shared" si="61"/>
        <v>1.0406121459172901E-5</v>
      </c>
      <c r="W304" s="37">
        <v>0.69899999999999995</v>
      </c>
    </row>
    <row r="305" spans="2:23" x14ac:dyDescent="0.25">
      <c r="B305" s="39">
        <f t="shared" si="60"/>
        <v>6.1346327143822343E-27</v>
      </c>
      <c r="C305" s="39">
        <f t="shared" si="60"/>
        <v>7.3543804317419766E-25</v>
      </c>
      <c r="D305" s="39">
        <f t="shared" si="60"/>
        <v>4.318365349698331E-23</v>
      </c>
      <c r="E305" s="39">
        <f t="shared" si="60"/>
        <v>1.6553137535184218E-21</v>
      </c>
      <c r="F305" s="39">
        <f t="shared" si="60"/>
        <v>4.6580956983318344E-20</v>
      </c>
      <c r="G305" s="39">
        <f t="shared" si="60"/>
        <v>1.0260129577458287E-18</v>
      </c>
      <c r="H305" s="39">
        <f t="shared" si="60"/>
        <v>1.8418578274763116E-17</v>
      </c>
      <c r="I305" s="39">
        <f t="shared" si="60"/>
        <v>2.7705067777435701E-16</v>
      </c>
      <c r="J305" s="39">
        <f t="shared" si="60"/>
        <v>3.5630027082618586E-15</v>
      </c>
      <c r="K305" s="39">
        <f t="shared" si="60"/>
        <v>3.9779348518791445E-14</v>
      </c>
      <c r="L305" s="39">
        <f t="shared" si="61"/>
        <v>3.9017728475759265E-13</v>
      </c>
      <c r="M305" s="39">
        <f t="shared" si="61"/>
        <v>3.3944437480122082E-12</v>
      </c>
      <c r="N305" s="39">
        <f t="shared" si="61"/>
        <v>2.6396575523923803E-11</v>
      </c>
      <c r="O305" s="39">
        <f t="shared" si="61"/>
        <v>1.8466395187914479E-10</v>
      </c>
      <c r="P305" s="39">
        <f t="shared" si="61"/>
        <v>1.1684147114025724E-9</v>
      </c>
      <c r="Q305" s="39">
        <f t="shared" si="61"/>
        <v>6.7166306011040574E-9</v>
      </c>
      <c r="R305" s="39">
        <f t="shared" si="61"/>
        <v>3.5213398505589711E-8</v>
      </c>
      <c r="S305" s="39">
        <f t="shared" si="61"/>
        <v>1.6892130130801971E-7</v>
      </c>
      <c r="T305" s="39">
        <f t="shared" si="61"/>
        <v>7.4352364623603692E-7</v>
      </c>
      <c r="U305" s="39">
        <f t="shared" si="61"/>
        <v>3.0100991010212739E-6</v>
      </c>
      <c r="V305" s="39">
        <f t="shared" si="61"/>
        <v>1.1231502132867317E-5</v>
      </c>
      <c r="W305" s="37">
        <v>0.69799999999999995</v>
      </c>
    </row>
    <row r="306" spans="2:23" x14ac:dyDescent="0.25">
      <c r="B306" s="39">
        <f t="shared" si="60"/>
        <v>7.3040719847904786E-27</v>
      </c>
      <c r="C306" s="39">
        <f t="shared" si="60"/>
        <v>8.7127513096309395E-25</v>
      </c>
      <c r="D306" s="39">
        <f t="shared" si="60"/>
        <v>5.0905318942023572E-23</v>
      </c>
      <c r="E306" s="39">
        <f t="shared" si="60"/>
        <v>1.9416035391905736E-21</v>
      </c>
      <c r="F306" s="39">
        <f t="shared" si="60"/>
        <v>5.4365963450368717E-20</v>
      </c>
      <c r="G306" s="39">
        <f t="shared" si="60"/>
        <v>1.1915495111452735E-18</v>
      </c>
      <c r="H306" s="39">
        <f t="shared" si="60"/>
        <v>2.1284240615161615E-17</v>
      </c>
      <c r="I306" s="39">
        <f t="shared" si="60"/>
        <v>3.1857117025979685E-16</v>
      </c>
      <c r="J306" s="39">
        <f t="shared" si="60"/>
        <v>4.0767225836486647E-15</v>
      </c>
      <c r="K306" s="39">
        <f t="shared" si="60"/>
        <v>4.5290088396048481E-14</v>
      </c>
      <c r="L306" s="39">
        <f t="shared" si="61"/>
        <v>4.4203935478269396E-13</v>
      </c>
      <c r="M306" s="39">
        <f t="shared" si="61"/>
        <v>3.8266983081813018E-12</v>
      </c>
      <c r="N306" s="39">
        <f t="shared" si="61"/>
        <v>2.9611699621096712E-11</v>
      </c>
      <c r="O306" s="39">
        <f t="shared" si="61"/>
        <v>2.0613978553259422E-10</v>
      </c>
      <c r="P306" s="39">
        <f t="shared" si="61"/>
        <v>1.2979107996269787E-9</v>
      </c>
      <c r="Q306" s="39">
        <f t="shared" si="61"/>
        <v>7.4245828128322742E-9</v>
      </c>
      <c r="R306" s="39">
        <f t="shared" si="61"/>
        <v>3.8735256663155698E-8</v>
      </c>
      <c r="S306" s="39">
        <f t="shared" si="61"/>
        <v>1.8491262664581996E-7</v>
      </c>
      <c r="T306" s="39">
        <f t="shared" si="61"/>
        <v>8.09966492460912E-7</v>
      </c>
      <c r="U306" s="39">
        <f t="shared" si="61"/>
        <v>3.2632511538713236E-6</v>
      </c>
      <c r="V306" s="39">
        <f t="shared" si="61"/>
        <v>1.211750841554531E-5</v>
      </c>
      <c r="W306" s="37">
        <v>0.69699999999999995</v>
      </c>
    </row>
    <row r="307" spans="2:23" x14ac:dyDescent="0.25">
      <c r="B307" s="39">
        <f t="shared" si="60"/>
        <v>8.6911649340992665E-27</v>
      </c>
      <c r="C307" s="39">
        <f t="shared" si="60"/>
        <v>1.0315861928294033E-24</v>
      </c>
      <c r="D307" s="39">
        <f t="shared" si="60"/>
        <v>5.9972537521611718E-23</v>
      </c>
      <c r="E307" s="39">
        <f t="shared" si="60"/>
        <v>2.2760970287487015E-21</v>
      </c>
      <c r="F307" s="39">
        <f t="shared" si="60"/>
        <v>6.3416206454553306E-20</v>
      </c>
      <c r="G307" s="39">
        <f t="shared" si="60"/>
        <v>1.383025954649303E-18</v>
      </c>
      <c r="H307" s="39">
        <f t="shared" si="60"/>
        <v>2.4582367607376858E-17</v>
      </c>
      <c r="I307" s="39">
        <f t="shared" si="60"/>
        <v>3.6611854020918662E-16</v>
      </c>
      <c r="J307" s="39">
        <f t="shared" si="60"/>
        <v>4.6620687089116314E-15</v>
      </c>
      <c r="K307" s="39">
        <f t="shared" si="60"/>
        <v>5.1537777305955736E-14</v>
      </c>
      <c r="L307" s="39">
        <f t="shared" si="61"/>
        <v>5.0054303229838543E-13</v>
      </c>
      <c r="M307" s="39">
        <f t="shared" si="61"/>
        <v>4.3118722467350123E-12</v>
      </c>
      <c r="N307" s="39">
        <f t="shared" si="61"/>
        <v>3.320241439698334E-11</v>
      </c>
      <c r="O307" s="39">
        <f t="shared" si="61"/>
        <v>2.3000466319723612E-10</v>
      </c>
      <c r="P307" s="39">
        <f t="shared" si="61"/>
        <v>1.4410941654863835E-9</v>
      </c>
      <c r="Q307" s="39">
        <f t="shared" si="61"/>
        <v>8.203457016219345E-9</v>
      </c>
      <c r="R307" s="39">
        <f t="shared" si="61"/>
        <v>4.2590603187812896E-8</v>
      </c>
      <c r="S307" s="39">
        <f t="shared" si="61"/>
        <v>2.0233089267096952E-7</v>
      </c>
      <c r="T307" s="39">
        <f t="shared" si="61"/>
        <v>8.8197740421011051E-7</v>
      </c>
      <c r="U307" s="39">
        <f t="shared" si="61"/>
        <v>3.5362506684201551E-6</v>
      </c>
      <c r="V307" s="39">
        <f t="shared" si="61"/>
        <v>1.3068218892230951E-5</v>
      </c>
      <c r="W307" s="37">
        <v>0.69599999999999995</v>
      </c>
    </row>
    <row r="308" spans="2:23" x14ac:dyDescent="0.25">
      <c r="B308" s="39">
        <f t="shared" si="60"/>
        <v>1.0335446280059582E-26</v>
      </c>
      <c r="C308" s="39">
        <f t="shared" si="60"/>
        <v>1.2206706027607191E-24</v>
      </c>
      <c r="D308" s="39">
        <f t="shared" si="60"/>
        <v>7.0613691164092658E-23</v>
      </c>
      <c r="E308" s="39">
        <f t="shared" si="60"/>
        <v>2.6666908996408257E-21</v>
      </c>
      <c r="F308" s="39">
        <f t="shared" si="60"/>
        <v>7.3931510872090556E-20</v>
      </c>
      <c r="G308" s="39">
        <f t="shared" si="60"/>
        <v>1.6043871767588452E-18</v>
      </c>
      <c r="H308" s="39">
        <f t="shared" si="60"/>
        <v>2.8376206405098606E-17</v>
      </c>
      <c r="I308" s="39">
        <f t="shared" si="60"/>
        <v>4.2053922872792029E-16</v>
      </c>
      <c r="J308" s="39">
        <f t="shared" si="60"/>
        <v>5.3286867112268673E-15</v>
      </c>
      <c r="K308" s="39">
        <f t="shared" si="60"/>
        <v>5.8617417177985396E-14</v>
      </c>
      <c r="L308" s="39">
        <f t="shared" si="61"/>
        <v>5.6650644828630608E-13</v>
      </c>
      <c r="M308" s="39">
        <f t="shared" si="61"/>
        <v>4.8561823029961077E-12</v>
      </c>
      <c r="N308" s="39">
        <f t="shared" si="61"/>
        <v>3.7210707248992784E-11</v>
      </c>
      <c r="O308" s="39">
        <f t="shared" si="61"/>
        <v>2.5651212278351949E-10</v>
      </c>
      <c r="P308" s="39">
        <f t="shared" si="61"/>
        <v>1.5993400922765869E-9</v>
      </c>
      <c r="Q308" s="39">
        <f t="shared" si="61"/>
        <v>9.0599801288149988E-9</v>
      </c>
      <c r="R308" s="39">
        <f t="shared" si="61"/>
        <v>4.6809196835430755E-8</v>
      </c>
      <c r="S308" s="39">
        <f t="shared" si="61"/>
        <v>2.2129543720934747E-7</v>
      </c>
      <c r="T308" s="39">
        <f t="shared" si="61"/>
        <v>9.5999090070316773E-7</v>
      </c>
      <c r="U308" s="39">
        <f t="shared" si="61"/>
        <v>3.8305355527010597E-6</v>
      </c>
      <c r="V308" s="39">
        <f t="shared" si="61"/>
        <v>1.4087959510733841E-5</v>
      </c>
      <c r="W308" s="37">
        <v>0.69499999999999995</v>
      </c>
    </row>
    <row r="309" spans="2:23" x14ac:dyDescent="0.25">
      <c r="B309" s="39">
        <f t="shared" si="60"/>
        <v>1.1935482879047162E-26</v>
      </c>
      <c r="C309" s="39">
        <f t="shared" si="60"/>
        <v>1.4038285299982453E-24</v>
      </c>
      <c r="D309" s="39">
        <f t="shared" si="60"/>
        <v>8.0874351395980946E-23</v>
      </c>
      <c r="E309" s="39">
        <f t="shared" si="60"/>
        <v>3.0416026022353147E-21</v>
      </c>
      <c r="F309" s="39">
        <f t="shared" si="60"/>
        <v>8.3978658550203197E-20</v>
      </c>
      <c r="G309" s="39">
        <f t="shared" si="60"/>
        <v>1.8149298948656902E-18</v>
      </c>
      <c r="H309" s="39">
        <f t="shared" si="60"/>
        <v>3.1968201068181276E-17</v>
      </c>
      <c r="I309" s="39">
        <f t="shared" si="60"/>
        <v>4.7183001420952471E-16</v>
      </c>
      <c r="J309" s="39">
        <f t="shared" si="60"/>
        <v>5.9541059618398705E-15</v>
      </c>
      <c r="K309" s="39">
        <f t="shared" si="60"/>
        <v>6.5229292295979139E-14</v>
      </c>
      <c r="L309" s="39">
        <f t="shared" si="61"/>
        <v>6.2783126532623804E-13</v>
      </c>
      <c r="M309" s="39">
        <f t="shared" si="61"/>
        <v>5.3599142637783519E-12</v>
      </c>
      <c r="N309" s="39">
        <f t="shared" si="61"/>
        <v>4.09033134600021E-11</v>
      </c>
      <c r="O309" s="39">
        <f t="shared" si="61"/>
        <v>2.8082086224591559E-10</v>
      </c>
      <c r="P309" s="39">
        <f t="shared" si="61"/>
        <v>1.7438002306052587E-9</v>
      </c>
      <c r="Q309" s="39">
        <f t="shared" si="61"/>
        <v>9.8383322314571065E-9</v>
      </c>
      <c r="R309" s="39">
        <f t="shared" si="61"/>
        <v>5.0625357188783517E-8</v>
      </c>
      <c r="S309" s="39">
        <f t="shared" si="61"/>
        <v>2.3837291054521457E-7</v>
      </c>
      <c r="T309" s="39">
        <f t="shared" si="61"/>
        <v>1.0299225213232364E-6</v>
      </c>
      <c r="U309" s="39">
        <f t="shared" si="61"/>
        <v>4.0931356170738509E-6</v>
      </c>
      <c r="V309" s="39">
        <f t="shared" si="61"/>
        <v>1.4993775506337873E-5</v>
      </c>
      <c r="W309" s="37">
        <v>0.69399999999999995</v>
      </c>
    </row>
    <row r="310" spans="2:23" x14ac:dyDescent="0.25">
      <c r="B310" s="39">
        <f t="shared" si="60"/>
        <v>1.4178037686729347E-26</v>
      </c>
      <c r="C310" s="39">
        <f t="shared" si="60"/>
        <v>1.6593576576982749E-24</v>
      </c>
      <c r="D310" s="39">
        <f t="shared" si="60"/>
        <v>9.5123616923841685E-23</v>
      </c>
      <c r="E310" s="39">
        <f t="shared" si="60"/>
        <v>3.5598648634979092E-21</v>
      </c>
      <c r="F310" s="39">
        <f t="shared" si="60"/>
        <v>9.7803740850828291E-20</v>
      </c>
      <c r="G310" s="39">
        <f t="shared" si="60"/>
        <v>2.1033134218612036E-18</v>
      </c>
      <c r="H310" s="39">
        <f t="shared" si="60"/>
        <v>3.6865674882827856E-17</v>
      </c>
      <c r="I310" s="39">
        <f t="shared" si="60"/>
        <v>5.4144182595228532E-16</v>
      </c>
      <c r="J310" s="39">
        <f t="shared" si="60"/>
        <v>6.7990401994692781E-15</v>
      </c>
      <c r="K310" s="39">
        <f t="shared" si="60"/>
        <v>7.4121002728049158E-14</v>
      </c>
      <c r="L310" s="39">
        <f t="shared" si="61"/>
        <v>7.0992440433105224E-13</v>
      </c>
      <c r="M310" s="39">
        <f t="shared" si="61"/>
        <v>6.0311591125635869E-12</v>
      </c>
      <c r="N310" s="39">
        <f t="shared" si="61"/>
        <v>4.5801397559095181E-11</v>
      </c>
      <c r="O310" s="39">
        <f t="shared" si="61"/>
        <v>3.1291815377443472E-10</v>
      </c>
      <c r="P310" s="39">
        <f t="shared" si="61"/>
        <v>1.9336751499950204E-9</v>
      </c>
      <c r="Q310" s="39">
        <f t="shared" si="61"/>
        <v>1.0856713091147204E-8</v>
      </c>
      <c r="R310" s="39">
        <f t="shared" si="61"/>
        <v>5.559558401837054E-8</v>
      </c>
      <c r="S310" s="39">
        <f t="shared" si="61"/>
        <v>2.6051352132233575E-7</v>
      </c>
      <c r="T310" s="39">
        <f t="shared" si="61"/>
        <v>1.1201745304551165E-6</v>
      </c>
      <c r="U310" s="39">
        <f t="shared" si="61"/>
        <v>4.4304977505144902E-6</v>
      </c>
      <c r="V310" s="39">
        <f t="shared" si="61"/>
        <v>1.6152181049129878E-5</v>
      </c>
      <c r="W310" s="37">
        <v>0.69299999999999995</v>
      </c>
    </row>
    <row r="311" spans="2:23" x14ac:dyDescent="0.25">
      <c r="B311" s="39">
        <f t="shared" si="60"/>
        <v>1.6831996335351569E-26</v>
      </c>
      <c r="C311" s="39">
        <f t="shared" si="60"/>
        <v>1.9602599461147921E-24</v>
      </c>
      <c r="D311" s="39">
        <f t="shared" si="60"/>
        <v>1.1181961022179681E-22</v>
      </c>
      <c r="E311" s="39">
        <f t="shared" si="60"/>
        <v>4.1640983396503089E-21</v>
      </c>
      <c r="F311" s="39">
        <f t="shared" si="60"/>
        <v>1.1384206721657513E-19</v>
      </c>
      <c r="G311" s="39">
        <f t="shared" si="60"/>
        <v>2.4362017770098364E-18</v>
      </c>
      <c r="H311" s="39">
        <f t="shared" si="60"/>
        <v>4.249087292643227E-17</v>
      </c>
      <c r="I311" s="39">
        <f t="shared" si="60"/>
        <v>6.2100037937668211E-16</v>
      </c>
      <c r="J311" s="39">
        <f t="shared" si="60"/>
        <v>7.7599127815301454E-15</v>
      </c>
      <c r="K311" s="39">
        <f t="shared" si="60"/>
        <v>8.4182621532345177E-14</v>
      </c>
      <c r="L311" s="39">
        <f t="shared" si="61"/>
        <v>8.0235798345049781E-13</v>
      </c>
      <c r="M311" s="39">
        <f t="shared" si="61"/>
        <v>6.7832060280633607E-12</v>
      </c>
      <c r="N311" s="39">
        <f t="shared" si="61"/>
        <v>5.126189198239706E-11</v>
      </c>
      <c r="O311" s="39">
        <f t="shared" si="61"/>
        <v>3.485236119571113E-10</v>
      </c>
      <c r="P311" s="39">
        <f t="shared" si="61"/>
        <v>2.1432595505975517E-9</v>
      </c>
      <c r="Q311" s="39">
        <f t="shared" si="61"/>
        <v>1.1975237430193847E-8</v>
      </c>
      <c r="R311" s="39">
        <f t="shared" si="61"/>
        <v>6.1027536656917282E-8</v>
      </c>
      <c r="S311" s="39">
        <f t="shared" si="61"/>
        <v>2.8459119991400005E-7</v>
      </c>
      <c r="T311" s="39">
        <f t="shared" si="61"/>
        <v>1.2178370308326415E-6</v>
      </c>
      <c r="U311" s="39">
        <f t="shared" si="61"/>
        <v>4.7937547011660367E-6</v>
      </c>
      <c r="V311" s="39">
        <f t="shared" si="61"/>
        <v>1.7393334719497962E-5</v>
      </c>
      <c r="W311" s="37">
        <v>0.69199999999999995</v>
      </c>
    </row>
    <row r="312" spans="2:23" x14ac:dyDescent="0.25">
      <c r="B312" s="39">
        <f t="shared" si="60"/>
        <v>1.9971020351776792E-26</v>
      </c>
      <c r="C312" s="39">
        <f t="shared" si="60"/>
        <v>2.314391188868069E-24</v>
      </c>
      <c r="D312" s="39">
        <f t="shared" si="60"/>
        <v>1.3137155608284381E-22</v>
      </c>
      <c r="E312" s="39">
        <f t="shared" si="60"/>
        <v>4.8681786226237045E-21</v>
      </c>
      <c r="F312" s="39">
        <f t="shared" si="60"/>
        <v>1.3243795107870218E-19</v>
      </c>
      <c r="G312" s="39">
        <f t="shared" si="60"/>
        <v>2.8202603485677993E-18</v>
      </c>
      <c r="H312" s="39">
        <f t="shared" si="60"/>
        <v>4.8948581730100971E-17</v>
      </c>
      <c r="I312" s="39">
        <f t="shared" si="60"/>
        <v>7.1188073122250436E-16</v>
      </c>
      <c r="J312" s="39">
        <f t="shared" si="60"/>
        <v>8.8520874590953007E-15</v>
      </c>
      <c r="K312" s="39">
        <f t="shared" si="60"/>
        <v>9.5562510877041306E-14</v>
      </c>
      <c r="L312" s="39">
        <f t="shared" si="61"/>
        <v>9.0638461201477684E-13</v>
      </c>
      <c r="M312" s="39">
        <f t="shared" si="61"/>
        <v>7.6253860947647362E-12</v>
      </c>
      <c r="N312" s="39">
        <f t="shared" si="61"/>
        <v>5.7346574962883554E-11</v>
      </c>
      <c r="O312" s="39">
        <f t="shared" si="61"/>
        <v>3.8800289202898533E-10</v>
      </c>
      <c r="P312" s="39">
        <f t="shared" si="61"/>
        <v>2.3744974154338279E-9</v>
      </c>
      <c r="Q312" s="39">
        <f t="shared" si="61"/>
        <v>1.3203223600487644E-8</v>
      </c>
      <c r="R312" s="39">
        <f t="shared" si="61"/>
        <v>6.6961607723907144E-8</v>
      </c>
      <c r="S312" s="39">
        <f t="shared" si="61"/>
        <v>3.1076463966613461E-7</v>
      </c>
      <c r="T312" s="39">
        <f t="shared" si="61"/>
        <v>1.3234759956814229E-6</v>
      </c>
      <c r="U312" s="39">
        <f t="shared" si="61"/>
        <v>5.1847405388845514E-6</v>
      </c>
      <c r="V312" s="39">
        <f t="shared" si="61"/>
        <v>1.8722638168054928E-5</v>
      </c>
      <c r="W312" s="37">
        <v>0.69099999999999995</v>
      </c>
    </row>
    <row r="313" spans="2:23" x14ac:dyDescent="0.25">
      <c r="B313" s="39">
        <f t="shared" ref="B313:K322" si="62">_xlfn.HYPGEOM.DIST(B$2,comau,tongtheN*$W313,tongtheN,TRUE)</f>
        <v>2.3019400059959785E-26</v>
      </c>
      <c r="C313" s="39">
        <f t="shared" si="62"/>
        <v>2.65674074754157E-24</v>
      </c>
      <c r="D313" s="39">
        <f t="shared" si="62"/>
        <v>1.5018754230066296E-22</v>
      </c>
      <c r="E313" s="39">
        <f t="shared" si="62"/>
        <v>5.5426927025181406E-21</v>
      </c>
      <c r="F313" s="39">
        <f t="shared" si="62"/>
        <v>1.5017240677705963E-19</v>
      </c>
      <c r="G313" s="39">
        <f t="shared" si="62"/>
        <v>3.1848724394791505E-18</v>
      </c>
      <c r="H313" s="39">
        <f t="shared" si="62"/>
        <v>5.5051604495815721E-17</v>
      </c>
      <c r="I313" s="39">
        <f t="shared" si="62"/>
        <v>7.9738146129555936E-16</v>
      </c>
      <c r="J313" s="39">
        <f t="shared" si="62"/>
        <v>9.8749695597401205E-15</v>
      </c>
      <c r="K313" s="39">
        <f t="shared" si="62"/>
        <v>1.0617227010921871E-13</v>
      </c>
      <c r="L313" s="39">
        <f t="shared" ref="L313:V322" si="63">_xlfn.HYPGEOM.DIST(L$2,comau,tongtheN*$W313,tongtheN,TRUE)</f>
        <v>1.0029333022668302E-12</v>
      </c>
      <c r="M313" s="39">
        <f t="shared" si="63"/>
        <v>8.403497093756905E-12</v>
      </c>
      <c r="N313" s="39">
        <f t="shared" si="63"/>
        <v>6.2942986510801227E-11</v>
      </c>
      <c r="O313" s="39">
        <f t="shared" si="63"/>
        <v>4.2415023356425511E-10</v>
      </c>
      <c r="P313" s="39">
        <f t="shared" si="63"/>
        <v>2.5852640669181186E-9</v>
      </c>
      <c r="Q313" s="39">
        <f t="shared" si="63"/>
        <v>1.431744779511181E-8</v>
      </c>
      <c r="R313" s="39">
        <f t="shared" si="63"/>
        <v>7.2321651930471829E-8</v>
      </c>
      <c r="S313" s="39">
        <f t="shared" si="63"/>
        <v>3.3429959101845777E-7</v>
      </c>
      <c r="T313" s="39">
        <f t="shared" si="63"/>
        <v>1.4180373903226115E-6</v>
      </c>
      <c r="U313" s="39">
        <f t="shared" si="63"/>
        <v>5.5331487174489681E-6</v>
      </c>
      <c r="V313" s="39">
        <f t="shared" si="63"/>
        <v>1.9901843356485702E-5</v>
      </c>
      <c r="W313" s="37">
        <v>0.69</v>
      </c>
    </row>
    <row r="314" spans="2:23" x14ac:dyDescent="0.25">
      <c r="B314" s="39">
        <f t="shared" si="62"/>
        <v>2.7283234521647196E-26</v>
      </c>
      <c r="C314" s="39">
        <f t="shared" si="62"/>
        <v>3.1334106509625442E-24</v>
      </c>
      <c r="D314" s="39">
        <f t="shared" si="62"/>
        <v>1.7626663882295451E-22</v>
      </c>
      <c r="E314" s="39">
        <f t="shared" si="62"/>
        <v>6.4733184840888365E-21</v>
      </c>
      <c r="F314" s="39">
        <f t="shared" si="62"/>
        <v>1.7452926881819053E-19</v>
      </c>
      <c r="G314" s="39">
        <f t="shared" si="62"/>
        <v>3.6833606107939202E-18</v>
      </c>
      <c r="H314" s="39">
        <f t="shared" si="62"/>
        <v>6.3357567738904999E-17</v>
      </c>
      <c r="I314" s="39">
        <f t="shared" si="62"/>
        <v>9.1321570452015905E-16</v>
      </c>
      <c r="J314" s="39">
        <f t="shared" si="62"/>
        <v>1.1254450651024903E-14</v>
      </c>
      <c r="K314" s="39">
        <f t="shared" si="62"/>
        <v>1.2041586566281513E-13</v>
      </c>
      <c r="L314" s="39">
        <f t="shared" si="63"/>
        <v>1.1319617057851933E-12</v>
      </c>
      <c r="M314" s="39">
        <f t="shared" si="63"/>
        <v>9.4386540924853213E-12</v>
      </c>
      <c r="N314" s="39">
        <f t="shared" si="63"/>
        <v>7.0354398261619392E-11</v>
      </c>
      <c r="O314" s="39">
        <f t="shared" si="63"/>
        <v>4.7180377553044873E-10</v>
      </c>
      <c r="P314" s="39">
        <f t="shared" si="63"/>
        <v>2.8618621340762952E-9</v>
      </c>
      <c r="Q314" s="39">
        <f t="shared" si="63"/>
        <v>1.5773071587681773E-8</v>
      </c>
      <c r="R314" s="39">
        <f t="shared" si="63"/>
        <v>7.9292331854388002E-8</v>
      </c>
      <c r="S314" s="39">
        <f t="shared" si="63"/>
        <v>3.6476809816669289E-7</v>
      </c>
      <c r="T314" s="39">
        <f t="shared" si="63"/>
        <v>1.5399037199712725E-6</v>
      </c>
      <c r="U314" s="39">
        <f t="shared" si="63"/>
        <v>5.9801317985837997E-6</v>
      </c>
      <c r="V314" s="39">
        <f t="shared" si="63"/>
        <v>2.1407846556581322E-5</v>
      </c>
      <c r="W314" s="37">
        <v>0.68899999999999995</v>
      </c>
    </row>
    <row r="315" spans="2:23" x14ac:dyDescent="0.25">
      <c r="B315" s="39">
        <f t="shared" si="62"/>
        <v>3.2318240905781388E-26</v>
      </c>
      <c r="C315" s="39">
        <f t="shared" si="62"/>
        <v>3.6935132463749513E-24</v>
      </c>
      <c r="D315" s="39">
        <f t="shared" si="62"/>
        <v>2.0675915376102741E-22</v>
      </c>
      <c r="E315" s="39">
        <f t="shared" si="62"/>
        <v>7.5560663077297177E-21</v>
      </c>
      <c r="F315" s="39">
        <f t="shared" si="62"/>
        <v>2.0272775517954028E-19</v>
      </c>
      <c r="G315" s="39">
        <f t="shared" si="62"/>
        <v>4.2576254453251109E-18</v>
      </c>
      <c r="H315" s="39">
        <f t="shared" si="62"/>
        <v>7.287897097086597E-17</v>
      </c>
      <c r="I315" s="39">
        <f t="shared" si="62"/>
        <v>1.0453459336430848E-15</v>
      </c>
      <c r="J315" s="39">
        <f t="shared" si="62"/>
        <v>1.2820249337530178E-14</v>
      </c>
      <c r="K315" s="39">
        <f t="shared" si="62"/>
        <v>1.3650362035924776E-13</v>
      </c>
      <c r="L315" s="39">
        <f t="shared" si="63"/>
        <v>1.2769782108219319E-12</v>
      </c>
      <c r="M315" s="39">
        <f t="shared" si="63"/>
        <v>1.0596352188672931E-11</v>
      </c>
      <c r="N315" s="39">
        <f t="shared" si="63"/>
        <v>7.8602380185478459E-11</v>
      </c>
      <c r="O315" s="39">
        <f t="shared" si="63"/>
        <v>5.2457537806866371E-10</v>
      </c>
      <c r="P315" s="39">
        <f t="shared" si="63"/>
        <v>3.1666609320136576E-9</v>
      </c>
      <c r="Q315" s="39">
        <f t="shared" si="63"/>
        <v>1.7369218787301572E-8</v>
      </c>
      <c r="R315" s="39">
        <f t="shared" si="63"/>
        <v>8.6898383925175761E-8</v>
      </c>
      <c r="S315" s="39">
        <f t="shared" si="63"/>
        <v>3.978504486244551E-7</v>
      </c>
      <c r="T315" s="39">
        <f t="shared" si="63"/>
        <v>1.6715748653156843E-6</v>
      </c>
      <c r="U315" s="39">
        <f t="shared" si="63"/>
        <v>6.4607058704885459E-6</v>
      </c>
      <c r="V315" s="39">
        <f t="shared" si="63"/>
        <v>2.3019078943941801E-5</v>
      </c>
      <c r="W315" s="37">
        <v>0.68799999999999994</v>
      </c>
    </row>
    <row r="316" spans="2:23" x14ac:dyDescent="0.25">
      <c r="B316" s="39">
        <f t="shared" si="62"/>
        <v>3.8260554701621914E-26</v>
      </c>
      <c r="C316" s="39">
        <f t="shared" si="62"/>
        <v>4.3512883469487924E-24</v>
      </c>
      <c r="D316" s="39">
        <f t="shared" si="62"/>
        <v>2.4239261904814385E-22</v>
      </c>
      <c r="E316" s="39">
        <f t="shared" si="62"/>
        <v>8.8151302352905487E-21</v>
      </c>
      <c r="F316" s="39">
        <f t="shared" si="62"/>
        <v>2.3535666668542721E-19</v>
      </c>
      <c r="G316" s="39">
        <f t="shared" si="62"/>
        <v>4.9188454992279183E-18</v>
      </c>
      <c r="H316" s="39">
        <f t="shared" si="62"/>
        <v>8.3788159144342668E-17</v>
      </c>
      <c r="I316" s="39">
        <f t="shared" si="62"/>
        <v>1.1959899964170854E-15</v>
      </c>
      <c r="J316" s="39">
        <f t="shared" si="62"/>
        <v>1.4596665791849694E-14</v>
      </c>
      <c r="K316" s="39">
        <f t="shared" si="62"/>
        <v>1.5466563422506288E-13</v>
      </c>
      <c r="L316" s="39">
        <f t="shared" si="63"/>
        <v>1.4398876986873115E-12</v>
      </c>
      <c r="M316" s="39">
        <f t="shared" si="63"/>
        <v>1.1890504259093906E-11</v>
      </c>
      <c r="N316" s="39">
        <f t="shared" si="63"/>
        <v>8.7777239452402185E-11</v>
      </c>
      <c r="O316" s="39">
        <f t="shared" si="63"/>
        <v>5.8298903307855881E-10</v>
      </c>
      <c r="P316" s="39">
        <f t="shared" si="63"/>
        <v>3.5023911284111281E-9</v>
      </c>
      <c r="Q316" s="39">
        <f t="shared" si="63"/>
        <v>1.9118718268867964E-8</v>
      </c>
      <c r="R316" s="39">
        <f t="shared" si="63"/>
        <v>9.5194304042041663E-8</v>
      </c>
      <c r="S316" s="39">
        <f t="shared" si="63"/>
        <v>4.3375641996035809E-7</v>
      </c>
      <c r="T316" s="39">
        <f t="shared" si="63"/>
        <v>1.8137837249471888E-6</v>
      </c>
      <c r="U316" s="39">
        <f t="shared" si="63"/>
        <v>6.9771968705739916E-6</v>
      </c>
      <c r="V316" s="39">
        <f t="shared" si="63"/>
        <v>2.4742247056683076E-5</v>
      </c>
      <c r="W316" s="37">
        <v>0.68700000000000006</v>
      </c>
    </row>
    <row r="317" spans="2:23" x14ac:dyDescent="0.25">
      <c r="B317" s="39">
        <f t="shared" si="62"/>
        <v>4.4019902619103444E-26</v>
      </c>
      <c r="C317" s="39">
        <f t="shared" si="62"/>
        <v>4.9859476412883728E-24</v>
      </c>
      <c r="D317" s="39">
        <f t="shared" si="62"/>
        <v>2.7661948260072281E-22</v>
      </c>
      <c r="E317" s="39">
        <f t="shared" si="62"/>
        <v>1.0019065133510934E-20</v>
      </c>
      <c r="F317" s="39">
        <f t="shared" si="62"/>
        <v>2.6641687267845042E-19</v>
      </c>
      <c r="G317" s="39">
        <f t="shared" si="62"/>
        <v>5.5454516183912417E-18</v>
      </c>
      <c r="H317" s="39">
        <f t="shared" si="62"/>
        <v>9.4079886262303248E-17</v>
      </c>
      <c r="I317" s="39">
        <f t="shared" si="62"/>
        <v>1.3374701127044698E-15</v>
      </c>
      <c r="J317" s="39">
        <f t="shared" si="62"/>
        <v>1.6257537464372438E-14</v>
      </c>
      <c r="K317" s="39">
        <f t="shared" si="62"/>
        <v>1.7157018128866834E-13</v>
      </c>
      <c r="L317" s="39">
        <f t="shared" si="63"/>
        <v>1.5908381798966122E-12</v>
      </c>
      <c r="M317" s="39">
        <f t="shared" si="63"/>
        <v>1.3084278940657993E-11</v>
      </c>
      <c r="N317" s="39">
        <f t="shared" si="63"/>
        <v>9.6202546428788158E-11</v>
      </c>
      <c r="O317" s="39">
        <f t="shared" si="63"/>
        <v>6.3639014661326228E-10</v>
      </c>
      <c r="P317" s="39">
        <f t="shared" si="63"/>
        <v>3.8079369051935344E-9</v>
      </c>
      <c r="Q317" s="39">
        <f t="shared" si="63"/>
        <v>2.0703793890621536E-8</v>
      </c>
      <c r="R317" s="39">
        <f t="shared" si="63"/>
        <v>1.0267688381517164E-7</v>
      </c>
      <c r="S317" s="39">
        <f t="shared" si="63"/>
        <v>4.6599711805589771E-7</v>
      </c>
      <c r="T317" s="39">
        <f t="shared" si="63"/>
        <v>1.94090425943789E-6</v>
      </c>
      <c r="U317" s="39">
        <f t="shared" si="63"/>
        <v>7.4368216663591455E-6</v>
      </c>
      <c r="V317" s="39">
        <f t="shared" si="63"/>
        <v>2.6268829668698591E-5</v>
      </c>
      <c r="W317" s="37">
        <v>0.68600000000000005</v>
      </c>
    </row>
    <row r="318" spans="2:23" x14ac:dyDescent="0.25">
      <c r="B318" s="39">
        <f t="shared" si="62"/>
        <v>5.205970698741526E-26</v>
      </c>
      <c r="C318" s="39">
        <f t="shared" si="62"/>
        <v>5.867897940895549E-24</v>
      </c>
      <c r="D318" s="39">
        <f t="shared" si="62"/>
        <v>3.2396760437544139E-22</v>
      </c>
      <c r="E318" s="39">
        <f t="shared" si="62"/>
        <v>1.1677016256410983E-20</v>
      </c>
      <c r="F318" s="39">
        <f t="shared" si="62"/>
        <v>3.0899700436618615E-19</v>
      </c>
      <c r="G318" s="39">
        <f t="shared" si="62"/>
        <v>6.4005815919243014E-18</v>
      </c>
      <c r="H318" s="39">
        <f t="shared" si="62"/>
        <v>1.0806163419664447E-16</v>
      </c>
      <c r="I318" s="39">
        <f t="shared" si="62"/>
        <v>1.5288098617515212E-15</v>
      </c>
      <c r="J318" s="39">
        <f t="shared" si="62"/>
        <v>1.8493596846400052E-14</v>
      </c>
      <c r="K318" s="39">
        <f t="shared" si="62"/>
        <v>1.9422648887892681E-13</v>
      </c>
      <c r="L318" s="39">
        <f t="shared" si="63"/>
        <v>1.7922381065794279E-12</v>
      </c>
      <c r="M318" s="39">
        <f t="shared" si="63"/>
        <v>1.4669855644830091E-11</v>
      </c>
      <c r="N318" s="39">
        <f t="shared" si="63"/>
        <v>1.0734271042902658E-10</v>
      </c>
      <c r="O318" s="39">
        <f t="shared" si="63"/>
        <v>7.0668086688523189E-10</v>
      </c>
      <c r="P318" s="39">
        <f t="shared" si="63"/>
        <v>4.2083116409318609E-9</v>
      </c>
      <c r="Q318" s="39">
        <f t="shared" si="63"/>
        <v>2.2771476781998087E-8</v>
      </c>
      <c r="R318" s="39">
        <f t="shared" si="63"/>
        <v>1.1239382868622927E-7</v>
      </c>
      <c r="S318" s="39">
        <f t="shared" si="63"/>
        <v>5.0767715755603982E-7</v>
      </c>
      <c r="T318" s="39">
        <f t="shared" si="63"/>
        <v>2.1045051119338034E-6</v>
      </c>
      <c r="U318" s="39">
        <f t="shared" si="63"/>
        <v>8.0256928914574772E-6</v>
      </c>
      <c r="V318" s="39">
        <f t="shared" si="63"/>
        <v>2.8215915465875409E-5</v>
      </c>
      <c r="W318" s="37">
        <v>0.68500000000000005</v>
      </c>
    </row>
    <row r="319" spans="2:23" x14ac:dyDescent="0.25">
      <c r="B319" s="39">
        <f t="shared" si="62"/>
        <v>6.153337596758406E-26</v>
      </c>
      <c r="C319" s="39">
        <f t="shared" si="62"/>
        <v>6.9020457297242376E-24</v>
      </c>
      <c r="D319" s="39">
        <f t="shared" si="62"/>
        <v>3.7921447530177209E-22</v>
      </c>
      <c r="E319" s="39">
        <f t="shared" si="62"/>
        <v>1.3602073945848988E-20</v>
      </c>
      <c r="F319" s="39">
        <f t="shared" si="62"/>
        <v>3.5819492900790467E-19</v>
      </c>
      <c r="G319" s="39">
        <f t="shared" si="62"/>
        <v>7.383778103884799E-18</v>
      </c>
      <c r="H319" s="39">
        <f t="shared" si="62"/>
        <v>1.2405864154380544E-16</v>
      </c>
      <c r="I319" s="39">
        <f t="shared" si="62"/>
        <v>1.7466571760318133E-15</v>
      </c>
      <c r="J319" s="39">
        <f t="shared" si="62"/>
        <v>2.1026979158338354E-14</v>
      </c>
      <c r="K319" s="39">
        <f t="shared" si="62"/>
        <v>2.1976982278504762E-13</v>
      </c>
      <c r="L319" s="39">
        <f t="shared" si="63"/>
        <v>2.0181918072596623E-12</v>
      </c>
      <c r="M319" s="39">
        <f t="shared" si="63"/>
        <v>1.6440045155455714E-11</v>
      </c>
      <c r="N319" s="39">
        <f t="shared" si="63"/>
        <v>1.1971918916510421E-10</v>
      </c>
      <c r="O319" s="39">
        <f t="shared" si="63"/>
        <v>7.8439091363832739E-10</v>
      </c>
      <c r="P319" s="39">
        <f t="shared" si="63"/>
        <v>4.6487855145760385E-9</v>
      </c>
      <c r="Q319" s="39">
        <f t="shared" si="63"/>
        <v>2.5035142975101839E-8</v>
      </c>
      <c r="R319" s="39">
        <f t="shared" si="63"/>
        <v>1.2297987525844868E-7</v>
      </c>
      <c r="S319" s="39">
        <f t="shared" si="63"/>
        <v>5.5286363036679558E-7</v>
      </c>
      <c r="T319" s="39">
        <f t="shared" si="63"/>
        <v>2.281004331186437E-6</v>
      </c>
      <c r="U319" s="39">
        <f t="shared" si="63"/>
        <v>8.6578937937189857E-6</v>
      </c>
      <c r="V319" s="39">
        <f t="shared" si="63"/>
        <v>3.0296081801725891E-5</v>
      </c>
      <c r="W319" s="37">
        <v>0.68400000000000005</v>
      </c>
    </row>
    <row r="320" spans="2:23" x14ac:dyDescent="0.25">
      <c r="B320" s="39">
        <f t="shared" si="62"/>
        <v>7.2690519372693653E-26</v>
      </c>
      <c r="C320" s="39">
        <f t="shared" si="62"/>
        <v>8.114002611866249E-24</v>
      </c>
      <c r="D320" s="39">
        <f t="shared" si="62"/>
        <v>4.4364366303719244E-22</v>
      </c>
      <c r="E320" s="39">
        <f t="shared" si="62"/>
        <v>1.583610797848438E-20</v>
      </c>
      <c r="F320" s="39">
        <f t="shared" si="62"/>
        <v>4.1501012890648116E-19</v>
      </c>
      <c r="G320" s="39">
        <f t="shared" si="62"/>
        <v>8.5136532599540192E-18</v>
      </c>
      <c r="H320" s="39">
        <f t="shared" si="62"/>
        <v>1.423523562370318E-16</v>
      </c>
      <c r="I320" s="39">
        <f t="shared" si="62"/>
        <v>1.9945643225272491E-15</v>
      </c>
      <c r="J320" s="39">
        <f t="shared" si="62"/>
        <v>2.3895855970681921E-14</v>
      </c>
      <c r="K320" s="39">
        <f t="shared" si="62"/>
        <v>2.4855465662640211E-13</v>
      </c>
      <c r="L320" s="39">
        <f t="shared" si="63"/>
        <v>2.2715770009874563E-12</v>
      </c>
      <c r="M320" s="39">
        <f t="shared" si="63"/>
        <v>1.8415457734686456E-11</v>
      </c>
      <c r="N320" s="39">
        <f t="shared" si="63"/>
        <v>1.3346315528175006E-10</v>
      </c>
      <c r="O320" s="39">
        <f t="shared" si="63"/>
        <v>8.7026650006712432E-10</v>
      </c>
      <c r="P320" s="39">
        <f t="shared" si="63"/>
        <v>5.1331707689982147E-9</v>
      </c>
      <c r="Q320" s="39">
        <f t="shared" si="63"/>
        <v>2.7512348294148665E-8</v>
      </c>
      <c r="R320" s="39">
        <f t="shared" si="63"/>
        <v>1.3450811291454845E-7</v>
      </c>
      <c r="S320" s="39">
        <f t="shared" si="63"/>
        <v>6.0183223248220181E-7</v>
      </c>
      <c r="T320" s="39">
        <f t="shared" si="63"/>
        <v>2.4713455463688094E-6</v>
      </c>
      <c r="U320" s="39">
        <f t="shared" si="63"/>
        <v>9.3363574446158119E-6</v>
      </c>
      <c r="V320" s="39">
        <f t="shared" si="63"/>
        <v>3.2517608828610194E-5</v>
      </c>
      <c r="W320" s="37">
        <v>0.68300000000000005</v>
      </c>
    </row>
    <row r="321" spans="2:23" x14ac:dyDescent="0.25">
      <c r="B321" s="39">
        <f t="shared" si="62"/>
        <v>8.3483362486634883E-26</v>
      </c>
      <c r="C321" s="39">
        <f t="shared" si="62"/>
        <v>9.2811598741167589E-24</v>
      </c>
      <c r="D321" s="39">
        <f t="shared" si="62"/>
        <v>5.0541465170733757E-22</v>
      </c>
      <c r="E321" s="39">
        <f t="shared" si="62"/>
        <v>1.7968424635248025E-20</v>
      </c>
      <c r="F321" s="39">
        <f t="shared" si="62"/>
        <v>4.6899683133941059E-19</v>
      </c>
      <c r="G321" s="39">
        <f t="shared" si="62"/>
        <v>9.58249497942149E-18</v>
      </c>
      <c r="H321" s="39">
        <f t="shared" si="62"/>
        <v>1.5958079177666832E-16</v>
      </c>
      <c r="I321" s="39">
        <f t="shared" si="62"/>
        <v>2.2269954651114157E-15</v>
      </c>
      <c r="J321" s="39">
        <f t="shared" si="62"/>
        <v>2.6573660223704413E-14</v>
      </c>
      <c r="K321" s="39">
        <f t="shared" si="62"/>
        <v>2.753027379527671E-13</v>
      </c>
      <c r="L321" s="39">
        <f t="shared" si="63"/>
        <v>2.5059850110698385E-12</v>
      </c>
      <c r="M321" s="39">
        <f t="shared" si="63"/>
        <v>2.0234788483031025E-11</v>
      </c>
      <c r="N321" s="39">
        <f t="shared" si="63"/>
        <v>1.4606484766563953E-10</v>
      </c>
      <c r="O321" s="39">
        <f t="shared" si="63"/>
        <v>9.486545373004001E-10</v>
      </c>
      <c r="P321" s="39">
        <f t="shared" si="63"/>
        <v>5.5733551075998745E-9</v>
      </c>
      <c r="Q321" s="39">
        <f t="shared" si="63"/>
        <v>2.9753491437561653E-8</v>
      </c>
      <c r="R321" s="39">
        <f t="shared" si="63"/>
        <v>1.4489139740561807E-7</v>
      </c>
      <c r="S321" s="39">
        <f t="shared" si="63"/>
        <v>6.4574128836666201E-7</v>
      </c>
      <c r="T321" s="39">
        <f t="shared" si="63"/>
        <v>2.6412614813554633E-6</v>
      </c>
      <c r="U321" s="39">
        <f t="shared" si="63"/>
        <v>9.9393237655217312E-6</v>
      </c>
      <c r="V321" s="39">
        <f t="shared" si="63"/>
        <v>3.4483156525516359E-5</v>
      </c>
      <c r="W321" s="37">
        <v>0.68200000000000005</v>
      </c>
    </row>
    <row r="322" spans="2:23" x14ac:dyDescent="0.25">
      <c r="B322" s="39">
        <f t="shared" si="62"/>
        <v>9.8520695664294196E-26</v>
      </c>
      <c r="C322" s="39">
        <f t="shared" si="62"/>
        <v>1.090002154712676E-23</v>
      </c>
      <c r="D322" s="39">
        <f t="shared" si="62"/>
        <v>5.9070721800602962E-22</v>
      </c>
      <c r="E322" s="39">
        <f t="shared" si="62"/>
        <v>2.089948964397291E-20</v>
      </c>
      <c r="F322" s="39">
        <f t="shared" si="62"/>
        <v>5.4287370878900519E-19</v>
      </c>
      <c r="G322" s="39">
        <f t="shared" si="62"/>
        <v>1.1038570699905215E-17</v>
      </c>
      <c r="H322" s="39">
        <f t="shared" si="62"/>
        <v>1.8294580832598648E-16</v>
      </c>
      <c r="I322" s="39">
        <f t="shared" si="62"/>
        <v>2.5408042578400876E-15</v>
      </c>
      <c r="J322" s="39">
        <f t="shared" si="62"/>
        <v>3.0172819034094357E-14</v>
      </c>
      <c r="K322" s="39">
        <f t="shared" si="62"/>
        <v>3.1109317986098241E-13</v>
      </c>
      <c r="L322" s="39">
        <f t="shared" si="63"/>
        <v>2.8182332272718944E-12</v>
      </c>
      <c r="M322" s="39">
        <f t="shared" si="63"/>
        <v>2.2647431784067094E-11</v>
      </c>
      <c r="N322" s="39">
        <f t="shared" si="63"/>
        <v>1.6270146856458529E-10</v>
      </c>
      <c r="O322" s="39">
        <f t="shared" si="63"/>
        <v>1.0516793113479291E-9</v>
      </c>
      <c r="P322" s="39">
        <f t="shared" si="63"/>
        <v>6.1493026722477164E-9</v>
      </c>
      <c r="Q322" s="39">
        <f t="shared" si="63"/>
        <v>3.2672768256920296E-8</v>
      </c>
      <c r="R322" s="39">
        <f t="shared" si="63"/>
        <v>1.5835615694329396E-7</v>
      </c>
      <c r="S322" s="39">
        <f t="shared" si="63"/>
        <v>7.0242743753579666E-7</v>
      </c>
      <c r="T322" s="39">
        <f t="shared" si="63"/>
        <v>2.8596434687210561E-6</v>
      </c>
      <c r="U322" s="39">
        <f t="shared" si="63"/>
        <v>1.071082468329097E-5</v>
      </c>
      <c r="V322" s="39">
        <f t="shared" si="63"/>
        <v>3.6986892360112664E-5</v>
      </c>
      <c r="W322" s="37">
        <v>0.68100000000000005</v>
      </c>
    </row>
    <row r="323" spans="2:23" x14ac:dyDescent="0.25">
      <c r="B323" s="39">
        <f t="shared" ref="B323:K332" si="64">_xlfn.HYPGEOM.DIST(B$2,comau,tongtheN*$W323,tongtheN,TRUE)</f>
        <v>1.1620304974309472E-25</v>
      </c>
      <c r="C323" s="39">
        <f t="shared" si="64"/>
        <v>1.2794369863306394E-23</v>
      </c>
      <c r="D323" s="39">
        <f t="shared" si="64"/>
        <v>6.9002859946860563E-22</v>
      </c>
      <c r="E323" s="39">
        <f t="shared" si="64"/>
        <v>2.4296048420282766E-20</v>
      </c>
      <c r="F323" s="39">
        <f t="shared" si="64"/>
        <v>6.2806691557710335E-19</v>
      </c>
      <c r="G323" s="39">
        <f t="shared" si="64"/>
        <v>1.270952196738499E-17</v>
      </c>
      <c r="H323" s="39">
        <f t="shared" si="64"/>
        <v>2.0962851866134588E-16</v>
      </c>
      <c r="I323" s="39">
        <f t="shared" si="64"/>
        <v>2.8974307621045796E-15</v>
      </c>
      <c r="J323" s="39">
        <f t="shared" si="64"/>
        <v>3.4243197691045277E-14</v>
      </c>
      <c r="K323" s="39">
        <f t="shared" si="64"/>
        <v>3.5137293206414431E-13</v>
      </c>
      <c r="L323" s="39">
        <f t="shared" ref="L323:V332" si="65">_xlfn.HYPGEOM.DIST(L$2,comau,tongtheN*$W323,tongtheN,TRUE)</f>
        <v>3.1679417806709178E-12</v>
      </c>
      <c r="M323" s="39">
        <f t="shared" si="65"/>
        <v>2.5336405747657503E-11</v>
      </c>
      <c r="N323" s="39">
        <f t="shared" si="65"/>
        <v>1.8115359492568524E-10</v>
      </c>
      <c r="O323" s="39">
        <f t="shared" si="65"/>
        <v>1.165392652469287E-9</v>
      </c>
      <c r="P323" s="39">
        <f t="shared" si="65"/>
        <v>6.7819210057156348E-9</v>
      </c>
      <c r="Q323" s="39">
        <f t="shared" si="65"/>
        <v>3.5863746269044095E-8</v>
      </c>
      <c r="R323" s="39">
        <f t="shared" si="65"/>
        <v>1.7300277870903682E-7</v>
      </c>
      <c r="S323" s="39">
        <f t="shared" si="65"/>
        <v>7.6379046481642787E-7</v>
      </c>
      <c r="T323" s="39">
        <f t="shared" si="65"/>
        <v>3.0948981190819994E-6</v>
      </c>
      <c r="U323" s="39">
        <f t="shared" si="65"/>
        <v>1.1537909512840594E-5</v>
      </c>
      <c r="V323" s="39">
        <f t="shared" si="65"/>
        <v>3.9658021840813546E-5</v>
      </c>
      <c r="W323" s="37">
        <v>0.68</v>
      </c>
    </row>
    <row r="324" spans="2:23" x14ac:dyDescent="0.25">
      <c r="B324" s="39">
        <f t="shared" si="64"/>
        <v>1.3698457462621396E-25</v>
      </c>
      <c r="C324" s="39">
        <f t="shared" si="64"/>
        <v>1.500992132580177E-23</v>
      </c>
      <c r="D324" s="39">
        <f t="shared" si="64"/>
        <v>8.0562653251808803E-22</v>
      </c>
      <c r="E324" s="39">
        <f t="shared" si="64"/>
        <v>2.823003066886401E-20</v>
      </c>
      <c r="F324" s="39">
        <f t="shared" si="64"/>
        <v>7.2626088221128932E-19</v>
      </c>
      <c r="G324" s="39">
        <f t="shared" si="64"/>
        <v>1.4626119081463692E-17</v>
      </c>
      <c r="H324" s="39">
        <f t="shared" si="64"/>
        <v>2.4008535749877694E-16</v>
      </c>
      <c r="I324" s="39">
        <f t="shared" si="64"/>
        <v>3.3025258408934789E-15</v>
      </c>
      <c r="J324" s="39">
        <f t="shared" si="64"/>
        <v>3.8844356873923341E-14</v>
      </c>
      <c r="K324" s="39">
        <f t="shared" si="64"/>
        <v>3.9668448626171835E-13</v>
      </c>
      <c r="L324" s="39">
        <f t="shared" si="65"/>
        <v>3.5594300671743972E-12</v>
      </c>
      <c r="M324" s="39">
        <f t="shared" si="65"/>
        <v>2.8332048976068939E-11</v>
      </c>
      <c r="N324" s="39">
        <f t="shared" si="65"/>
        <v>2.0161057445491392E-10</v>
      </c>
      <c r="O324" s="39">
        <f t="shared" si="65"/>
        <v>1.290850760186971E-9</v>
      </c>
      <c r="P324" s="39">
        <f t="shared" si="65"/>
        <v>7.4765004572013336E-9</v>
      </c>
      <c r="Q324" s="39">
        <f t="shared" si="65"/>
        <v>3.9350308609614453E-8</v>
      </c>
      <c r="R324" s="39">
        <f t="shared" si="65"/>
        <v>1.8892872241787117E-7</v>
      </c>
      <c r="S324" s="39">
        <f t="shared" si="65"/>
        <v>8.30190635080993E-7</v>
      </c>
      <c r="T324" s="39">
        <f t="shared" si="65"/>
        <v>3.3482335642628548E-6</v>
      </c>
      <c r="U324" s="39">
        <f t="shared" si="65"/>
        <v>1.2424256429885357E-5</v>
      </c>
      <c r="V324" s="39">
        <f t="shared" si="65"/>
        <v>4.2506711789598307E-5</v>
      </c>
      <c r="W324" s="37">
        <v>0.67900000000000005</v>
      </c>
    </row>
    <row r="325" spans="2:23" x14ac:dyDescent="0.25">
      <c r="B325" s="39">
        <f t="shared" si="64"/>
        <v>1.6139550502598547E-25</v>
      </c>
      <c r="C325" s="39">
        <f t="shared" si="64"/>
        <v>1.7599787046411788E-23</v>
      </c>
      <c r="D325" s="39">
        <f t="shared" si="64"/>
        <v>9.4009937540240704E-22</v>
      </c>
      <c r="E325" s="39">
        <f t="shared" si="64"/>
        <v>3.2784173563514312E-20</v>
      </c>
      <c r="F325" s="39">
        <f t="shared" si="64"/>
        <v>8.3938349501965148E-19</v>
      </c>
      <c r="G325" s="39">
        <f t="shared" si="64"/>
        <v>1.6823404353252869E-17</v>
      </c>
      <c r="H325" s="39">
        <f t="shared" si="64"/>
        <v>2.7483353696008834E-16</v>
      </c>
      <c r="I325" s="39">
        <f t="shared" si="64"/>
        <v>3.7624608169386839E-15</v>
      </c>
      <c r="J325" s="39">
        <f t="shared" si="64"/>
        <v>4.4043114732393739E-14</v>
      </c>
      <c r="K325" s="39">
        <f t="shared" si="64"/>
        <v>4.476333817347845E-13</v>
      </c>
      <c r="L325" s="39">
        <f t="shared" si="65"/>
        <v>3.9974952029669053E-12</v>
      </c>
      <c r="M325" s="39">
        <f t="shared" si="65"/>
        <v>3.166788527665809E-11</v>
      </c>
      <c r="N325" s="39">
        <f t="shared" si="65"/>
        <v>2.2428057307933545E-10</v>
      </c>
      <c r="O325" s="39">
        <f t="shared" si="65"/>
        <v>1.4292088876048823E-9</v>
      </c>
      <c r="P325" s="39">
        <f t="shared" si="65"/>
        <v>8.2387978771794471E-9</v>
      </c>
      <c r="Q325" s="39">
        <f t="shared" si="65"/>
        <v>4.3158310416911742E-8</v>
      </c>
      <c r="R325" s="39">
        <f t="shared" si="65"/>
        <v>2.0623894666767604E-7</v>
      </c>
      <c r="S325" s="39">
        <f t="shared" si="65"/>
        <v>9.0201389804019004E-7</v>
      </c>
      <c r="T325" s="39">
        <f t="shared" si="65"/>
        <v>3.620937201166185E-6</v>
      </c>
      <c r="U325" s="39">
        <f t="shared" si="65"/>
        <v>1.3373763834803705E-5</v>
      </c>
      <c r="V325" s="39">
        <f t="shared" si="65"/>
        <v>4.5543678681522047E-5</v>
      </c>
      <c r="W325" s="37">
        <v>0.67800000000000005</v>
      </c>
    </row>
    <row r="326" spans="2:23" x14ac:dyDescent="0.25">
      <c r="B326" s="39">
        <f t="shared" si="64"/>
        <v>1.8495382489002031E-25</v>
      </c>
      <c r="C326" s="39">
        <f t="shared" si="64"/>
        <v>2.0088148108421004E-23</v>
      </c>
      <c r="D326" s="39">
        <f t="shared" si="64"/>
        <v>1.0687308394266938E-21</v>
      </c>
      <c r="E326" s="39">
        <f t="shared" si="64"/>
        <v>3.7121239896319804E-20</v>
      </c>
      <c r="F326" s="39">
        <f t="shared" si="64"/>
        <v>9.4663809592644516E-19</v>
      </c>
      <c r="G326" s="39">
        <f t="shared" si="64"/>
        <v>1.8897507487346411E-17</v>
      </c>
      <c r="H326" s="39">
        <f t="shared" si="64"/>
        <v>3.0748883594594077E-16</v>
      </c>
      <c r="I326" s="39">
        <f t="shared" si="64"/>
        <v>4.1927853010119958E-15</v>
      </c>
      <c r="J326" s="39">
        <f t="shared" si="64"/>
        <v>4.8885702777082913E-14</v>
      </c>
      <c r="K326" s="39">
        <f t="shared" si="64"/>
        <v>4.9488224114893984E-13</v>
      </c>
      <c r="L326" s="39">
        <f t="shared" si="65"/>
        <v>4.4019538920351935E-12</v>
      </c>
      <c r="M326" s="39">
        <f t="shared" si="65"/>
        <v>3.4734219119680651E-11</v>
      </c>
      <c r="N326" s="39">
        <f t="shared" si="65"/>
        <v>2.4502711550262999E-10</v>
      </c>
      <c r="O326" s="39">
        <f t="shared" si="65"/>
        <v>1.5552693048947146E-9</v>
      </c>
      <c r="P326" s="39">
        <f t="shared" si="65"/>
        <v>8.930276320940547E-9</v>
      </c>
      <c r="Q326" s="39">
        <f t="shared" si="65"/>
        <v>4.6597307228508537E-8</v>
      </c>
      <c r="R326" s="39">
        <f t="shared" si="65"/>
        <v>2.2180283307027874E-7</v>
      </c>
      <c r="S326" s="39">
        <f t="shared" si="65"/>
        <v>9.6630657655974044E-7</v>
      </c>
      <c r="T326" s="39">
        <f t="shared" si="65"/>
        <v>3.8639721027913037E-6</v>
      </c>
      <c r="U326" s="39">
        <f t="shared" si="65"/>
        <v>1.4216240145111222E-5</v>
      </c>
      <c r="V326" s="39">
        <f t="shared" si="65"/>
        <v>4.8226435588838696E-5</v>
      </c>
      <c r="W326" s="37">
        <v>0.67700000000000005</v>
      </c>
    </row>
    <row r="327" spans="2:23" x14ac:dyDescent="0.25">
      <c r="B327" s="39">
        <f t="shared" si="64"/>
        <v>2.1769947354408174E-25</v>
      </c>
      <c r="C327" s="39">
        <f t="shared" si="64"/>
        <v>2.353152984538947E-23</v>
      </c>
      <c r="D327" s="39">
        <f t="shared" si="64"/>
        <v>1.2459384242461013E-21</v>
      </c>
      <c r="E327" s="39">
        <f t="shared" si="64"/>
        <v>4.3069573321962796E-20</v>
      </c>
      <c r="F327" s="39">
        <f t="shared" si="64"/>
        <v>1.0930849823326656E-18</v>
      </c>
      <c r="G327" s="39">
        <f t="shared" si="64"/>
        <v>2.1716931247391092E-17</v>
      </c>
      <c r="H327" s="39">
        <f t="shared" si="64"/>
        <v>3.5168151108843473E-16</v>
      </c>
      <c r="I327" s="39">
        <f t="shared" si="64"/>
        <v>4.7725611577102288E-15</v>
      </c>
      <c r="J327" s="39">
        <f t="shared" si="64"/>
        <v>5.5381161969979209E-14</v>
      </c>
      <c r="K327" s="39">
        <f t="shared" si="64"/>
        <v>5.579769217607842E-13</v>
      </c>
      <c r="L327" s="39">
        <f t="shared" si="65"/>
        <v>4.9396606444403147E-12</v>
      </c>
      <c r="M327" s="39">
        <f t="shared" si="65"/>
        <v>3.8792681065599215E-11</v>
      </c>
      <c r="N327" s="39">
        <f t="shared" si="65"/>
        <v>2.7236464778289851E-10</v>
      </c>
      <c r="O327" s="39">
        <f t="shared" si="65"/>
        <v>1.7206423317614017E-9</v>
      </c>
      <c r="P327" s="39">
        <f t="shared" si="65"/>
        <v>9.8333802892970223E-9</v>
      </c>
      <c r="Q327" s="39">
        <f t="shared" si="65"/>
        <v>5.1068926935651786E-8</v>
      </c>
      <c r="R327" s="39">
        <f t="shared" si="65"/>
        <v>2.4195055448157202E-7</v>
      </c>
      <c r="S327" s="39">
        <f t="shared" si="65"/>
        <v>1.0491665924959374E-6</v>
      </c>
      <c r="T327" s="39">
        <f t="shared" si="65"/>
        <v>4.1758097593473481E-6</v>
      </c>
      <c r="U327" s="39">
        <f t="shared" si="65"/>
        <v>1.5292444731515597E-5</v>
      </c>
      <c r="V327" s="39">
        <f t="shared" si="65"/>
        <v>5.1638337207032177E-5</v>
      </c>
      <c r="W327" s="37">
        <v>0.67600000000000005</v>
      </c>
    </row>
    <row r="328" spans="2:23" x14ac:dyDescent="0.25">
      <c r="B328" s="39">
        <f t="shared" si="64"/>
        <v>2.5610695607207047E-25</v>
      </c>
      <c r="C328" s="39">
        <f t="shared" si="64"/>
        <v>2.7550793507314283E-23</v>
      </c>
      <c r="D328" s="39">
        <f t="shared" si="64"/>
        <v>1.4517848471467643E-21</v>
      </c>
      <c r="E328" s="39">
        <f t="shared" si="64"/>
        <v>4.9945901983875394E-20</v>
      </c>
      <c r="F328" s="39">
        <f t="shared" si="64"/>
        <v>1.2615626642365841E-18</v>
      </c>
      <c r="G328" s="39">
        <f t="shared" si="64"/>
        <v>2.4944861292257074E-17</v>
      </c>
      <c r="H328" s="39">
        <f t="shared" si="64"/>
        <v>4.0203344805397271E-16</v>
      </c>
      <c r="I328" s="39">
        <f t="shared" si="64"/>
        <v>5.429959727466535E-15</v>
      </c>
      <c r="J328" s="39">
        <f t="shared" si="64"/>
        <v>6.2710788258255013E-14</v>
      </c>
      <c r="K328" s="39">
        <f t="shared" si="64"/>
        <v>6.2883162277203354E-13</v>
      </c>
      <c r="L328" s="39">
        <f t="shared" si="65"/>
        <v>5.5405935261889796E-12</v>
      </c>
      <c r="M328" s="39">
        <f t="shared" si="65"/>
        <v>4.3306530975300643E-11</v>
      </c>
      <c r="N328" s="39">
        <f t="shared" si="65"/>
        <v>3.0262337843531197E-10</v>
      </c>
      <c r="O328" s="39">
        <f t="shared" si="65"/>
        <v>1.9028062815423051E-9</v>
      </c>
      <c r="P328" s="39">
        <f t="shared" si="65"/>
        <v>1.0823396879544447E-8</v>
      </c>
      <c r="Q328" s="39">
        <f t="shared" si="65"/>
        <v>5.5947324002358969E-8</v>
      </c>
      <c r="R328" s="39">
        <f t="shared" si="65"/>
        <v>2.6382546992734684E-7</v>
      </c>
      <c r="S328" s="39">
        <f t="shared" si="65"/>
        <v>1.1386977538093753E-6</v>
      </c>
      <c r="T328" s="39">
        <f t="shared" si="65"/>
        <v>4.5111356754729669E-6</v>
      </c>
      <c r="U328" s="39">
        <f t="shared" si="65"/>
        <v>1.6444155301534725E-5</v>
      </c>
      <c r="V328" s="39">
        <f t="shared" si="65"/>
        <v>5.527209153111775E-5</v>
      </c>
      <c r="W328" s="37">
        <v>0.67500000000000004</v>
      </c>
    </row>
    <row r="329" spans="2:23" x14ac:dyDescent="0.25">
      <c r="B329" s="39">
        <f t="shared" si="64"/>
        <v>3.0113192090196797E-25</v>
      </c>
      <c r="C329" s="39">
        <f t="shared" si="64"/>
        <v>3.2239864328964343E-23</v>
      </c>
      <c r="D329" s="39">
        <f t="shared" si="64"/>
        <v>1.6907788378783098E-21</v>
      </c>
      <c r="E329" s="39">
        <f t="shared" si="64"/>
        <v>5.789109129019522E-20</v>
      </c>
      <c r="F329" s="39">
        <f t="shared" si="64"/>
        <v>1.4552916356590426E-18</v>
      </c>
      <c r="G329" s="39">
        <f t="shared" si="64"/>
        <v>2.8638730236089511E-17</v>
      </c>
      <c r="H329" s="39">
        <f t="shared" si="64"/>
        <v>4.5937630511791041E-16</v>
      </c>
      <c r="I329" s="39">
        <f t="shared" si="64"/>
        <v>6.1750317897772779E-15</v>
      </c>
      <c r="J329" s="39">
        <f t="shared" si="64"/>
        <v>7.0977986190147096E-14</v>
      </c>
      <c r="K329" s="39">
        <f t="shared" si="64"/>
        <v>7.0836560946034625E-13</v>
      </c>
      <c r="L329" s="39">
        <f t="shared" si="65"/>
        <v>6.2118959707132701E-12</v>
      </c>
      <c r="M329" s="39">
        <f t="shared" si="65"/>
        <v>4.8324733103681713E-11</v>
      </c>
      <c r="N329" s="39">
        <f t="shared" si="65"/>
        <v>3.3610150248585369E-10</v>
      </c>
      <c r="O329" s="39">
        <f t="shared" si="65"/>
        <v>2.1033840576766082E-9</v>
      </c>
      <c r="P329" s="39">
        <f t="shared" si="65"/>
        <v>1.1908256173120831E-8</v>
      </c>
      <c r="Q329" s="39">
        <f t="shared" si="65"/>
        <v>6.1267417261600202E-8</v>
      </c>
      <c r="R329" s="39">
        <f t="shared" si="65"/>
        <v>2.8756653693916055E-7</v>
      </c>
      <c r="S329" s="39">
        <f t="shared" si="65"/>
        <v>1.235400857364512E-6</v>
      </c>
      <c r="T329" s="39">
        <f t="shared" si="65"/>
        <v>4.8715866878058237E-6</v>
      </c>
      <c r="U329" s="39">
        <f t="shared" si="65"/>
        <v>1.7676227075370898E-5</v>
      </c>
      <c r="V329" s="39">
        <f t="shared" si="65"/>
        <v>5.9140767292563829E-5</v>
      </c>
      <c r="W329" s="37">
        <v>0.67400000000000004</v>
      </c>
    </row>
    <row r="330" spans="2:23" x14ac:dyDescent="0.25">
      <c r="B330" s="39">
        <f t="shared" si="64"/>
        <v>3.4450545546627317E-25</v>
      </c>
      <c r="C330" s="39">
        <f t="shared" si="64"/>
        <v>3.6737116069673804E-23</v>
      </c>
      <c r="D330" s="39">
        <f t="shared" si="64"/>
        <v>1.9189898798510434E-21</v>
      </c>
      <c r="E330" s="39">
        <f t="shared" si="64"/>
        <v>6.5444508619180142E-20</v>
      </c>
      <c r="F330" s="39">
        <f t="shared" si="64"/>
        <v>1.638659679878162E-18</v>
      </c>
      <c r="G330" s="39">
        <f t="shared" si="64"/>
        <v>3.2119703623021124E-17</v>
      </c>
      <c r="H330" s="39">
        <f t="shared" si="64"/>
        <v>5.1317713532753634E-16</v>
      </c>
      <c r="I330" s="39">
        <f t="shared" si="64"/>
        <v>6.8710148157704263E-15</v>
      </c>
      <c r="J330" s="39">
        <f t="shared" si="64"/>
        <v>7.8666629468714482E-14</v>
      </c>
      <c r="K330" s="39">
        <f t="shared" si="64"/>
        <v>7.8200927959555871E-13</v>
      </c>
      <c r="L330" s="39">
        <f t="shared" si="65"/>
        <v>6.8307560706863783E-12</v>
      </c>
      <c r="M330" s="39">
        <f t="shared" si="65"/>
        <v>5.2930630658947185E-11</v>
      </c>
      <c r="N330" s="39">
        <f t="shared" si="65"/>
        <v>3.6669431417222262E-10</v>
      </c>
      <c r="O330" s="39">
        <f t="shared" si="65"/>
        <v>2.2858717299873162E-9</v>
      </c>
      <c r="P330" s="39">
        <f t="shared" si="65"/>
        <v>1.2890946902397936E-8</v>
      </c>
      <c r="Q330" s="39">
        <f t="shared" si="65"/>
        <v>6.6065367064172339E-8</v>
      </c>
      <c r="R330" s="39">
        <f t="shared" si="65"/>
        <v>3.0888372817567518E-7</v>
      </c>
      <c r="S330" s="39">
        <f t="shared" si="65"/>
        <v>1.3218506061170794E-6</v>
      </c>
      <c r="T330" s="39">
        <f t="shared" si="65"/>
        <v>5.1924081622158911E-6</v>
      </c>
      <c r="U330" s="39">
        <f t="shared" si="65"/>
        <v>1.8768037730464309E-5</v>
      </c>
      <c r="V330" s="39">
        <f t="shared" si="65"/>
        <v>6.2554017087246329E-5</v>
      </c>
      <c r="W330" s="37">
        <v>0.67300000000000004</v>
      </c>
    </row>
    <row r="331" spans="2:23" x14ac:dyDescent="0.25">
      <c r="B331" s="39">
        <f t="shared" si="64"/>
        <v>4.0468424050869064E-25</v>
      </c>
      <c r="C331" s="39">
        <f t="shared" si="64"/>
        <v>4.2949257082261251E-23</v>
      </c>
      <c r="D331" s="39">
        <f t="shared" si="64"/>
        <v>2.2328289955846906E-21</v>
      </c>
      <c r="E331" s="39">
        <f t="shared" si="64"/>
        <v>7.5786186633267334E-20</v>
      </c>
      <c r="F331" s="39">
        <f t="shared" si="64"/>
        <v>1.8886073547522468E-18</v>
      </c>
      <c r="G331" s="39">
        <f t="shared" si="64"/>
        <v>3.6843649020495222E-17</v>
      </c>
      <c r="H331" s="39">
        <f t="shared" si="64"/>
        <v>5.8586679938498311E-16</v>
      </c>
      <c r="I331" s="39">
        <f t="shared" si="64"/>
        <v>7.8072019097913124E-15</v>
      </c>
      <c r="J331" s="39">
        <f t="shared" si="64"/>
        <v>8.8963252888951806E-14</v>
      </c>
      <c r="K331" s="39">
        <f t="shared" si="64"/>
        <v>8.8019819315603473E-13</v>
      </c>
      <c r="L331" s="39">
        <f t="shared" si="65"/>
        <v>7.6522459606802183E-12</v>
      </c>
      <c r="M331" s="39">
        <f t="shared" si="65"/>
        <v>5.9017689757943525E-11</v>
      </c>
      <c r="N331" s="39">
        <f t="shared" si="65"/>
        <v>4.069471920900213E-10</v>
      </c>
      <c r="O331" s="39">
        <f t="shared" si="65"/>
        <v>2.524925813082405E-9</v>
      </c>
      <c r="P331" s="39">
        <f t="shared" si="65"/>
        <v>1.4172584906271952E-8</v>
      </c>
      <c r="Q331" s="39">
        <f t="shared" si="65"/>
        <v>7.2295407889830035E-8</v>
      </c>
      <c r="R331" s="39">
        <f t="shared" si="65"/>
        <v>3.3644204182459516E-7</v>
      </c>
      <c r="S331" s="39">
        <f t="shared" si="65"/>
        <v>1.4331197243718446E-6</v>
      </c>
      <c r="T331" s="39">
        <f t="shared" si="65"/>
        <v>5.6035232193444538E-6</v>
      </c>
      <c r="U331" s="39">
        <f t="shared" si="65"/>
        <v>2.0160992804511863E-5</v>
      </c>
      <c r="V331" s="39">
        <f t="shared" si="65"/>
        <v>6.6889609709893551E-5</v>
      </c>
      <c r="W331" s="37">
        <v>0.67200000000000004</v>
      </c>
    </row>
    <row r="332" spans="2:23" x14ac:dyDescent="0.25">
      <c r="B332" s="39">
        <f t="shared" si="64"/>
        <v>4.7512955986304871E-25</v>
      </c>
      <c r="C332" s="39">
        <f t="shared" si="64"/>
        <v>5.0186331074754821E-23</v>
      </c>
      <c r="D332" s="39">
        <f t="shared" si="64"/>
        <v>2.5966957274435743E-21</v>
      </c>
      <c r="E332" s="39">
        <f t="shared" si="64"/>
        <v>8.7718934144443649E-20</v>
      </c>
      <c r="F332" s="39">
        <f t="shared" si="64"/>
        <v>2.1756281014100319E-18</v>
      </c>
      <c r="G332" s="39">
        <f t="shared" si="64"/>
        <v>4.2242289354624183E-17</v>
      </c>
      <c r="H332" s="39">
        <f t="shared" si="64"/>
        <v>6.6854063970505467E-16</v>
      </c>
      <c r="I332" s="39">
        <f t="shared" si="64"/>
        <v>8.8668815975515705E-15</v>
      </c>
      <c r="J332" s="39">
        <f t="shared" si="64"/>
        <v>1.0056234198726605E-13</v>
      </c>
      <c r="K332" s="39">
        <f t="shared" si="64"/>
        <v>9.902783877873275E-13</v>
      </c>
      <c r="L332" s="39">
        <f t="shared" si="65"/>
        <v>8.5688192974568326E-12</v>
      </c>
      <c r="M332" s="39">
        <f t="shared" si="65"/>
        <v>6.5776828473687907E-11</v>
      </c>
      <c r="N332" s="39">
        <f t="shared" si="65"/>
        <v>4.5143082040296563E-10</v>
      </c>
      <c r="O332" s="39">
        <f t="shared" si="65"/>
        <v>2.7878432801928438E-9</v>
      </c>
      <c r="P332" s="39">
        <f t="shared" si="65"/>
        <v>1.5575428447196788E-8</v>
      </c>
      <c r="Q332" s="39">
        <f t="shared" si="65"/>
        <v>7.9082065158430992E-8</v>
      </c>
      <c r="R332" s="39">
        <f t="shared" si="65"/>
        <v>3.6631920825453097E-7</v>
      </c>
      <c r="S332" s="39">
        <f t="shared" si="65"/>
        <v>1.5531756868629827E-6</v>
      </c>
      <c r="T332" s="39">
        <f t="shared" si="65"/>
        <v>6.044987292677904E-6</v>
      </c>
      <c r="U332" s="39">
        <f t="shared" si="65"/>
        <v>2.1649642673311933E-5</v>
      </c>
      <c r="V332" s="39">
        <f t="shared" si="65"/>
        <v>7.1500958448488547E-5</v>
      </c>
      <c r="W332" s="37">
        <v>0.67100000000000004</v>
      </c>
    </row>
    <row r="333" spans="2:23" x14ac:dyDescent="0.25">
      <c r="B333" s="39">
        <f t="shared" ref="B333:K342" si="66">_xlfn.HYPGEOM.DIST(B$2,comau,tongtheN*$W333,tongtheN,TRUE)</f>
        <v>5.5755127753729445E-25</v>
      </c>
      <c r="C333" s="39">
        <f t="shared" si="66"/>
        <v>5.8613254691007689E-23</v>
      </c>
      <c r="D333" s="39">
        <f t="shared" si="66"/>
        <v>3.0183587381475808E-21</v>
      </c>
      <c r="E333" s="39">
        <f t="shared" si="66"/>
        <v>1.0148092615761982E-19</v>
      </c>
      <c r="F333" s="39">
        <f t="shared" si="66"/>
        <v>2.5050651345452687E-18</v>
      </c>
      <c r="G333" s="39">
        <f t="shared" si="66"/>
        <v>4.840912513675738E-17</v>
      </c>
      <c r="H333" s="39">
        <f t="shared" si="66"/>
        <v>7.6252715378870685E-16</v>
      </c>
      <c r="I333" s="39">
        <f t="shared" si="66"/>
        <v>1.006580672521294E-14</v>
      </c>
      <c r="J333" s="39">
        <f t="shared" si="66"/>
        <v>1.1362290621040694E-13</v>
      </c>
      <c r="K333" s="39">
        <f t="shared" si="66"/>
        <v>1.1136367014897375E-12</v>
      </c>
      <c r="L333" s="39">
        <f t="shared" ref="L333:V342" si="67">_xlfn.HYPGEOM.DIST(L$2,comau,tongtheN*$W333,tongtheN,TRUE)</f>
        <v>9.5910483341282267E-12</v>
      </c>
      <c r="M333" s="39">
        <f t="shared" si="67"/>
        <v>7.3279132995249852E-11</v>
      </c>
      <c r="N333" s="39">
        <f t="shared" si="67"/>
        <v>5.0056983504472746E-10</v>
      </c>
      <c r="O333" s="39">
        <f t="shared" si="67"/>
        <v>3.0768907462146862E-9</v>
      </c>
      <c r="P333" s="39">
        <f t="shared" si="67"/>
        <v>1.7110338831329629E-8</v>
      </c>
      <c r="Q333" s="39">
        <f t="shared" si="67"/>
        <v>8.6472233628036913E-8</v>
      </c>
      <c r="R333" s="39">
        <f t="shared" si="67"/>
        <v>3.9869817860478735E-7</v>
      </c>
      <c r="S333" s="39">
        <f t="shared" si="67"/>
        <v>1.6826647651669318E-6</v>
      </c>
      <c r="T333" s="39">
        <f t="shared" si="67"/>
        <v>6.5188702832672087E-6</v>
      </c>
      <c r="U333" s="39">
        <f t="shared" si="67"/>
        <v>2.3240001912650513E-5</v>
      </c>
      <c r="V333" s="39">
        <f t="shared" si="67"/>
        <v>7.6403915936216934E-5</v>
      </c>
      <c r="W333" s="37">
        <v>0.67</v>
      </c>
    </row>
    <row r="334" spans="2:23" x14ac:dyDescent="0.25">
      <c r="B334" s="39">
        <f t="shared" si="66"/>
        <v>6.3680940669740464E-25</v>
      </c>
      <c r="C334" s="39">
        <f t="shared" si="66"/>
        <v>6.6681378320769352E-23</v>
      </c>
      <c r="D334" s="39">
        <f t="shared" si="66"/>
        <v>3.4203074119292774E-21</v>
      </c>
      <c r="E334" s="39">
        <f t="shared" si="66"/>
        <v>1.1454228255241026E-19</v>
      </c>
      <c r="F334" s="39">
        <f t="shared" si="66"/>
        <v>2.8163668797818854E-18</v>
      </c>
      <c r="G334" s="39">
        <f t="shared" si="66"/>
        <v>5.4211074773746133E-17</v>
      </c>
      <c r="H334" s="39">
        <f t="shared" si="66"/>
        <v>8.5056711058245216E-16</v>
      </c>
      <c r="I334" s="39">
        <f t="shared" si="66"/>
        <v>1.1183980551102917E-14</v>
      </c>
      <c r="J334" s="39">
        <f t="shared" si="66"/>
        <v>1.2575071811140877E-13</v>
      </c>
      <c r="K334" s="39">
        <f t="shared" si="66"/>
        <v>1.2276859592913283E-12</v>
      </c>
      <c r="L334" s="39">
        <f t="shared" si="67"/>
        <v>1.053201892425839E-11</v>
      </c>
      <c r="M334" s="39">
        <f t="shared" si="67"/>
        <v>8.0154986156640373E-11</v>
      </c>
      <c r="N334" s="39">
        <f t="shared" si="67"/>
        <v>5.4540953389869657E-10</v>
      </c>
      <c r="O334" s="39">
        <f t="shared" si="67"/>
        <v>3.3394999955102621E-9</v>
      </c>
      <c r="P334" s="39">
        <f t="shared" si="67"/>
        <v>1.849878406247488E-8</v>
      </c>
      <c r="Q334" s="39">
        <f t="shared" si="67"/>
        <v>9.3128109489420848E-8</v>
      </c>
      <c r="R334" s="39">
        <f t="shared" si="67"/>
        <v>4.2773301089588091E-7</v>
      </c>
      <c r="S334" s="39">
        <f t="shared" si="67"/>
        <v>1.7982746870567315E-6</v>
      </c>
      <c r="T334" s="39">
        <f t="shared" si="67"/>
        <v>6.9401194314238779E-6</v>
      </c>
      <c r="U334" s="39">
        <f t="shared" si="67"/>
        <v>2.4647569845696458E-5</v>
      </c>
      <c r="V334" s="39">
        <f t="shared" si="67"/>
        <v>8.0724462934792559E-5</v>
      </c>
      <c r="W334" s="37">
        <v>0.66900000000000004</v>
      </c>
    </row>
    <row r="335" spans="2:23" x14ac:dyDescent="0.25">
      <c r="B335" s="39">
        <f t="shared" si="66"/>
        <v>7.4658128228616462E-25</v>
      </c>
      <c r="C335" s="39">
        <f t="shared" si="66"/>
        <v>7.7806579587962111E-23</v>
      </c>
      <c r="D335" s="39">
        <f t="shared" si="66"/>
        <v>3.9721240341562689E-21</v>
      </c>
      <c r="E335" s="39">
        <f t="shared" si="66"/>
        <v>1.3239490766718187E-19</v>
      </c>
      <c r="F335" s="39">
        <f t="shared" si="66"/>
        <v>3.2399959630611618E-18</v>
      </c>
      <c r="G335" s="39">
        <f t="shared" si="66"/>
        <v>6.2071921946590177E-17</v>
      </c>
      <c r="H335" s="39">
        <f t="shared" si="66"/>
        <v>9.6932628855088144E-16</v>
      </c>
      <c r="I335" s="39">
        <f t="shared" si="66"/>
        <v>1.2685702141798339E-14</v>
      </c>
      <c r="J335" s="39">
        <f t="shared" si="66"/>
        <v>1.4196717872922503E-13</v>
      </c>
      <c r="K335" s="39">
        <f t="shared" si="66"/>
        <v>1.3795169318320007E-12</v>
      </c>
      <c r="L335" s="39">
        <f t="shared" si="67"/>
        <v>1.177922731968575E-11</v>
      </c>
      <c r="M335" s="39">
        <f t="shared" si="67"/>
        <v>8.9228706862684382E-11</v>
      </c>
      <c r="N335" s="39">
        <f t="shared" si="67"/>
        <v>6.0432347972414005E-10</v>
      </c>
      <c r="O335" s="39">
        <f t="shared" si="67"/>
        <v>3.6830285349762711E-9</v>
      </c>
      <c r="P335" s="39">
        <f t="shared" si="67"/>
        <v>2.0307122479487548E-8</v>
      </c>
      <c r="Q335" s="39">
        <f t="shared" si="67"/>
        <v>1.0175898969116797E-7</v>
      </c>
      <c r="R335" s="39">
        <f t="shared" si="67"/>
        <v>4.6521899223397377E-7</v>
      </c>
      <c r="S335" s="39">
        <f t="shared" si="67"/>
        <v>1.946883691595101E-6</v>
      </c>
      <c r="T335" s="39">
        <f t="shared" si="67"/>
        <v>7.4792454272631478E-6</v>
      </c>
      <c r="U335" s="39">
        <f t="shared" si="67"/>
        <v>2.6441157423085641E-5</v>
      </c>
      <c r="V335" s="39">
        <f t="shared" si="67"/>
        <v>8.6205903456417052E-5</v>
      </c>
      <c r="W335" s="37">
        <v>0.66800000000000004</v>
      </c>
    </row>
    <row r="336" spans="2:23" x14ac:dyDescent="0.25">
      <c r="B336" s="39">
        <f t="shared" si="66"/>
        <v>8.7483414699954423E-25</v>
      </c>
      <c r="C336" s="39">
        <f t="shared" si="66"/>
        <v>9.0742884950479482E-23</v>
      </c>
      <c r="D336" s="39">
        <f t="shared" si="66"/>
        <v>4.6107169882226187E-21</v>
      </c>
      <c r="E336" s="39">
        <f t="shared" si="66"/>
        <v>1.5295660490938928E-19</v>
      </c>
      <c r="F336" s="39">
        <f t="shared" si="66"/>
        <v>3.72558708900014E-18</v>
      </c>
      <c r="G336" s="39">
        <f t="shared" si="66"/>
        <v>7.1039661618045167E-17</v>
      </c>
      <c r="H336" s="39">
        <f t="shared" si="66"/>
        <v>1.1041635906572349E-15</v>
      </c>
      <c r="I336" s="39">
        <f t="shared" si="66"/>
        <v>1.4382624976204536E-14</v>
      </c>
      <c r="J336" s="39">
        <f t="shared" si="66"/>
        <v>1.6020441827112128E-13</v>
      </c>
      <c r="K336" s="39">
        <f t="shared" si="66"/>
        <v>1.5494564294668269E-12</v>
      </c>
      <c r="L336" s="39">
        <f t="shared" si="67"/>
        <v>1.3168554300762372E-11</v>
      </c>
      <c r="M336" s="39">
        <f t="shared" si="67"/>
        <v>9.928835757474148E-11</v>
      </c>
      <c r="N336" s="39">
        <f t="shared" si="67"/>
        <v>6.6932869728503855E-10</v>
      </c>
      <c r="O336" s="39">
        <f t="shared" si="67"/>
        <v>4.0602757991786864E-9</v>
      </c>
      <c r="P336" s="39">
        <f t="shared" si="67"/>
        <v>2.2283530987687723E-8</v>
      </c>
      <c r="Q336" s="39">
        <f t="shared" si="67"/>
        <v>1.1114727724380301E-7</v>
      </c>
      <c r="R336" s="39">
        <f t="shared" si="67"/>
        <v>5.0580113973429645E-7</v>
      </c>
      <c r="S336" s="39">
        <f t="shared" si="67"/>
        <v>2.1070040921599723E-6</v>
      </c>
      <c r="T336" s="39">
        <f t="shared" si="67"/>
        <v>8.0573784467029621E-6</v>
      </c>
      <c r="U336" s="39">
        <f t="shared" si="67"/>
        <v>2.8355398367446471E-5</v>
      </c>
      <c r="V336" s="39">
        <f t="shared" si="67"/>
        <v>9.2028353714065749E-5</v>
      </c>
      <c r="W336" s="37">
        <v>0.66700000000000004</v>
      </c>
    </row>
    <row r="337" spans="2:23" x14ac:dyDescent="0.25">
      <c r="B337" s="39">
        <f t="shared" si="66"/>
        <v>1.0246056376398423E-24</v>
      </c>
      <c r="C337" s="39">
        <f t="shared" si="66"/>
        <v>1.0577784051408342E-22</v>
      </c>
      <c r="D337" s="39">
        <f t="shared" si="66"/>
        <v>5.3493800633108323E-21</v>
      </c>
      <c r="E337" s="39">
        <f t="shared" si="66"/>
        <v>1.7662736304701556E-19</v>
      </c>
      <c r="F337" s="39">
        <f t="shared" si="66"/>
        <v>4.2819465176876366E-18</v>
      </c>
      <c r="G337" s="39">
        <f t="shared" si="66"/>
        <v>8.1265519871120865E-17</v>
      </c>
      <c r="H337" s="39">
        <f t="shared" si="66"/>
        <v>1.2571875575851574E-15</v>
      </c>
      <c r="I337" s="39">
        <f t="shared" si="66"/>
        <v>1.629928322065236E-14</v>
      </c>
      <c r="J337" s="39">
        <f t="shared" si="66"/>
        <v>1.8070543667500748E-13</v>
      </c>
      <c r="K337" s="39">
        <f t="shared" si="66"/>
        <v>1.7395839421078031E-12</v>
      </c>
      <c r="L337" s="39">
        <f t="shared" si="67"/>
        <v>1.4715553066677695E-11</v>
      </c>
      <c r="M337" s="39">
        <f t="shared" si="67"/>
        <v>1.1043653357225053E-10</v>
      </c>
      <c r="N337" s="39">
        <f t="shared" si="67"/>
        <v>7.4102637747223808E-10</v>
      </c>
      <c r="O337" s="39">
        <f t="shared" si="67"/>
        <v>4.474389419575623E-9</v>
      </c>
      <c r="P337" s="39">
        <f t="shared" si="67"/>
        <v>2.4442802289329096E-8</v>
      </c>
      <c r="Q337" s="39">
        <f t="shared" si="67"/>
        <v>1.2135560289929671E-7</v>
      </c>
      <c r="R337" s="39">
        <f t="shared" si="67"/>
        <v>5.4971901746116249E-7</v>
      </c>
      <c r="S337" s="39">
        <f t="shared" si="67"/>
        <v>2.2794654204780081E-6</v>
      </c>
      <c r="T337" s="39">
        <f t="shared" si="67"/>
        <v>8.677122149200353E-6</v>
      </c>
      <c r="U337" s="39">
        <f t="shared" si="67"/>
        <v>3.0397704249437088E-5</v>
      </c>
      <c r="V337" s="39">
        <f t="shared" si="67"/>
        <v>9.8210942494818759E-5</v>
      </c>
      <c r="W337" s="37">
        <v>0.66600000000000004</v>
      </c>
    </row>
    <row r="338" spans="2:23" x14ac:dyDescent="0.25">
      <c r="B338" s="39">
        <f t="shared" si="66"/>
        <v>1.1683797204731759E-24</v>
      </c>
      <c r="C338" s="39">
        <f t="shared" si="66"/>
        <v>1.2014817431594801E-22</v>
      </c>
      <c r="D338" s="39">
        <f t="shared" si="66"/>
        <v>6.0523303494628112E-21</v>
      </c>
      <c r="E338" s="39">
        <f t="shared" si="66"/>
        <v>1.990560663408659E-19</v>
      </c>
      <c r="F338" s="39">
        <f t="shared" si="66"/>
        <v>4.8068282832921606E-18</v>
      </c>
      <c r="G338" s="39">
        <f t="shared" si="66"/>
        <v>9.0871022520883945E-17</v>
      </c>
      <c r="H338" s="39">
        <f t="shared" si="66"/>
        <v>1.4003055834966665E-15</v>
      </c>
      <c r="I338" s="39">
        <f t="shared" si="66"/>
        <v>1.8084103014912178E-14</v>
      </c>
      <c r="J338" s="39">
        <f t="shared" si="66"/>
        <v>1.9971360181200229E-13</v>
      </c>
      <c r="K338" s="39">
        <f t="shared" si="66"/>
        <v>1.9151033126733905E-12</v>
      </c>
      <c r="L338" s="39">
        <f t="shared" si="67"/>
        <v>1.6137507354328477E-11</v>
      </c>
      <c r="M338" s="39">
        <f t="shared" si="67"/>
        <v>1.206392383772901E-10</v>
      </c>
      <c r="N338" s="39">
        <f t="shared" si="67"/>
        <v>8.0635939257787795E-10</v>
      </c>
      <c r="O338" s="39">
        <f t="shared" si="67"/>
        <v>4.8501086797851463E-9</v>
      </c>
      <c r="P338" s="39">
        <f t="shared" si="67"/>
        <v>2.6393400208389784E-8</v>
      </c>
      <c r="Q338" s="39">
        <f t="shared" si="67"/>
        <v>1.305374892561633E-7</v>
      </c>
      <c r="R338" s="39">
        <f t="shared" si="67"/>
        <v>5.8905009532672678E-7</v>
      </c>
      <c r="S338" s="39">
        <f t="shared" si="67"/>
        <v>2.4332467416611227E-6</v>
      </c>
      <c r="T338" s="39">
        <f t="shared" si="67"/>
        <v>9.2273487625961615E-6</v>
      </c>
      <c r="U338" s="39">
        <f t="shared" si="67"/>
        <v>3.2203082134223301E-5</v>
      </c>
      <c r="V338" s="39">
        <f t="shared" si="67"/>
        <v>1.0365265760663119E-4</v>
      </c>
      <c r="W338" s="37">
        <v>0.66500000000000004</v>
      </c>
    </row>
    <row r="339" spans="2:23" x14ac:dyDescent="0.25">
      <c r="B339" s="39">
        <f t="shared" si="66"/>
        <v>1.3671608661221345E-24</v>
      </c>
      <c r="C339" s="39">
        <f t="shared" si="66"/>
        <v>1.3992978360577702E-22</v>
      </c>
      <c r="D339" s="39">
        <f t="shared" si="66"/>
        <v>7.015760682360153E-21</v>
      </c>
      <c r="E339" s="39">
        <f t="shared" si="66"/>
        <v>2.2966171359440887E-19</v>
      </c>
      <c r="F339" s="39">
        <f t="shared" si="66"/>
        <v>5.5199461960079757E-18</v>
      </c>
      <c r="G339" s="39">
        <f t="shared" si="66"/>
        <v>1.0386443335333213E-16</v>
      </c>
      <c r="H339" s="39">
        <f t="shared" si="66"/>
        <v>1.5930586881682627E-15</v>
      </c>
      <c r="I339" s="39">
        <f t="shared" si="66"/>
        <v>2.0477452631184472E-14</v>
      </c>
      <c r="J339" s="39">
        <f t="shared" si="66"/>
        <v>2.2509160494515631E-13</v>
      </c>
      <c r="K339" s="39">
        <f t="shared" si="66"/>
        <v>2.1484214691538003E-12</v>
      </c>
      <c r="L339" s="39">
        <f t="shared" si="67"/>
        <v>1.8019492121947419E-11</v>
      </c>
      <c r="M339" s="39">
        <f t="shared" si="67"/>
        <v>1.3408401301803665E-10</v>
      </c>
      <c r="N339" s="39">
        <f t="shared" si="67"/>
        <v>8.9207884616878864E-10</v>
      </c>
      <c r="O339" s="39">
        <f t="shared" si="67"/>
        <v>5.3409254438151299E-9</v>
      </c>
      <c r="P339" s="39">
        <f t="shared" si="67"/>
        <v>2.8930477340060063E-8</v>
      </c>
      <c r="Q339" s="39">
        <f t="shared" si="67"/>
        <v>1.4242822040678608E-7</v>
      </c>
      <c r="R339" s="39">
        <f t="shared" si="67"/>
        <v>6.3976364079442259E-7</v>
      </c>
      <c r="S339" s="39">
        <f t="shared" si="67"/>
        <v>2.6306725558125838E-6</v>
      </c>
      <c r="T339" s="39">
        <f t="shared" si="67"/>
        <v>9.9306719108791808E-6</v>
      </c>
      <c r="U339" s="39">
        <f t="shared" si="67"/>
        <v>3.450079179242645E-5</v>
      </c>
      <c r="V339" s="39">
        <f t="shared" si="67"/>
        <v>1.1054834060671385E-4</v>
      </c>
      <c r="W339" s="37">
        <v>0.66400000000000003</v>
      </c>
    </row>
    <row r="340" spans="2:23" x14ac:dyDescent="0.25">
      <c r="B340" s="39">
        <f t="shared" si="66"/>
        <v>1.598974231669117E-24</v>
      </c>
      <c r="C340" s="39">
        <f t="shared" si="66"/>
        <v>1.6288937917379277E-22</v>
      </c>
      <c r="D340" s="39">
        <f t="shared" si="66"/>
        <v>8.1286777689011566E-21</v>
      </c>
      <c r="E340" s="39">
        <f t="shared" si="66"/>
        <v>2.6484889599986335E-19</v>
      </c>
      <c r="F340" s="39">
        <f t="shared" si="66"/>
        <v>6.3359369667264194E-18</v>
      </c>
      <c r="G340" s="39">
        <f t="shared" si="66"/>
        <v>1.1866194177539922E-16</v>
      </c>
      <c r="H340" s="39">
        <f t="shared" si="66"/>
        <v>1.811537274910852E-15</v>
      </c>
      <c r="I340" s="39">
        <f t="shared" si="66"/>
        <v>2.317740595311507E-14</v>
      </c>
      <c r="J340" s="39">
        <f t="shared" si="66"/>
        <v>2.535854277155333E-13</v>
      </c>
      <c r="K340" s="39">
        <f t="shared" si="66"/>
        <v>2.4091481717956791E-12</v>
      </c>
      <c r="L340" s="39">
        <f t="shared" si="67"/>
        <v>2.0112627541095493E-11</v>
      </c>
      <c r="M340" s="39">
        <f t="shared" si="67"/>
        <v>1.4896663800022886E-10</v>
      </c>
      <c r="N340" s="39">
        <f t="shared" si="67"/>
        <v>9.8651770598459146E-10</v>
      </c>
      <c r="O340" s="39">
        <f t="shared" si="67"/>
        <v>5.8791166519120719E-9</v>
      </c>
      <c r="P340" s="39">
        <f t="shared" si="67"/>
        <v>3.1699313711070218E-8</v>
      </c>
      <c r="Q340" s="39">
        <f t="shared" si="67"/>
        <v>1.5534395547737884E-7</v>
      </c>
      <c r="R340" s="39">
        <f t="shared" si="67"/>
        <v>6.9458906841903221E-7</v>
      </c>
      <c r="S340" s="39">
        <f t="shared" si="67"/>
        <v>2.8430997016577723E-6</v>
      </c>
      <c r="T340" s="39">
        <f t="shared" si="67"/>
        <v>1.0683870584026631E-5</v>
      </c>
      <c r="U340" s="39">
        <f t="shared" si="67"/>
        <v>3.6949848708359574E-5</v>
      </c>
      <c r="V340" s="39">
        <f t="shared" si="67"/>
        <v>1.1786361540177688E-4</v>
      </c>
      <c r="W340" s="37">
        <v>0.66300000000000003</v>
      </c>
    </row>
    <row r="341" spans="2:23" x14ac:dyDescent="0.25">
      <c r="B341" s="39">
        <f t="shared" si="66"/>
        <v>1.8691789632170877E-24</v>
      </c>
      <c r="C341" s="39">
        <f t="shared" si="66"/>
        <v>1.8952490908619369E-22</v>
      </c>
      <c r="D341" s="39">
        <f t="shared" si="66"/>
        <v>9.4136776654678891E-21</v>
      </c>
      <c r="E341" s="39">
        <f t="shared" si="66"/>
        <v>3.0528492443798635E-19</v>
      </c>
      <c r="F341" s="39">
        <f t="shared" si="66"/>
        <v>7.2692202971063694E-18</v>
      </c>
      <c r="G341" s="39">
        <f t="shared" si="66"/>
        <v>1.3550657895687461E-16</v>
      </c>
      <c r="H341" s="39">
        <f t="shared" si="66"/>
        <v>2.0590669588533831E-15</v>
      </c>
      <c r="I341" s="39">
        <f t="shared" si="66"/>
        <v>2.6221937999862021E-14</v>
      </c>
      <c r="J341" s="39">
        <f t="shared" si="66"/>
        <v>2.8556417421767054E-13</v>
      </c>
      <c r="K341" s="39">
        <f t="shared" si="66"/>
        <v>2.7003829208872696E-12</v>
      </c>
      <c r="L341" s="39">
        <f t="shared" si="67"/>
        <v>2.2439660351102216E-11</v>
      </c>
      <c r="M341" s="39">
        <f t="shared" si="67"/>
        <v>1.6543433074038323E-10</v>
      </c>
      <c r="N341" s="39">
        <f t="shared" si="67"/>
        <v>1.0905223004016384E-9</v>
      </c>
      <c r="O341" s="39">
        <f t="shared" si="67"/>
        <v>6.4690290129711201E-9</v>
      </c>
      <c r="P341" s="39">
        <f t="shared" si="67"/>
        <v>3.4719945796034227E-8</v>
      </c>
      <c r="Q341" s="39">
        <f t="shared" si="67"/>
        <v>1.6936788898402616E-7</v>
      </c>
      <c r="R341" s="39">
        <f t="shared" si="67"/>
        <v>7.5383839955852436E-7</v>
      </c>
      <c r="S341" s="39">
        <f t="shared" si="67"/>
        <v>3.0715873240601208E-6</v>
      </c>
      <c r="T341" s="39">
        <f t="shared" si="67"/>
        <v>1.1490202744667634E-5</v>
      </c>
      <c r="U341" s="39">
        <f t="shared" si="67"/>
        <v>3.9559338578746079E-5</v>
      </c>
      <c r="V341" s="39">
        <f t="shared" si="67"/>
        <v>1.2562144458216047E-4</v>
      </c>
      <c r="W341" s="37">
        <v>0.66200000000000003</v>
      </c>
    </row>
    <row r="342" spans="2:23" x14ac:dyDescent="0.25">
      <c r="B342" s="39">
        <f t="shared" si="66"/>
        <v>2.1281263965428818E-24</v>
      </c>
      <c r="C342" s="39">
        <f t="shared" si="66"/>
        <v>2.1494076605083052E-22</v>
      </c>
      <c r="D342" s="39">
        <f t="shared" si="66"/>
        <v>1.0634553535651048E-20</v>
      </c>
      <c r="E342" s="39">
        <f t="shared" si="66"/>
        <v>3.4353763000455787E-19</v>
      </c>
      <c r="F342" s="39">
        <f t="shared" si="66"/>
        <v>8.1483089310403329E-18</v>
      </c>
      <c r="G342" s="39">
        <f t="shared" si="66"/>
        <v>1.5130474060208591E-16</v>
      </c>
      <c r="H342" s="39">
        <f t="shared" si="66"/>
        <v>2.2902192268913442E-15</v>
      </c>
      <c r="I342" s="39">
        <f t="shared" si="66"/>
        <v>2.9052793126655956E-14</v>
      </c>
      <c r="J342" s="39">
        <f t="shared" si="66"/>
        <v>3.1517053287917671E-13</v>
      </c>
      <c r="K342" s="39">
        <f t="shared" si="66"/>
        <v>2.9688514967312745E-12</v>
      </c>
      <c r="L342" s="39">
        <f t="shared" si="67"/>
        <v>2.4575554479368461E-11</v>
      </c>
      <c r="M342" s="39">
        <f t="shared" si="67"/>
        <v>1.8048435359453062E-10</v>
      </c>
      <c r="N342" s="39">
        <f t="shared" si="67"/>
        <v>1.1851643982057475E-9</v>
      </c>
      <c r="O342" s="39">
        <f t="shared" si="67"/>
        <v>7.0035281379622163E-9</v>
      </c>
      <c r="P342" s="39">
        <f t="shared" si="67"/>
        <v>3.7445063347058415E-8</v>
      </c>
      <c r="Q342" s="39">
        <f t="shared" si="67"/>
        <v>1.8196541893275341E-7</v>
      </c>
      <c r="R342" s="39">
        <f t="shared" si="67"/>
        <v>8.0683248373320002E-7</v>
      </c>
      <c r="S342" s="39">
        <f t="shared" si="67"/>
        <v>3.2750736538038904E-6</v>
      </c>
      <c r="T342" s="39">
        <f t="shared" si="67"/>
        <v>1.2205218150756656E-5</v>
      </c>
      <c r="U342" s="39">
        <f t="shared" si="67"/>
        <v>4.1863357949816484E-5</v>
      </c>
      <c r="V342" s="39">
        <f t="shared" si="67"/>
        <v>1.3244169078051456E-4</v>
      </c>
      <c r="W342" s="37">
        <v>0.66100000000000003</v>
      </c>
    </row>
    <row r="343" spans="2:23" x14ac:dyDescent="0.25">
      <c r="B343" s="39">
        <f t="shared" ref="B343:K352" si="68">_xlfn.HYPGEOM.DIST(B$2,comau,tongtheN*$W343,tongtheN,TRUE)</f>
        <v>2.4855403388847625E-24</v>
      </c>
      <c r="C343" s="39">
        <f t="shared" si="68"/>
        <v>2.4986899008031546E-22</v>
      </c>
      <c r="D343" s="39">
        <f t="shared" si="68"/>
        <v>1.2305089625270309E-20</v>
      </c>
      <c r="E343" s="39">
        <f t="shared" si="68"/>
        <v>3.9565228339415681E-19</v>
      </c>
      <c r="F343" s="39">
        <f t="shared" si="68"/>
        <v>9.3407706383093156E-18</v>
      </c>
      <c r="G343" s="39">
        <f t="shared" si="68"/>
        <v>1.7264173026642206E-16</v>
      </c>
      <c r="H343" s="39">
        <f t="shared" si="68"/>
        <v>2.6010616635670328E-15</v>
      </c>
      <c r="I343" s="39">
        <f t="shared" si="68"/>
        <v>3.2843114863785598E-14</v>
      </c>
      <c r="J343" s="39">
        <f t="shared" si="68"/>
        <v>3.546399258682766E-13</v>
      </c>
      <c r="K343" s="39">
        <f t="shared" si="68"/>
        <v>3.3252096191151951E-12</v>
      </c>
      <c r="L343" s="39">
        <f t="shared" ref="L343:V352" si="69">_xlfn.HYPGEOM.DIST(L$2,comau,tongtheN*$W343,tongtheN,TRUE)</f>
        <v>2.7398427922279574E-11</v>
      </c>
      <c r="M343" s="39">
        <f t="shared" si="69"/>
        <v>2.0028904406388278E-10</v>
      </c>
      <c r="N343" s="39">
        <f t="shared" si="69"/>
        <v>1.3091682572957233E-9</v>
      </c>
      <c r="O343" s="39">
        <f t="shared" si="69"/>
        <v>7.7008262880110922E-9</v>
      </c>
      <c r="P343" s="39">
        <f t="shared" si="69"/>
        <v>4.0984858697959344E-8</v>
      </c>
      <c r="Q343" s="39">
        <f t="shared" si="69"/>
        <v>1.9825839573737961E-7</v>
      </c>
      <c r="R343" s="39">
        <f t="shared" si="69"/>
        <v>8.7507661077122568E-7</v>
      </c>
      <c r="S343" s="39">
        <f t="shared" si="69"/>
        <v>3.5359872475622936E-6</v>
      </c>
      <c r="T343" s="39">
        <f t="shared" si="69"/>
        <v>1.3118071825432773E-5</v>
      </c>
      <c r="U343" s="39">
        <f t="shared" si="69"/>
        <v>4.4792206522389177E-5</v>
      </c>
      <c r="V343" s="39">
        <f t="shared" si="69"/>
        <v>1.4107419084019788E-4</v>
      </c>
      <c r="W343" s="37">
        <v>0.66</v>
      </c>
    </row>
    <row r="344" spans="2:23" x14ac:dyDescent="0.25">
      <c r="B344" s="39">
        <f t="shared" si="68"/>
        <v>2.9015863688755011E-24</v>
      </c>
      <c r="C344" s="39">
        <f t="shared" si="68"/>
        <v>2.9033572901334855E-22</v>
      </c>
      <c r="D344" s="39">
        <f t="shared" si="68"/>
        <v>1.4231416162129167E-20</v>
      </c>
      <c r="E344" s="39">
        <f t="shared" si="68"/>
        <v>4.5546406920315307E-19</v>
      </c>
      <c r="F344" s="39">
        <f t="shared" si="68"/>
        <v>1.0702920079575809E-17</v>
      </c>
      <c r="G344" s="39">
        <f t="shared" si="68"/>
        <v>1.9690042270885854E-16</v>
      </c>
      <c r="H344" s="39">
        <f t="shared" si="68"/>
        <v>2.9528075278319314E-15</v>
      </c>
      <c r="I344" s="39">
        <f t="shared" si="68"/>
        <v>3.7112051913507349E-14</v>
      </c>
      <c r="J344" s="39">
        <f t="shared" si="68"/>
        <v>3.988844599853707E-13</v>
      </c>
      <c r="K344" s="39">
        <f t="shared" si="68"/>
        <v>3.7228054941486368E-12</v>
      </c>
      <c r="L344" s="39">
        <f t="shared" si="69"/>
        <v>3.0533179779519167E-11</v>
      </c>
      <c r="M344" s="39">
        <f t="shared" si="69"/>
        <v>2.2217859713666018E-10</v>
      </c>
      <c r="N344" s="39">
        <f t="shared" si="69"/>
        <v>1.4455831020522883E-9</v>
      </c>
      <c r="O344" s="39">
        <f t="shared" si="69"/>
        <v>8.4643157779386417E-9</v>
      </c>
      <c r="P344" s="39">
        <f t="shared" si="69"/>
        <v>4.4842495555677603E-8</v>
      </c>
      <c r="Q344" s="39">
        <f t="shared" si="69"/>
        <v>2.1593109082730662E-7</v>
      </c>
      <c r="R344" s="39">
        <f t="shared" si="69"/>
        <v>9.4875282532976496E-7</v>
      </c>
      <c r="S344" s="39">
        <f t="shared" si="69"/>
        <v>3.8163491004340172E-6</v>
      </c>
      <c r="T344" s="39">
        <f t="shared" si="69"/>
        <v>1.4094373633169491E-5</v>
      </c>
      <c r="U344" s="39">
        <f t="shared" si="69"/>
        <v>4.7909954959965995E-5</v>
      </c>
      <c r="V344" s="39">
        <f t="shared" si="69"/>
        <v>1.5022042853571259E-4</v>
      </c>
      <c r="W344" s="37">
        <v>0.65900000000000003</v>
      </c>
    </row>
    <row r="345" spans="2:23" x14ac:dyDescent="0.25">
      <c r="B345" s="39">
        <f t="shared" si="68"/>
        <v>3.3856555067177735E-24</v>
      </c>
      <c r="C345" s="39">
        <f t="shared" si="68"/>
        <v>3.3719755570104132E-22</v>
      </c>
      <c r="D345" s="39">
        <f t="shared" si="68"/>
        <v>1.6451689439328271E-20</v>
      </c>
      <c r="E345" s="39">
        <f t="shared" si="68"/>
        <v>5.2407911168512084E-19</v>
      </c>
      <c r="F345" s="39">
        <f t="shared" si="68"/>
        <v>1.2258219069602678E-17</v>
      </c>
      <c r="G345" s="39">
        <f t="shared" si="68"/>
        <v>2.2446895278908623E-16</v>
      </c>
      <c r="H345" s="39">
        <f t="shared" si="68"/>
        <v>3.3506698679693952E-15</v>
      </c>
      <c r="I345" s="39">
        <f t="shared" si="68"/>
        <v>4.1918029214366326E-14</v>
      </c>
      <c r="J345" s="39">
        <f t="shared" si="68"/>
        <v>4.4846145994123166E-13</v>
      </c>
      <c r="K345" s="39">
        <f t="shared" si="68"/>
        <v>4.1662320082212912E-12</v>
      </c>
      <c r="L345" s="39">
        <f t="shared" si="69"/>
        <v>3.4012886529436963E-11</v>
      </c>
      <c r="M345" s="39">
        <f t="shared" si="69"/>
        <v>2.4636306740558496E-10</v>
      </c>
      <c r="N345" s="39">
        <f t="shared" si="69"/>
        <v>1.5955937344951906E-9</v>
      </c>
      <c r="O345" s="39">
        <f t="shared" si="69"/>
        <v>9.2999663451392061E-9</v>
      </c>
      <c r="P345" s="39">
        <f t="shared" si="69"/>
        <v>4.9044966770836215E-8</v>
      </c>
      <c r="Q345" s="39">
        <f t="shared" si="69"/>
        <v>2.3509342720443361E-7</v>
      </c>
      <c r="R345" s="39">
        <f t="shared" si="69"/>
        <v>1.0282653901500978E-6</v>
      </c>
      <c r="S345" s="39">
        <f t="shared" si="69"/>
        <v>4.1175045155578834E-6</v>
      </c>
      <c r="T345" s="39">
        <f t="shared" si="69"/>
        <v>1.5138179316465049E-5</v>
      </c>
      <c r="U345" s="39">
        <f t="shared" si="69"/>
        <v>5.122768430184797E-5</v>
      </c>
      <c r="V345" s="39">
        <f t="shared" si="69"/>
        <v>1.5990782775203839E-4</v>
      </c>
      <c r="W345" s="37">
        <v>0.65800000000000003</v>
      </c>
    </row>
    <row r="346" spans="2:23" x14ac:dyDescent="0.25">
      <c r="B346" s="39">
        <f t="shared" si="68"/>
        <v>3.9486067516187348E-24</v>
      </c>
      <c r="C346" s="39">
        <f t="shared" si="68"/>
        <v>3.914401868871407E-22</v>
      </c>
      <c r="D346" s="39">
        <f t="shared" si="68"/>
        <v>1.9009607521041271E-20</v>
      </c>
      <c r="E346" s="39">
        <f t="shared" si="68"/>
        <v>6.0275809176704171E-19</v>
      </c>
      <c r="F346" s="39">
        <f t="shared" si="68"/>
        <v>1.4033278827717256E-17</v>
      </c>
      <c r="G346" s="39">
        <f t="shared" si="68"/>
        <v>2.5578543128242144E-16</v>
      </c>
      <c r="H346" s="39">
        <f t="shared" si="68"/>
        <v>3.8005044918999779E-15</v>
      </c>
      <c r="I346" s="39">
        <f t="shared" si="68"/>
        <v>4.7326357143203635E-14</v>
      </c>
      <c r="J346" s="39">
        <f t="shared" si="68"/>
        <v>5.0399090248662596E-13</v>
      </c>
      <c r="K346" s="39">
        <f t="shared" si="68"/>
        <v>4.6605734411725868E-12</v>
      </c>
      <c r="L346" s="39">
        <f t="shared" si="69"/>
        <v>3.7873984287059551E-11</v>
      </c>
      <c r="M346" s="39">
        <f t="shared" si="69"/>
        <v>2.7307270781665858E-10</v>
      </c>
      <c r="N346" s="39">
        <f t="shared" si="69"/>
        <v>1.7604924703443692E-9</v>
      </c>
      <c r="O346" s="39">
        <f t="shared" si="69"/>
        <v>1.0214257103310056E-8</v>
      </c>
      <c r="P346" s="39">
        <f t="shared" si="69"/>
        <v>5.3621421901259579E-8</v>
      </c>
      <c r="Q346" s="39">
        <f t="shared" si="69"/>
        <v>2.5586351221668701E-7</v>
      </c>
      <c r="R346" s="39">
        <f t="shared" si="69"/>
        <v>1.1140464562200856E-6</v>
      </c>
      <c r="S346" s="39">
        <f t="shared" si="69"/>
        <v>4.4408841928707697E-6</v>
      </c>
      <c r="T346" s="39">
        <f t="shared" si="69"/>
        <v>1.6253779510085676E-5</v>
      </c>
      <c r="U346" s="39">
        <f t="shared" si="69"/>
        <v>5.4757054880250298E-5</v>
      </c>
      <c r="V346" s="39">
        <f t="shared" si="69"/>
        <v>1.7016508845062316E-4</v>
      </c>
      <c r="W346" s="37">
        <v>0.65700000000000003</v>
      </c>
    </row>
    <row r="347" spans="2:23" x14ac:dyDescent="0.25">
      <c r="B347" s="39">
        <f t="shared" si="68"/>
        <v>4.4869881398639499E-24</v>
      </c>
      <c r="C347" s="39">
        <f t="shared" si="68"/>
        <v>4.4309355889543122E-22</v>
      </c>
      <c r="D347" s="39">
        <f t="shared" si="68"/>
        <v>2.1435008038313052E-20</v>
      </c>
      <c r="E347" s="39">
        <f t="shared" si="68"/>
        <v>6.7704199000293152E-19</v>
      </c>
      <c r="F347" s="39">
        <f t="shared" si="68"/>
        <v>1.5702017384883021E-17</v>
      </c>
      <c r="G347" s="39">
        <f t="shared" si="68"/>
        <v>2.8510029138459893E-16</v>
      </c>
      <c r="H347" s="39">
        <f t="shared" si="68"/>
        <v>4.2197878208698575E-15</v>
      </c>
      <c r="I347" s="39">
        <f t="shared" si="68"/>
        <v>5.2345826012880407E-14</v>
      </c>
      <c r="J347" s="39">
        <f t="shared" si="68"/>
        <v>5.5530755513935381E-13</v>
      </c>
      <c r="K347" s="39">
        <f t="shared" si="68"/>
        <v>5.1154593670031306E-12</v>
      </c>
      <c r="L347" s="39">
        <f t="shared" si="69"/>
        <v>4.1411733067896634E-11</v>
      </c>
      <c r="M347" s="39">
        <f t="shared" si="69"/>
        <v>2.974410037863228E-10</v>
      </c>
      <c r="N347" s="39">
        <f t="shared" si="69"/>
        <v>1.9102937747258996E-9</v>
      </c>
      <c r="O347" s="39">
        <f t="shared" si="69"/>
        <v>1.1041292255218771E-8</v>
      </c>
      <c r="P347" s="39">
        <f t="shared" si="69"/>
        <v>5.7743445170194167E-8</v>
      </c>
      <c r="Q347" s="39">
        <f t="shared" si="69"/>
        <v>2.744913014708658E-7</v>
      </c>
      <c r="R347" s="39">
        <f t="shared" si="69"/>
        <v>1.1906513495401107E-6</v>
      </c>
      <c r="S347" s="39">
        <f t="shared" si="69"/>
        <v>4.7284386120844435E-6</v>
      </c>
      <c r="T347" s="39">
        <f t="shared" si="69"/>
        <v>1.7241555288864457E-5</v>
      </c>
      <c r="U347" s="39">
        <f t="shared" si="69"/>
        <v>5.786869770018694E-5</v>
      </c>
      <c r="V347" s="39">
        <f t="shared" si="69"/>
        <v>1.7916973718542215E-4</v>
      </c>
      <c r="W347" s="37">
        <v>0.65600000000000003</v>
      </c>
    </row>
    <row r="348" spans="2:23" x14ac:dyDescent="0.25">
      <c r="B348" s="39">
        <f t="shared" si="68"/>
        <v>5.2285513832922822E-24</v>
      </c>
      <c r="C348" s="39">
        <f t="shared" si="68"/>
        <v>5.1393425942269104E-22</v>
      </c>
      <c r="D348" s="39">
        <f t="shared" si="68"/>
        <v>2.4747038784124832E-20</v>
      </c>
      <c r="E348" s="39">
        <f t="shared" si="68"/>
        <v>7.7804469787127052E-19</v>
      </c>
      <c r="F348" s="39">
        <f t="shared" si="68"/>
        <v>1.7961217908576673E-17</v>
      </c>
      <c r="G348" s="39">
        <f t="shared" si="68"/>
        <v>3.2461721833740888E-16</v>
      </c>
      <c r="H348" s="39">
        <f t="shared" si="68"/>
        <v>4.7825598466794338E-15</v>
      </c>
      <c r="I348" s="39">
        <f t="shared" si="68"/>
        <v>5.9054133309733845E-14</v>
      </c>
      <c r="J348" s="39">
        <f t="shared" si="68"/>
        <v>6.2359557005715959E-13</v>
      </c>
      <c r="K348" s="39">
        <f t="shared" si="68"/>
        <v>5.7181859689595665E-12</v>
      </c>
      <c r="L348" s="39">
        <f t="shared" si="69"/>
        <v>4.607915698655484E-11</v>
      </c>
      <c r="M348" s="39">
        <f t="shared" si="69"/>
        <v>3.2945268776743676E-10</v>
      </c>
      <c r="N348" s="39">
        <f t="shared" si="69"/>
        <v>2.1062381321766978E-9</v>
      </c>
      <c r="O348" s="39">
        <f t="shared" si="69"/>
        <v>1.2118440915824896E-8</v>
      </c>
      <c r="P348" s="39">
        <f t="shared" si="69"/>
        <v>6.3089055876952458E-8</v>
      </c>
      <c r="Q348" s="39">
        <f t="shared" si="69"/>
        <v>2.9854512490720953E-7</v>
      </c>
      <c r="R348" s="39">
        <f t="shared" si="69"/>
        <v>1.2891467452518897E-6</v>
      </c>
      <c r="S348" s="39">
        <f t="shared" si="69"/>
        <v>5.0965818074968935E-6</v>
      </c>
      <c r="T348" s="39">
        <f t="shared" si="69"/>
        <v>1.8500750654634181E-5</v>
      </c>
      <c r="U348" s="39">
        <f t="shared" si="69"/>
        <v>6.1818389369709079E-5</v>
      </c>
      <c r="V348" s="39">
        <f t="shared" si="69"/>
        <v>1.9055071661392835E-4</v>
      </c>
      <c r="W348" s="37">
        <v>0.65500000000000003</v>
      </c>
    </row>
    <row r="349" spans="2:23" x14ac:dyDescent="0.25">
      <c r="B349" s="39">
        <f t="shared" si="68"/>
        <v>6.0898310735630401E-24</v>
      </c>
      <c r="C349" s="39">
        <f t="shared" si="68"/>
        <v>5.9582706941527119E-22</v>
      </c>
      <c r="D349" s="39">
        <f t="shared" si="68"/>
        <v>2.8557913815564759E-20</v>
      </c>
      <c r="E349" s="39">
        <f t="shared" si="68"/>
        <v>8.9371750948493596E-19</v>
      </c>
      <c r="F349" s="39">
        <f t="shared" si="68"/>
        <v>2.0536480304850288E-17</v>
      </c>
      <c r="G349" s="39">
        <f t="shared" si="68"/>
        <v>3.6945238682067848E-16</v>
      </c>
      <c r="H349" s="39">
        <f t="shared" si="68"/>
        <v>5.4180920797688607E-15</v>
      </c>
      <c r="I349" s="39">
        <f t="shared" si="68"/>
        <v>6.6594421942241418E-14</v>
      </c>
      <c r="J349" s="39">
        <f t="shared" si="68"/>
        <v>6.999949708754553E-13</v>
      </c>
      <c r="K349" s="39">
        <f t="shared" si="68"/>
        <v>6.3893625081544422E-12</v>
      </c>
      <c r="L349" s="39">
        <f t="shared" si="69"/>
        <v>5.1252426423599136E-11</v>
      </c>
      <c r="M349" s="39">
        <f t="shared" si="69"/>
        <v>3.6476842801898139E-10</v>
      </c>
      <c r="N349" s="39">
        <f t="shared" si="69"/>
        <v>2.321399846253612E-9</v>
      </c>
      <c r="O349" s="39">
        <f t="shared" si="69"/>
        <v>1.3295723766096634E-8</v>
      </c>
      <c r="P349" s="39">
        <f t="shared" si="69"/>
        <v>6.8904406905760464E-8</v>
      </c>
      <c r="Q349" s="39">
        <f t="shared" si="69"/>
        <v>3.2459086223976996E-7</v>
      </c>
      <c r="R349" s="39">
        <f t="shared" si="69"/>
        <v>1.3953023412790001E-6</v>
      </c>
      <c r="S349" s="39">
        <f t="shared" si="69"/>
        <v>5.4915104766859961E-6</v>
      </c>
      <c r="T349" s="39">
        <f t="shared" si="69"/>
        <v>1.9845280400656006E-5</v>
      </c>
      <c r="U349" s="39">
        <f t="shared" si="69"/>
        <v>6.6016137714246744E-5</v>
      </c>
      <c r="V349" s="39">
        <f t="shared" si="69"/>
        <v>2.0259023854643342E-4</v>
      </c>
      <c r="W349" s="37">
        <v>0.65400000000000003</v>
      </c>
    </row>
    <row r="350" spans="2:23" x14ac:dyDescent="0.25">
      <c r="B350" s="39">
        <f t="shared" si="68"/>
        <v>7.0896982317368988E-24</v>
      </c>
      <c r="C350" s="39">
        <f t="shared" si="68"/>
        <v>6.9045379777134441E-22</v>
      </c>
      <c r="D350" s="39">
        <f t="shared" si="68"/>
        <v>3.2940830495398252E-20</v>
      </c>
      <c r="E350" s="39">
        <f t="shared" si="68"/>
        <v>1.0261335982315248E-18</v>
      </c>
      <c r="F350" s="39">
        <f t="shared" si="68"/>
        <v>2.3470766068094592E-17</v>
      </c>
      <c r="G350" s="39">
        <f t="shared" si="68"/>
        <v>4.2030012996317673E-16</v>
      </c>
      <c r="H350" s="39">
        <f t="shared" si="68"/>
        <v>6.1354946222385212E-15</v>
      </c>
      <c r="I350" s="39">
        <f t="shared" si="68"/>
        <v>7.5066427872570503E-14</v>
      </c>
      <c r="J350" s="39">
        <f t="shared" si="68"/>
        <v>7.8543505774717167E-13</v>
      </c>
      <c r="K350" s="39">
        <f t="shared" si="68"/>
        <v>7.1364688796022192E-12</v>
      </c>
      <c r="L350" s="39">
        <f t="shared" si="69"/>
        <v>5.6984149637225878E-11</v>
      </c>
      <c r="M350" s="39">
        <f t="shared" si="69"/>
        <v>4.0371447283870995E-10</v>
      </c>
      <c r="N350" s="39">
        <f t="shared" si="69"/>
        <v>2.5575756858386361E-9</v>
      </c>
      <c r="O350" s="39">
        <f t="shared" si="69"/>
        <v>1.4581979162988344E-8</v>
      </c>
      <c r="P350" s="39">
        <f t="shared" si="69"/>
        <v>7.5228507060281062E-8</v>
      </c>
      <c r="Q350" s="39">
        <f t="shared" si="69"/>
        <v>3.5278354236479623E-7</v>
      </c>
      <c r="R350" s="39">
        <f t="shared" si="69"/>
        <v>1.5096744146082754E-6</v>
      </c>
      <c r="S350" s="39">
        <f t="shared" si="69"/>
        <v>5.9150302055597951E-6</v>
      </c>
      <c r="T350" s="39">
        <f t="shared" si="69"/>
        <v>2.1280451800442849E-5</v>
      </c>
      <c r="U350" s="39">
        <f t="shared" si="69"/>
        <v>7.0476073599287656E-5</v>
      </c>
      <c r="V350" s="39">
        <f t="shared" si="69"/>
        <v>2.1532236097780613E-4</v>
      </c>
      <c r="W350" s="37">
        <v>0.65300000000000002</v>
      </c>
    </row>
    <row r="351" spans="2:23" x14ac:dyDescent="0.25">
      <c r="B351" s="39">
        <f t="shared" si="68"/>
        <v>8.0443983306426865E-24</v>
      </c>
      <c r="C351" s="39">
        <f t="shared" si="68"/>
        <v>7.8042173421607618E-22</v>
      </c>
      <c r="D351" s="39">
        <f t="shared" si="68"/>
        <v>3.7090243208975248E-20</v>
      </c>
      <c r="E351" s="39">
        <f t="shared" si="68"/>
        <v>1.1509621326153607E-18</v>
      </c>
      <c r="F351" s="39">
        <f t="shared" si="68"/>
        <v>2.6225156061427564E-17</v>
      </c>
      <c r="G351" s="39">
        <f t="shared" si="68"/>
        <v>4.6782761444010813E-16</v>
      </c>
      <c r="H351" s="39">
        <f t="shared" si="68"/>
        <v>6.8032023326939239E-15</v>
      </c>
      <c r="I351" s="39">
        <f t="shared" si="68"/>
        <v>8.2918065987965147E-14</v>
      </c>
      <c r="J351" s="39">
        <f t="shared" si="68"/>
        <v>8.6428229101021922E-13</v>
      </c>
      <c r="K351" s="39">
        <f t="shared" si="68"/>
        <v>7.8229967632185237E-12</v>
      </c>
      <c r="L351" s="39">
        <f t="shared" si="69"/>
        <v>6.2228746651757487E-11</v>
      </c>
      <c r="M351" s="39">
        <f t="shared" si="69"/>
        <v>4.3919921498331418E-10</v>
      </c>
      <c r="N351" s="39">
        <f t="shared" si="69"/>
        <v>2.7718476503108315E-9</v>
      </c>
      <c r="O351" s="39">
        <f t="shared" si="69"/>
        <v>1.5743986552213463E-8</v>
      </c>
      <c r="P351" s="39">
        <f t="shared" si="69"/>
        <v>8.09174610606305E-8</v>
      </c>
      <c r="Q351" s="39">
        <f t="shared" si="69"/>
        <v>3.7803708183324893E-7</v>
      </c>
      <c r="R351" s="39">
        <f t="shared" si="69"/>
        <v>1.6116880681199133E-6</v>
      </c>
      <c r="S351" s="39">
        <f t="shared" si="69"/>
        <v>6.2911832436745435E-6</v>
      </c>
      <c r="T351" s="39">
        <f t="shared" si="69"/>
        <v>2.2549702829055467E-5</v>
      </c>
      <c r="U351" s="39">
        <f t="shared" si="69"/>
        <v>7.4403656832476334E-5</v>
      </c>
      <c r="V351" s="39">
        <f t="shared" si="69"/>
        <v>2.2648715770754224E-4</v>
      </c>
      <c r="W351" s="37">
        <v>0.65200000000000002</v>
      </c>
    </row>
    <row r="352" spans="2:23" x14ac:dyDescent="0.25">
      <c r="B352" s="39">
        <f t="shared" si="68"/>
        <v>9.3572896303709184E-24</v>
      </c>
      <c r="C352" s="39">
        <f t="shared" si="68"/>
        <v>9.0361482129496181E-22</v>
      </c>
      <c r="D352" s="39">
        <f t="shared" si="68"/>
        <v>4.2747718706839656E-20</v>
      </c>
      <c r="E352" s="39">
        <f t="shared" si="68"/>
        <v>1.3204302800975245E-18</v>
      </c>
      <c r="F352" s="39">
        <f t="shared" si="68"/>
        <v>2.9948545789345046E-17</v>
      </c>
      <c r="G352" s="39">
        <f t="shared" si="68"/>
        <v>5.3180072054464362E-16</v>
      </c>
      <c r="H352" s="39">
        <f t="shared" si="68"/>
        <v>7.6981120727096666E-15</v>
      </c>
      <c r="I352" s="39">
        <f t="shared" si="68"/>
        <v>9.3396443517912947E-14</v>
      </c>
      <c r="J352" s="39">
        <f t="shared" si="68"/>
        <v>9.6905829658126005E-13</v>
      </c>
      <c r="K352" s="39">
        <f t="shared" si="68"/>
        <v>8.7313941142996186E-12</v>
      </c>
      <c r="L352" s="39">
        <f t="shared" si="69"/>
        <v>6.9138662957834821E-11</v>
      </c>
      <c r="M352" s="39">
        <f t="shared" si="69"/>
        <v>4.857520344041977E-10</v>
      </c>
      <c r="N352" s="39">
        <f t="shared" si="69"/>
        <v>3.0517548324729281E-9</v>
      </c>
      <c r="O352" s="39">
        <f t="shared" si="69"/>
        <v>1.7255467302250067E-8</v>
      </c>
      <c r="P352" s="39">
        <f t="shared" si="69"/>
        <v>8.8285838694904528E-8</v>
      </c>
      <c r="Q352" s="39">
        <f t="shared" si="69"/>
        <v>4.1060635859261873E-7</v>
      </c>
      <c r="R352" s="39">
        <f t="shared" si="69"/>
        <v>1.7426940860958238E-6</v>
      </c>
      <c r="S352" s="39">
        <f t="shared" si="69"/>
        <v>6.7721834746273652E-6</v>
      </c>
      <c r="T352" s="39">
        <f t="shared" si="69"/>
        <v>2.4165834276632295E-5</v>
      </c>
      <c r="U352" s="39">
        <f t="shared" si="69"/>
        <v>7.9383362559263423E-5</v>
      </c>
      <c r="V352" s="39">
        <f t="shared" si="69"/>
        <v>2.4058260639001517E-4</v>
      </c>
      <c r="W352" s="37">
        <v>0.65100000000000002</v>
      </c>
    </row>
    <row r="353" spans="2:23" x14ac:dyDescent="0.25">
      <c r="B353" s="39">
        <f t="shared" ref="B353:K362" si="70">_xlfn.HYPGEOM.DIST(B$2,comau,tongtheN*$W353,tongtheN,TRUE)</f>
        <v>1.0879492730510222E-23</v>
      </c>
      <c r="C353" s="39">
        <f t="shared" si="70"/>
        <v>1.0457850226566376E-21</v>
      </c>
      <c r="D353" s="39">
        <f t="shared" si="70"/>
        <v>4.9246378745777956E-20</v>
      </c>
      <c r="E353" s="39">
        <f t="shared" si="70"/>
        <v>1.5141922774722185E-18</v>
      </c>
      <c r="F353" s="39">
        <f t="shared" si="70"/>
        <v>3.4185940179330293E-17</v>
      </c>
      <c r="G353" s="39">
        <f t="shared" si="70"/>
        <v>6.0426737047255E-16</v>
      </c>
      <c r="H353" s="39">
        <f t="shared" si="70"/>
        <v>8.7071345084927723E-15</v>
      </c>
      <c r="I353" s="39">
        <f t="shared" si="70"/>
        <v>1.0515616280741708E-13</v>
      </c>
      <c r="J353" s="39">
        <f t="shared" si="70"/>
        <v>1.0861015969430552E-12</v>
      </c>
      <c r="K353" s="39">
        <f t="shared" si="70"/>
        <v>9.7414441124017154E-12</v>
      </c>
      <c r="L353" s="39">
        <f t="shared" ref="L353:V362" si="71">_xlfn.HYPGEOM.DIST(L$2,comau,tongtheN*$W353,tongtheN,TRUE)</f>
        <v>7.6786217327317315E-11</v>
      </c>
      <c r="M353" s="39">
        <f t="shared" si="71"/>
        <v>5.3703569636802665E-10</v>
      </c>
      <c r="N353" s="39">
        <f t="shared" si="71"/>
        <v>3.3586788093504871E-9</v>
      </c>
      <c r="O353" s="39">
        <f t="shared" si="71"/>
        <v>1.8905162115657166E-8</v>
      </c>
      <c r="P353" s="39">
        <f t="shared" si="71"/>
        <v>9.6290769033285914E-8</v>
      </c>
      <c r="Q353" s="39">
        <f t="shared" si="71"/>
        <v>4.4582551640586362E-7</v>
      </c>
      <c r="R353" s="39">
        <f t="shared" si="71"/>
        <v>1.883703382637199E-6</v>
      </c>
      <c r="S353" s="39">
        <f t="shared" si="71"/>
        <v>7.2875164214713368E-6</v>
      </c>
      <c r="T353" s="39">
        <f t="shared" si="71"/>
        <v>2.5889312916934622E-5</v>
      </c>
      <c r="U353" s="39">
        <f t="shared" si="71"/>
        <v>8.4669275164245961E-5</v>
      </c>
      <c r="V353" s="39">
        <f t="shared" si="71"/>
        <v>2.5547562572178256E-4</v>
      </c>
      <c r="W353" s="37">
        <v>0.65</v>
      </c>
    </row>
    <row r="354" spans="2:23" x14ac:dyDescent="0.25">
      <c r="B354" s="39">
        <f t="shared" si="70"/>
        <v>1.2643592193553122E-23</v>
      </c>
      <c r="C354" s="39">
        <f t="shared" si="70"/>
        <v>1.2097837138110013E-21</v>
      </c>
      <c r="D354" s="39">
        <f t="shared" si="70"/>
        <v>5.6708072889330073E-20</v>
      </c>
      <c r="E354" s="39">
        <f t="shared" si="70"/>
        <v>1.7356365903447999E-18</v>
      </c>
      <c r="F354" s="39">
        <f t="shared" si="70"/>
        <v>3.9006279395875795E-17</v>
      </c>
      <c r="G354" s="39">
        <f t="shared" si="70"/>
        <v>6.8632144766139612E-16</v>
      </c>
      <c r="H354" s="39">
        <f t="shared" si="70"/>
        <v>9.8443599077814767E-15</v>
      </c>
      <c r="I354" s="39">
        <f t="shared" si="70"/>
        <v>1.183486569326539E-13</v>
      </c>
      <c r="J354" s="39">
        <f t="shared" si="70"/>
        <v>1.2167972728594531E-12</v>
      </c>
      <c r="K354" s="39">
        <f t="shared" si="70"/>
        <v>1.0864089806889318E-11</v>
      </c>
      <c r="L354" s="39">
        <f t="shared" si="71"/>
        <v>8.5246952015714158E-11</v>
      </c>
      <c r="M354" s="39">
        <f t="shared" si="71"/>
        <v>5.935099720091477E-10</v>
      </c>
      <c r="N354" s="39">
        <f t="shared" si="71"/>
        <v>3.6951044357832939E-9</v>
      </c>
      <c r="O354" s="39">
        <f t="shared" si="71"/>
        <v>2.0705064488282105E-8</v>
      </c>
      <c r="P354" s="39">
        <f t="shared" si="71"/>
        <v>1.0498418497116409E-7</v>
      </c>
      <c r="Q354" s="39">
        <f t="shared" si="71"/>
        <v>4.8389700900641542E-7</v>
      </c>
      <c r="R354" s="39">
        <f t="shared" si="71"/>
        <v>2.0354283982525042E-6</v>
      </c>
      <c r="S354" s="39">
        <f t="shared" si="71"/>
        <v>7.8394493862509564E-6</v>
      </c>
      <c r="T354" s="39">
        <f t="shared" si="71"/>
        <v>2.7726670899094257E-5</v>
      </c>
      <c r="U354" s="39">
        <f t="shared" si="71"/>
        <v>9.0278434468050748E-5</v>
      </c>
      <c r="V354" s="39">
        <f t="shared" si="71"/>
        <v>2.7120643044203815E-4</v>
      </c>
      <c r="W354" s="37">
        <v>0.64900000000000002</v>
      </c>
    </row>
    <row r="355" spans="2:23" x14ac:dyDescent="0.25">
      <c r="B355" s="39">
        <f t="shared" si="70"/>
        <v>1.4325371838995236E-23</v>
      </c>
      <c r="C355" s="39">
        <f t="shared" si="70"/>
        <v>1.3654683975624138E-21</v>
      </c>
      <c r="D355" s="39">
        <f t="shared" si="70"/>
        <v>6.376153978688787E-20</v>
      </c>
      <c r="E355" s="39">
        <f t="shared" si="70"/>
        <v>1.9440806880924808E-18</v>
      </c>
      <c r="F355" s="39">
        <f t="shared" si="70"/>
        <v>4.3524451324677803E-17</v>
      </c>
      <c r="G355" s="39">
        <f t="shared" si="70"/>
        <v>7.6290677903381292E-16</v>
      </c>
      <c r="H355" s="39">
        <f t="shared" si="70"/>
        <v>1.0901305075085674E-14</v>
      </c>
      <c r="I355" s="39">
        <f t="shared" si="70"/>
        <v>1.3055803351869157E-13</v>
      </c>
      <c r="J355" s="39">
        <f t="shared" si="70"/>
        <v>1.3372422431578313E-12</v>
      </c>
      <c r="K355" s="39">
        <f t="shared" si="70"/>
        <v>1.1894312781479721E-11</v>
      </c>
      <c r="L355" s="39">
        <f t="shared" si="71"/>
        <v>9.2978346861784344E-11</v>
      </c>
      <c r="M355" s="39">
        <f t="shared" si="71"/>
        <v>6.4489799409638664E-10</v>
      </c>
      <c r="N355" s="39">
        <f t="shared" si="71"/>
        <v>3.9999374167384473E-9</v>
      </c>
      <c r="O355" s="39">
        <f t="shared" si="71"/>
        <v>2.2329055708322811E-8</v>
      </c>
      <c r="P355" s="39">
        <f t="shared" si="71"/>
        <v>1.12794835810367E-7</v>
      </c>
      <c r="Q355" s="39">
        <f t="shared" si="71"/>
        <v>5.1795812699556959E-7</v>
      </c>
      <c r="R355" s="39">
        <f t="shared" si="71"/>
        <v>2.1705978673562515E-6</v>
      </c>
      <c r="S355" s="39">
        <f t="shared" si="71"/>
        <v>8.3290820300831039E-6</v>
      </c>
      <c r="T355" s="39">
        <f t="shared" si="71"/>
        <v>2.9349753477855195E-5</v>
      </c>
      <c r="U355" s="39">
        <f t="shared" si="71"/>
        <v>9.5212530588749338E-5</v>
      </c>
      <c r="V355" s="39">
        <f t="shared" si="71"/>
        <v>2.8498562893959075E-4</v>
      </c>
      <c r="W355" s="37">
        <v>0.64800000000000002</v>
      </c>
    </row>
    <row r="356" spans="2:23" x14ac:dyDescent="0.25">
      <c r="B356" s="39">
        <f t="shared" si="70"/>
        <v>1.6634513363594583E-23</v>
      </c>
      <c r="C356" s="39">
        <f t="shared" si="70"/>
        <v>1.5783188117735508E-21</v>
      </c>
      <c r="D356" s="39">
        <f t="shared" si="70"/>
        <v>7.3363923783878587E-20</v>
      </c>
      <c r="E356" s="39">
        <f t="shared" si="70"/>
        <v>2.2266431972730889E-18</v>
      </c>
      <c r="F356" s="39">
        <f t="shared" si="70"/>
        <v>4.9623145576857988E-17</v>
      </c>
      <c r="G356" s="39">
        <f t="shared" si="70"/>
        <v>8.6584331469663898E-16</v>
      </c>
      <c r="H356" s="39">
        <f t="shared" si="70"/>
        <v>1.2315883155739202E-14</v>
      </c>
      <c r="I356" s="39">
        <f t="shared" si="70"/>
        <v>1.4682921695098066E-13</v>
      </c>
      <c r="J356" s="39">
        <f t="shared" si="70"/>
        <v>1.497075141473896E-12</v>
      </c>
      <c r="K356" s="39">
        <f t="shared" si="70"/>
        <v>1.3255636022800629E-11</v>
      </c>
      <c r="L356" s="39">
        <f t="shared" si="71"/>
        <v>1.0315116011402624E-10</v>
      </c>
      <c r="M356" s="39">
        <f t="shared" si="71"/>
        <v>7.1222650005804559E-10</v>
      </c>
      <c r="N356" s="39">
        <f t="shared" si="71"/>
        <v>4.3976355487377964E-9</v>
      </c>
      <c r="O356" s="39">
        <f t="shared" si="71"/>
        <v>2.4438803119763274E-8</v>
      </c>
      <c r="P356" s="39">
        <f t="shared" si="71"/>
        <v>1.228987549412255E-7</v>
      </c>
      <c r="Q356" s="39">
        <f t="shared" si="71"/>
        <v>5.6183322016131444E-7</v>
      </c>
      <c r="R356" s="39">
        <f t="shared" si="71"/>
        <v>2.3439762465842756E-6</v>
      </c>
      <c r="S356" s="39">
        <f t="shared" si="71"/>
        <v>8.95446281712234E-6</v>
      </c>
      <c r="T356" s="39">
        <f t="shared" si="71"/>
        <v>3.1414055731767848E-5</v>
      </c>
      <c r="U356" s="39">
        <f t="shared" si="71"/>
        <v>1.014613710432481E-4</v>
      </c>
      <c r="V356" s="39">
        <f t="shared" si="71"/>
        <v>3.0236266116727607E-4</v>
      </c>
      <c r="W356" s="37">
        <v>0.64700000000000002</v>
      </c>
    </row>
    <row r="357" spans="2:23" x14ac:dyDescent="0.25">
      <c r="B357" s="39">
        <f t="shared" si="70"/>
        <v>1.9307269985466609E-23</v>
      </c>
      <c r="C357" s="39">
        <f t="shared" si="70"/>
        <v>1.8235483883562477E-21</v>
      </c>
      <c r="D357" s="39">
        <f t="shared" si="70"/>
        <v>8.4375953477726162E-20</v>
      </c>
      <c r="E357" s="39">
        <f t="shared" si="70"/>
        <v>2.5491903914921142E-18</v>
      </c>
      <c r="F357" s="39">
        <f t="shared" si="70"/>
        <v>5.6552718755206105E-17</v>
      </c>
      <c r="G357" s="39">
        <f t="shared" si="70"/>
        <v>9.8226410265240079E-16</v>
      </c>
      <c r="H357" s="39">
        <f t="shared" si="70"/>
        <v>1.39083842528643E-14</v>
      </c>
      <c r="I357" s="39">
        <f t="shared" si="70"/>
        <v>1.6506247393732497E-13</v>
      </c>
      <c r="J357" s="39">
        <f t="shared" si="70"/>
        <v>1.6753557257195042E-12</v>
      </c>
      <c r="K357" s="39">
        <f t="shared" si="70"/>
        <v>1.4767081063251376E-11</v>
      </c>
      <c r="L357" s="39">
        <f t="shared" si="71"/>
        <v>1.1439373693768056E-10</v>
      </c>
      <c r="M357" s="39">
        <f t="shared" si="71"/>
        <v>7.8629233517900079E-10</v>
      </c>
      <c r="N357" s="39">
        <f t="shared" si="71"/>
        <v>4.8331144466034784E-9</v>
      </c>
      <c r="O357" s="39">
        <f t="shared" si="71"/>
        <v>2.6738333259318853E-8</v>
      </c>
      <c r="P357" s="39">
        <f t="shared" si="71"/>
        <v>1.3386086216638714E-7</v>
      </c>
      <c r="Q357" s="39">
        <f t="shared" si="71"/>
        <v>6.0921574916497214E-7</v>
      </c>
      <c r="R357" s="39">
        <f t="shared" si="71"/>
        <v>2.5303529326065466E-6</v>
      </c>
      <c r="S357" s="39">
        <f t="shared" si="71"/>
        <v>9.623635341987016E-6</v>
      </c>
      <c r="T357" s="39">
        <f t="shared" si="71"/>
        <v>3.3612746898383646E-5</v>
      </c>
      <c r="U357" s="39">
        <f t="shared" si="71"/>
        <v>1.0808640665555386E-4</v>
      </c>
      <c r="V357" s="39">
        <f t="shared" si="71"/>
        <v>3.2070111346702549E-4</v>
      </c>
      <c r="W357" s="37">
        <v>0.64600000000000002</v>
      </c>
    </row>
    <row r="358" spans="2:23" x14ac:dyDescent="0.25">
      <c r="B358" s="39">
        <f t="shared" si="70"/>
        <v>2.2399553490301171E-23</v>
      </c>
      <c r="C358" s="39">
        <f t="shared" si="70"/>
        <v>2.1059616236466967E-21</v>
      </c>
      <c r="D358" s="39">
        <f t="shared" si="70"/>
        <v>9.6999237257051926E-20</v>
      </c>
      <c r="E358" s="39">
        <f t="shared" si="70"/>
        <v>2.9172273890818694E-18</v>
      </c>
      <c r="F358" s="39">
        <f t="shared" si="70"/>
        <v>6.442314764473371E-17</v>
      </c>
      <c r="G358" s="39">
        <f t="shared" si="70"/>
        <v>1.1138825050697819E-15</v>
      </c>
      <c r="H358" s="39">
        <f t="shared" si="70"/>
        <v>1.5700476868880903E-14</v>
      </c>
      <c r="I358" s="39">
        <f t="shared" si="70"/>
        <v>1.8548643880932413E-13</v>
      </c>
      <c r="J358" s="39">
        <f t="shared" si="70"/>
        <v>1.8741369692556251E-12</v>
      </c>
      <c r="K358" s="39">
        <f t="shared" si="70"/>
        <v>1.6444570243425604E-11</v>
      </c>
      <c r="L358" s="39">
        <f t="shared" si="71"/>
        <v>1.2681396883861743E-10</v>
      </c>
      <c r="M358" s="39">
        <f t="shared" si="71"/>
        <v>8.6774001120076938E-10</v>
      </c>
      <c r="N358" s="39">
        <f t="shared" si="71"/>
        <v>5.3097926330180467E-9</v>
      </c>
      <c r="O358" s="39">
        <f t="shared" si="71"/>
        <v>2.9243837356540954E-8</v>
      </c>
      <c r="P358" s="39">
        <f t="shared" si="71"/>
        <v>1.4574994523710382E-7</v>
      </c>
      <c r="Q358" s="39">
        <f t="shared" si="71"/>
        <v>6.6036877324711665E-7</v>
      </c>
      <c r="R358" s="39">
        <f t="shared" si="71"/>
        <v>2.7306358356308695E-6</v>
      </c>
      <c r="S358" s="39">
        <f t="shared" si="71"/>
        <v>1.0339432655772256E-5</v>
      </c>
      <c r="T358" s="39">
        <f t="shared" si="71"/>
        <v>3.5953827244668477E-5</v>
      </c>
      <c r="U358" s="39">
        <f t="shared" si="71"/>
        <v>1.1510808420734694E-4</v>
      </c>
      <c r="V358" s="39">
        <f t="shared" si="71"/>
        <v>3.4004823566217301E-4</v>
      </c>
      <c r="W358" s="37">
        <v>0.64500000000000002</v>
      </c>
    </row>
    <row r="359" spans="2:23" x14ac:dyDescent="0.25">
      <c r="B359" s="39">
        <f t="shared" si="70"/>
        <v>2.5343040310473048E-23</v>
      </c>
      <c r="C359" s="39">
        <f t="shared" si="70"/>
        <v>2.3736547136124245E-21</v>
      </c>
      <c r="D359" s="39">
        <f t="shared" si="70"/>
        <v>1.0891423514314176E-19</v>
      </c>
      <c r="E359" s="39">
        <f t="shared" si="70"/>
        <v>3.2631530652163555E-18</v>
      </c>
      <c r="F359" s="39">
        <f t="shared" si="70"/>
        <v>7.1789620609440913E-17</v>
      </c>
      <c r="G359" s="39">
        <f t="shared" si="70"/>
        <v>1.2365551927153819E-15</v>
      </c>
      <c r="H359" s="39">
        <f t="shared" si="70"/>
        <v>1.7363743847334714E-14</v>
      </c>
      <c r="I359" s="39">
        <f t="shared" si="70"/>
        <v>2.0436252723472422E-13</v>
      </c>
      <c r="J359" s="39">
        <f t="shared" si="70"/>
        <v>2.0570808839114595E-12</v>
      </c>
      <c r="K359" s="39">
        <f t="shared" si="70"/>
        <v>1.7981921444798182E-11</v>
      </c>
      <c r="L359" s="39">
        <f t="shared" si="71"/>
        <v>1.3814877375471338E-10</v>
      </c>
      <c r="M359" s="39">
        <f t="shared" si="71"/>
        <v>9.4175747582996106E-10</v>
      </c>
      <c r="N359" s="39">
        <f t="shared" si="71"/>
        <v>5.7411648098600561E-9</v>
      </c>
      <c r="O359" s="39">
        <f t="shared" si="71"/>
        <v>3.1501679074590913E-8</v>
      </c>
      <c r="P359" s="39">
        <f t="shared" si="71"/>
        <v>1.5641881568931233E-7</v>
      </c>
      <c r="Q359" s="39">
        <f t="shared" si="71"/>
        <v>7.0607898965211533E-7</v>
      </c>
      <c r="R359" s="39">
        <f t="shared" si="71"/>
        <v>2.9088564366886955E-6</v>
      </c>
      <c r="S359" s="39">
        <f t="shared" si="71"/>
        <v>1.0973705811871659E-5</v>
      </c>
      <c r="T359" s="39">
        <f t="shared" si="71"/>
        <v>3.8019564133184438E-5</v>
      </c>
      <c r="U359" s="39">
        <f t="shared" si="71"/>
        <v>1.2127789951810949E-4</v>
      </c>
      <c r="V359" s="39">
        <f t="shared" si="71"/>
        <v>3.5697681173058076E-4</v>
      </c>
      <c r="W359" s="37">
        <v>0.64400000000000002</v>
      </c>
    </row>
    <row r="360" spans="2:23" x14ac:dyDescent="0.25">
      <c r="B360" s="39">
        <f t="shared" si="70"/>
        <v>2.9378366780362559E-23</v>
      </c>
      <c r="C360" s="39">
        <f t="shared" si="70"/>
        <v>2.7390903450785864E-21</v>
      </c>
      <c r="D360" s="39">
        <f t="shared" si="70"/>
        <v>1.2511089658889571E-19</v>
      </c>
      <c r="E360" s="39">
        <f t="shared" si="70"/>
        <v>3.7313976818865963E-18</v>
      </c>
      <c r="F360" s="39">
        <f t="shared" si="70"/>
        <v>8.1718693705743314E-17</v>
      </c>
      <c r="G360" s="39">
        <f t="shared" si="70"/>
        <v>1.4012033051806211E-15</v>
      </c>
      <c r="H360" s="39">
        <f t="shared" si="70"/>
        <v>1.9586701866756441E-14</v>
      </c>
      <c r="I360" s="39">
        <f t="shared" si="70"/>
        <v>2.2948384230096636E-13</v>
      </c>
      <c r="J360" s="39">
        <f t="shared" si="70"/>
        <v>2.2995241117729565E-12</v>
      </c>
      <c r="K360" s="39">
        <f t="shared" si="70"/>
        <v>2.0010666870177203E-11</v>
      </c>
      <c r="L360" s="39">
        <f t="shared" si="71"/>
        <v>1.5304346597278557E-10</v>
      </c>
      <c r="M360" s="39">
        <f t="shared" si="71"/>
        <v>1.0386109845161541E-9</v>
      </c>
      <c r="N360" s="39">
        <f t="shared" si="71"/>
        <v>6.3032441222921572E-9</v>
      </c>
      <c r="O360" s="39">
        <f t="shared" si="71"/>
        <v>3.4431249405887556E-8</v>
      </c>
      <c r="P360" s="39">
        <f t="shared" si="71"/>
        <v>1.7020342582088569E-7</v>
      </c>
      <c r="Q360" s="39">
        <f t="shared" si="71"/>
        <v>7.6488958537501462E-7</v>
      </c>
      <c r="R360" s="39">
        <f t="shared" si="71"/>
        <v>3.1371886071759305E-6</v>
      </c>
      <c r="S360" s="39">
        <f t="shared" si="71"/>
        <v>1.1782900597739259E-5</v>
      </c>
      <c r="T360" s="39">
        <f t="shared" si="71"/>
        <v>4.0643903136820311E-5</v>
      </c>
      <c r="U360" s="39">
        <f t="shared" si="71"/>
        <v>1.2908313341366648E-4</v>
      </c>
      <c r="V360" s="39">
        <f t="shared" si="71"/>
        <v>3.7830252944307246E-4</v>
      </c>
      <c r="W360" s="37">
        <v>0.64300000000000002</v>
      </c>
    </row>
    <row r="361" spans="2:23" x14ac:dyDescent="0.25">
      <c r="B361" s="39">
        <f t="shared" si="70"/>
        <v>3.4041407384432723E-23</v>
      </c>
      <c r="C361" s="39">
        <f t="shared" si="70"/>
        <v>3.1594311672454772E-21</v>
      </c>
      <c r="D361" s="39">
        <f t="shared" si="70"/>
        <v>1.4365546771599932E-19</v>
      </c>
      <c r="E361" s="39">
        <f t="shared" si="70"/>
        <v>4.2650582889935314E-18</v>
      </c>
      <c r="F361" s="39">
        <f t="shared" si="70"/>
        <v>9.2982951354202013E-17</v>
      </c>
      <c r="G361" s="39">
        <f t="shared" si="70"/>
        <v>1.5871346410396218E-15</v>
      </c>
      <c r="H361" s="39">
        <f t="shared" si="70"/>
        <v>2.2085490433320401E-14</v>
      </c>
      <c r="I361" s="39">
        <f t="shared" si="70"/>
        <v>2.5759271861273393E-13</v>
      </c>
      <c r="J361" s="39">
        <f t="shared" si="70"/>
        <v>2.5695556468807016E-12</v>
      </c>
      <c r="K361" s="39">
        <f t="shared" si="70"/>
        <v>2.2259906583825062E-11</v>
      </c>
      <c r="L361" s="39">
        <f t="shared" si="71"/>
        <v>1.6948127504423727E-10</v>
      </c>
      <c r="M361" s="39">
        <f t="shared" si="71"/>
        <v>1.145008726660704E-9</v>
      </c>
      <c r="N361" s="39">
        <f t="shared" si="71"/>
        <v>6.9178826157488506E-9</v>
      </c>
      <c r="O361" s="39">
        <f t="shared" si="71"/>
        <v>3.7620081329739833E-8</v>
      </c>
      <c r="P361" s="39">
        <f t="shared" si="71"/>
        <v>1.8513921511263335E-7</v>
      </c>
      <c r="Q361" s="39">
        <f t="shared" si="71"/>
        <v>8.2831973019247582E-7</v>
      </c>
      <c r="R361" s="39">
        <f t="shared" si="71"/>
        <v>3.3823285643187606E-6</v>
      </c>
      <c r="S361" s="39">
        <f t="shared" si="71"/>
        <v>1.2647684098460835E-5</v>
      </c>
      <c r="T361" s="39">
        <f t="shared" si="71"/>
        <v>4.3435688425453687E-5</v>
      </c>
      <c r="U361" s="39">
        <f t="shared" si="71"/>
        <v>1.3734838736204199E-4</v>
      </c>
      <c r="V361" s="39">
        <f t="shared" si="71"/>
        <v>4.0078181873748786E-4</v>
      </c>
      <c r="W361" s="37">
        <v>0.64200000000000002</v>
      </c>
    </row>
    <row r="362" spans="2:23" x14ac:dyDescent="0.25">
      <c r="B362" s="39">
        <f t="shared" si="70"/>
        <v>3.942751453815904E-23</v>
      </c>
      <c r="C362" s="39">
        <f t="shared" si="70"/>
        <v>3.6427238704005991E-21</v>
      </c>
      <c r="D362" s="39">
        <f t="shared" si="70"/>
        <v>1.6487954352119094E-19</v>
      </c>
      <c r="E362" s="39">
        <f t="shared" si="70"/>
        <v>4.8730265580597493E-18</v>
      </c>
      <c r="F362" s="39">
        <f t="shared" si="70"/>
        <v>1.0575682345048821E-16</v>
      </c>
      <c r="G362" s="39">
        <f t="shared" si="70"/>
        <v>1.7970176317982232E-15</v>
      </c>
      <c r="H362" s="39">
        <f t="shared" si="70"/>
        <v>2.4893245872154142E-14</v>
      </c>
      <c r="I362" s="39">
        <f t="shared" si="70"/>
        <v>2.8903244870667881E-13</v>
      </c>
      <c r="J362" s="39">
        <f t="shared" si="70"/>
        <v>2.8702019110210216E-12</v>
      </c>
      <c r="K362" s="39">
        <f t="shared" si="70"/>
        <v>2.4752684075185432E-11</v>
      </c>
      <c r="L362" s="39">
        <f t="shared" si="71"/>
        <v>1.87615482980249E-10</v>
      </c>
      <c r="M362" s="39">
        <f t="shared" si="71"/>
        <v>1.261849494289082E-9</v>
      </c>
      <c r="N362" s="39">
        <f t="shared" si="71"/>
        <v>7.5897592171550441E-9</v>
      </c>
      <c r="O362" s="39">
        <f t="shared" si="71"/>
        <v>4.1089922552299364E-8</v>
      </c>
      <c r="P362" s="39">
        <f t="shared" si="71"/>
        <v>2.0131684156327758E-7</v>
      </c>
      <c r="Q362" s="39">
        <f t="shared" si="71"/>
        <v>8.9670954362959548E-7</v>
      </c>
      <c r="R362" s="39">
        <f t="shared" si="71"/>
        <v>3.6454276576266491E-6</v>
      </c>
      <c r="S362" s="39">
        <f t="shared" si="71"/>
        <v>1.3571579079601337E-5</v>
      </c>
      <c r="T362" s="39">
        <f t="shared" si="71"/>
        <v>4.6404670882399525E-5</v>
      </c>
      <c r="U362" s="39">
        <f t="shared" si="71"/>
        <v>1.4609807722056032E-4</v>
      </c>
      <c r="V362" s="39">
        <f t="shared" si="71"/>
        <v>4.2446992322730512E-4</v>
      </c>
      <c r="W362" s="37">
        <v>0.64100000000000001</v>
      </c>
    </row>
    <row r="363" spans="2:23" x14ac:dyDescent="0.25">
      <c r="B363" s="39">
        <f t="shared" ref="B363:K372" si="72">_xlfn.HYPGEOM.DIST(B$2,comau,tongtheN*$W363,tongtheN,TRUE)</f>
        <v>4.5646179168735955E-23</v>
      </c>
      <c r="C363" s="39">
        <f t="shared" si="72"/>
        <v>4.1981648958509949E-21</v>
      </c>
      <c r="D363" s="39">
        <f t="shared" si="72"/>
        <v>1.8916031699446328E-19</v>
      </c>
      <c r="E363" s="39">
        <f t="shared" si="72"/>
        <v>5.5653692288563164E-18</v>
      </c>
      <c r="F363" s="39">
        <f t="shared" si="72"/>
        <v>1.2023685968328012E-16</v>
      </c>
      <c r="G363" s="39">
        <f t="shared" si="72"/>
        <v>2.0338448811868229E-15</v>
      </c>
      <c r="H363" s="39">
        <f t="shared" si="72"/>
        <v>2.8046953923500419E-14</v>
      </c>
      <c r="I363" s="39">
        <f t="shared" si="72"/>
        <v>3.2418438416221132E-13</v>
      </c>
      <c r="J363" s="39">
        <f t="shared" si="72"/>
        <v>3.2048088231048639E-12</v>
      </c>
      <c r="K363" s="39">
        <f t="shared" si="72"/>
        <v>2.7514353637900188E-11</v>
      </c>
      <c r="L363" s="39">
        <f t="shared" ref="L363:V372" si="73">_xlfn.HYPGEOM.DIST(L$2,comau,tongtheN*$W363,tongtheN,TRUE)</f>
        <v>2.0761393273018471E-10</v>
      </c>
      <c r="M363" s="39">
        <f t="shared" si="73"/>
        <v>1.390112708829473E-9</v>
      </c>
      <c r="N363" s="39">
        <f t="shared" si="73"/>
        <v>8.323947840861085E-9</v>
      </c>
      <c r="O363" s="39">
        <f t="shared" si="73"/>
        <v>4.4864241420792665E-8</v>
      </c>
      <c r="P363" s="39">
        <f t="shared" si="73"/>
        <v>2.188336538693637E-7</v>
      </c>
      <c r="Q363" s="39">
        <f t="shared" si="73"/>
        <v>9.7042242957073673E-7</v>
      </c>
      <c r="R363" s="39">
        <f t="shared" si="73"/>
        <v>3.9277098640800852E-6</v>
      </c>
      <c r="S363" s="39">
        <f t="shared" si="73"/>
        <v>1.4558311390774526E-5</v>
      </c>
      <c r="T363" s="39">
        <f t="shared" si="73"/>
        <v>4.9561109845557016E-5</v>
      </c>
      <c r="U363" s="39">
        <f t="shared" si="73"/>
        <v>1.5535775507859401E-4</v>
      </c>
      <c r="V363" s="39">
        <f t="shared" si="73"/>
        <v>4.4942433944223823E-4</v>
      </c>
      <c r="W363" s="37">
        <v>0.64</v>
      </c>
    </row>
    <row r="364" spans="2:23" x14ac:dyDescent="0.25">
      <c r="B364" s="39">
        <f t="shared" si="72"/>
        <v>5.1554510439169212E-23</v>
      </c>
      <c r="C364" s="39">
        <f t="shared" si="72"/>
        <v>4.7236820189889192E-21</v>
      </c>
      <c r="D364" s="39">
        <f t="shared" si="72"/>
        <v>2.1203698768488277E-19</v>
      </c>
      <c r="E364" s="39">
        <f t="shared" si="72"/>
        <v>6.2149496968778408E-18</v>
      </c>
      <c r="F364" s="39">
        <f t="shared" si="72"/>
        <v>1.3376578288876963E-16</v>
      </c>
      <c r="G364" s="39">
        <f t="shared" si="72"/>
        <v>2.2541918835171203E-15</v>
      </c>
      <c r="H364" s="39">
        <f t="shared" si="72"/>
        <v>3.0968945926636163E-14</v>
      </c>
      <c r="I364" s="39">
        <f t="shared" si="72"/>
        <v>3.5661752486454305E-13</v>
      </c>
      <c r="J364" s="39">
        <f t="shared" si="72"/>
        <v>3.5122464836407219E-12</v>
      </c>
      <c r="K364" s="39">
        <f t="shared" si="72"/>
        <v>3.0041186014528303E-11</v>
      </c>
      <c r="L364" s="39">
        <f t="shared" si="73"/>
        <v>2.2583541812112897E-10</v>
      </c>
      <c r="M364" s="39">
        <f t="shared" si="73"/>
        <v>1.5064911291487504E-9</v>
      </c>
      <c r="N364" s="39">
        <f t="shared" si="73"/>
        <v>8.9873258111866956E-9</v>
      </c>
      <c r="O364" s="39">
        <f t="shared" si="73"/>
        <v>4.8260300238212147E-8</v>
      </c>
      <c r="P364" s="39">
        <f t="shared" si="73"/>
        <v>2.3452915100474446E-7</v>
      </c>
      <c r="Q364" s="39">
        <f t="shared" si="73"/>
        <v>1.0361953251541992E-6</v>
      </c>
      <c r="R364" s="39">
        <f t="shared" si="73"/>
        <v>4.1785348292243476E-6</v>
      </c>
      <c r="S364" s="39">
        <f t="shared" si="73"/>
        <v>1.5431424439991263E-5</v>
      </c>
      <c r="T364" s="39">
        <f t="shared" si="73"/>
        <v>5.2342440093462955E-5</v>
      </c>
      <c r="U364" s="39">
        <f t="shared" si="73"/>
        <v>1.6348297708548325E-4</v>
      </c>
      <c r="V364" s="39">
        <f t="shared" si="73"/>
        <v>4.7123009443560056E-4</v>
      </c>
      <c r="W364" s="37">
        <v>0.63900000000000001</v>
      </c>
    </row>
    <row r="365" spans="2:23" x14ac:dyDescent="0.25">
      <c r="B365" s="39">
        <f t="shared" si="72"/>
        <v>5.9639218280074137E-23</v>
      </c>
      <c r="C365" s="39">
        <f t="shared" si="72"/>
        <v>5.4397522117989963E-21</v>
      </c>
      <c r="D365" s="39">
        <f t="shared" si="72"/>
        <v>2.4307768081518604E-19</v>
      </c>
      <c r="E365" s="39">
        <f t="shared" si="72"/>
        <v>7.0926415052656828E-18</v>
      </c>
      <c r="F365" s="39">
        <f t="shared" si="72"/>
        <v>1.5196880295534612E-16</v>
      </c>
      <c r="G365" s="39">
        <f t="shared" si="72"/>
        <v>2.5494209563620998E-15</v>
      </c>
      <c r="H365" s="39">
        <f t="shared" si="72"/>
        <v>3.4867498442814526E-14</v>
      </c>
      <c r="I365" s="39">
        <f t="shared" si="72"/>
        <v>3.9970850682425794E-13</v>
      </c>
      <c r="J365" s="39">
        <f t="shared" si="72"/>
        <v>3.918996986816656E-12</v>
      </c>
      <c r="K365" s="39">
        <f t="shared" si="72"/>
        <v>3.3370246915668068E-11</v>
      </c>
      <c r="L365" s="39">
        <f t="shared" si="73"/>
        <v>2.4974125689613088E-10</v>
      </c>
      <c r="M365" s="39">
        <f t="shared" si="73"/>
        <v>1.6585347469500543E-9</v>
      </c>
      <c r="N365" s="39">
        <f t="shared" si="73"/>
        <v>9.8503698066119385E-9</v>
      </c>
      <c r="O365" s="39">
        <f t="shared" si="73"/>
        <v>5.2660008409205202E-8</v>
      </c>
      <c r="P365" s="39">
        <f t="shared" si="73"/>
        <v>2.5477803745693153E-7</v>
      </c>
      <c r="Q365" s="39">
        <f t="shared" si="73"/>
        <v>1.1206942250613983E-6</v>
      </c>
      <c r="R365" s="39">
        <f t="shared" si="73"/>
        <v>4.4994228467510926E-6</v>
      </c>
      <c r="S365" s="39">
        <f t="shared" si="73"/>
        <v>1.6543751458246957E-5</v>
      </c>
      <c r="T365" s="39">
        <f t="shared" si="73"/>
        <v>5.5870975294322752E-5</v>
      </c>
      <c r="U365" s="39">
        <f t="shared" si="73"/>
        <v>1.7374794602231894E-4</v>
      </c>
      <c r="V365" s="39">
        <f t="shared" si="73"/>
        <v>4.9866318001875543E-4</v>
      </c>
      <c r="W365" s="37">
        <v>0.63800000000000001</v>
      </c>
    </row>
    <row r="366" spans="2:23" x14ac:dyDescent="0.25">
      <c r="B366" s="39">
        <f t="shared" si="72"/>
        <v>6.8962567509682036E-23</v>
      </c>
      <c r="C366" s="39">
        <f t="shared" si="72"/>
        <v>6.2617606430488283E-21</v>
      </c>
      <c r="D366" s="39">
        <f t="shared" si="72"/>
        <v>2.7854803886412706E-19</v>
      </c>
      <c r="E366" s="39">
        <f t="shared" si="72"/>
        <v>8.0910082914008029E-18</v>
      </c>
      <c r="F366" s="39">
        <f t="shared" si="72"/>
        <v>1.7258012623183957E-16</v>
      </c>
      <c r="G366" s="39">
        <f t="shared" si="72"/>
        <v>2.8821849497112459E-15</v>
      </c>
      <c r="H366" s="39">
        <f t="shared" si="72"/>
        <v>3.9241669879709151E-14</v>
      </c>
      <c r="I366" s="39">
        <f t="shared" si="72"/>
        <v>4.478361325843458E-13</v>
      </c>
      <c r="J366" s="39">
        <f t="shared" si="72"/>
        <v>4.3712195301977588E-12</v>
      </c>
      <c r="K366" s="39">
        <f t="shared" si="72"/>
        <v>3.7054609295696269E-11</v>
      </c>
      <c r="L366" s="39">
        <f t="shared" si="73"/>
        <v>2.760779656605997E-10</v>
      </c>
      <c r="M366" s="39">
        <f t="shared" si="73"/>
        <v>1.8252759963801258E-9</v>
      </c>
      <c r="N366" s="39">
        <f t="shared" si="73"/>
        <v>1.0792531750836885E-8</v>
      </c>
      <c r="O366" s="39">
        <f t="shared" si="73"/>
        <v>5.7441183898815546E-8</v>
      </c>
      <c r="P366" s="39">
        <f t="shared" si="73"/>
        <v>2.766823976504784E-7</v>
      </c>
      <c r="Q366" s="39">
        <f t="shared" si="73"/>
        <v>1.2116854515161639E-6</v>
      </c>
      <c r="R366" s="39">
        <f t="shared" si="73"/>
        <v>4.8433935249939795E-6</v>
      </c>
      <c r="S366" s="39">
        <f t="shared" si="73"/>
        <v>1.773066829058758E-5</v>
      </c>
      <c r="T366" s="39">
        <f t="shared" si="73"/>
        <v>5.9619000971184985E-5</v>
      </c>
      <c r="U366" s="39">
        <f t="shared" si="73"/>
        <v>1.8460186219511349E-4</v>
      </c>
      <c r="V366" s="39">
        <f t="shared" si="73"/>
        <v>5.2753835480014817E-4</v>
      </c>
      <c r="W366" s="37">
        <v>0.63700000000000001</v>
      </c>
    </row>
    <row r="367" spans="2:23" x14ac:dyDescent="0.25">
      <c r="B367" s="39">
        <f t="shared" si="72"/>
        <v>7.9709882956014344E-23</v>
      </c>
      <c r="C367" s="39">
        <f t="shared" si="72"/>
        <v>7.2049957618289573E-21</v>
      </c>
      <c r="D367" s="39">
        <f t="shared" si="72"/>
        <v>3.1906392446717066E-19</v>
      </c>
      <c r="E367" s="39">
        <f t="shared" si="72"/>
        <v>9.2261926250339305E-18</v>
      </c>
      <c r="F367" s="39">
        <f t="shared" si="72"/>
        <v>1.9590928434073486E-16</v>
      </c>
      <c r="G367" s="39">
        <f t="shared" si="72"/>
        <v>3.2571120831211126E-15</v>
      </c>
      <c r="H367" s="39">
        <f t="shared" si="72"/>
        <v>4.4147631220114429E-14</v>
      </c>
      <c r="I367" s="39">
        <f t="shared" si="72"/>
        <v>5.0156911669671997E-13</v>
      </c>
      <c r="J367" s="39">
        <f t="shared" si="72"/>
        <v>4.8738135950971255E-12</v>
      </c>
      <c r="K367" s="39">
        <f t="shared" si="72"/>
        <v>4.1130725290131638E-11</v>
      </c>
      <c r="L367" s="39">
        <f t="shared" si="73"/>
        <v>3.0508245114923904E-10</v>
      </c>
      <c r="M367" s="39">
        <f t="shared" si="73"/>
        <v>2.0080719622084239E-9</v>
      </c>
      <c r="N367" s="39">
        <f t="shared" si="73"/>
        <v>1.1820712398202268E-8</v>
      </c>
      <c r="O367" s="39">
        <f t="shared" si="73"/>
        <v>6.2635152056564728E-8</v>
      </c>
      <c r="P367" s="39">
        <f t="shared" si="73"/>
        <v>3.0036973914875163E-7</v>
      </c>
      <c r="Q367" s="39">
        <f t="shared" si="73"/>
        <v>1.309635992024992E-6</v>
      </c>
      <c r="R367" s="39">
        <f t="shared" si="73"/>
        <v>5.2119896180825049E-6</v>
      </c>
      <c r="S367" s="39">
        <f t="shared" si="73"/>
        <v>1.8996779919615746E-5</v>
      </c>
      <c r="T367" s="39">
        <f t="shared" si="73"/>
        <v>6.359894612022265E-5</v>
      </c>
      <c r="U367" s="39">
        <f t="shared" si="73"/>
        <v>1.9607505332463118E-4</v>
      </c>
      <c r="V367" s="39">
        <f t="shared" si="73"/>
        <v>5.579224311130685E-4</v>
      </c>
      <c r="W367" s="37">
        <v>0.63600000000000001</v>
      </c>
    </row>
    <row r="368" spans="2:23" x14ac:dyDescent="0.25">
      <c r="B368" s="39">
        <f t="shared" si="72"/>
        <v>8.9906061274844886E-23</v>
      </c>
      <c r="C368" s="39">
        <f t="shared" si="72"/>
        <v>8.0961392550931082E-21</v>
      </c>
      <c r="D368" s="39">
        <f t="shared" si="72"/>
        <v>3.5718309342650938E-19</v>
      </c>
      <c r="E368" s="39">
        <f t="shared" si="72"/>
        <v>1.0289784577988876E-17</v>
      </c>
      <c r="F368" s="39">
        <f t="shared" si="72"/>
        <v>2.1767627760095896E-16</v>
      </c>
      <c r="G368" s="39">
        <f t="shared" si="72"/>
        <v>3.605479177128008E-15</v>
      </c>
      <c r="H368" s="39">
        <f t="shared" si="72"/>
        <v>4.8687103926295283E-14</v>
      </c>
      <c r="I368" s="39">
        <f t="shared" si="72"/>
        <v>5.5108145484278296E-13</v>
      </c>
      <c r="J368" s="39">
        <f t="shared" si="72"/>
        <v>5.3350049664583656E-12</v>
      </c>
      <c r="K368" s="39">
        <f t="shared" si="72"/>
        <v>4.4855515760105386E-11</v>
      </c>
      <c r="L368" s="39">
        <f t="shared" si="73"/>
        <v>3.3147687143897259E-10</v>
      </c>
      <c r="M368" s="39">
        <f t="shared" si="73"/>
        <v>2.1737272755382647E-9</v>
      </c>
      <c r="N368" s="39">
        <f t="shared" si="73"/>
        <v>1.2748610191711548E-8</v>
      </c>
      <c r="O368" s="39">
        <f t="shared" si="73"/>
        <v>6.7303058086155615E-8</v>
      </c>
      <c r="P368" s="39">
        <f t="shared" si="73"/>
        <v>3.2156952135047004E-7</v>
      </c>
      <c r="Q368" s="39">
        <f t="shared" si="73"/>
        <v>1.3969360076472634E-6</v>
      </c>
      <c r="R368" s="39">
        <f t="shared" si="73"/>
        <v>5.5391425139670588E-6</v>
      </c>
      <c r="S368" s="39">
        <f t="shared" si="73"/>
        <v>2.0115869224763371E-5</v>
      </c>
      <c r="T368" s="39">
        <f t="shared" si="73"/>
        <v>6.7102128031209152E-5</v>
      </c>
      <c r="U368" s="39">
        <f t="shared" si="73"/>
        <v>2.0613192330219766E-4</v>
      </c>
      <c r="V368" s="39">
        <f t="shared" si="73"/>
        <v>5.8444513501945824E-4</v>
      </c>
      <c r="W368" s="37">
        <v>0.63500000000000001</v>
      </c>
    </row>
    <row r="369" spans="2:23" x14ac:dyDescent="0.25">
      <c r="B369" s="39">
        <f t="shared" si="72"/>
        <v>1.0383779337381513E-22</v>
      </c>
      <c r="C369" s="39">
        <f t="shared" si="72"/>
        <v>9.308672751838737E-21</v>
      </c>
      <c r="D369" s="39">
        <f t="shared" si="72"/>
        <v>4.0883288299925135E-19</v>
      </c>
      <c r="E369" s="39">
        <f t="shared" si="72"/>
        <v>1.1724876825401988E-17</v>
      </c>
      <c r="F369" s="39">
        <f t="shared" si="72"/>
        <v>2.4692342241460665E-16</v>
      </c>
      <c r="G369" s="39">
        <f t="shared" si="72"/>
        <v>4.071604856257453E-15</v>
      </c>
      <c r="H369" s="39">
        <f t="shared" si="72"/>
        <v>5.4735675108287433E-14</v>
      </c>
      <c r="I369" s="39">
        <f t="shared" si="72"/>
        <v>6.167780584308306E-13</v>
      </c>
      <c r="J369" s="39">
        <f t="shared" si="72"/>
        <v>5.9443922143196297E-12</v>
      </c>
      <c r="K369" s="39">
        <f t="shared" si="72"/>
        <v>4.9756658522228357E-11</v>
      </c>
      <c r="L369" s="39">
        <f t="shared" si="73"/>
        <v>3.6606217245388761E-10</v>
      </c>
      <c r="M369" s="39">
        <f t="shared" si="73"/>
        <v>2.3898842922325947E-9</v>
      </c>
      <c r="N369" s="39">
        <f t="shared" si="73"/>
        <v>1.3954337932507621E-8</v>
      </c>
      <c r="O369" s="39">
        <f t="shared" si="73"/>
        <v>7.3343336633740269E-8</v>
      </c>
      <c r="P369" s="39">
        <f t="shared" si="73"/>
        <v>3.4888775521873689E-7</v>
      </c>
      <c r="Q369" s="39">
        <f t="shared" si="73"/>
        <v>1.5089629555843067E-6</v>
      </c>
      <c r="R369" s="39">
        <f t="shared" si="73"/>
        <v>5.9572101224483663E-6</v>
      </c>
      <c r="S369" s="39">
        <f t="shared" si="73"/>
        <v>2.1539996057019052E-5</v>
      </c>
      <c r="T369" s="39">
        <f t="shared" si="73"/>
        <v>7.154164162041046E-5</v>
      </c>
      <c r="U369" s="39">
        <f t="shared" si="73"/>
        <v>2.1882377282194448E-4</v>
      </c>
      <c r="V369" s="39">
        <f t="shared" si="73"/>
        <v>6.1777778614993868E-4</v>
      </c>
      <c r="W369" s="37">
        <v>0.63400000000000001</v>
      </c>
    </row>
    <row r="370" spans="2:23" x14ac:dyDescent="0.25">
      <c r="B370" s="39">
        <f t="shared" si="72"/>
        <v>1.1987873898817446E-22</v>
      </c>
      <c r="C370" s="39">
        <f t="shared" si="72"/>
        <v>1.0698437999483245E-20</v>
      </c>
      <c r="D370" s="39">
        <f t="shared" si="72"/>
        <v>4.6776330152178142E-19</v>
      </c>
      <c r="E370" s="39">
        <f t="shared" si="72"/>
        <v>1.3354827525029292E-17</v>
      </c>
      <c r="F370" s="39">
        <f t="shared" si="72"/>
        <v>2.7999098784509766E-16</v>
      </c>
      <c r="G370" s="39">
        <f t="shared" si="72"/>
        <v>4.5962265974531901E-15</v>
      </c>
      <c r="H370" s="39">
        <f t="shared" si="72"/>
        <v>6.15124174485716E-14</v>
      </c>
      <c r="I370" s="39">
        <f t="shared" si="72"/>
        <v>6.9004978575606007E-13</v>
      </c>
      <c r="J370" s="39">
        <f t="shared" si="72"/>
        <v>6.6209620322799803E-12</v>
      </c>
      <c r="K370" s="39">
        <f t="shared" si="72"/>
        <v>5.5173458109847706E-11</v>
      </c>
      <c r="L370" s="39">
        <f t="shared" si="73"/>
        <v>4.0411295051240409E-10</v>
      </c>
      <c r="M370" s="39">
        <f t="shared" si="73"/>
        <v>2.6266224674914451E-9</v>
      </c>
      <c r="N370" s="39">
        <f t="shared" si="73"/>
        <v>1.5268883352030011E-8</v>
      </c>
      <c r="O370" s="39">
        <f t="shared" si="73"/>
        <v>7.9898916352175738E-8</v>
      </c>
      <c r="P370" s="39">
        <f t="shared" si="73"/>
        <v>3.7840222295775795E-7</v>
      </c>
      <c r="Q370" s="39">
        <f t="shared" si="73"/>
        <v>1.6294480849910552E-6</v>
      </c>
      <c r="R370" s="39">
        <f t="shared" si="73"/>
        <v>6.4048064119255679E-6</v>
      </c>
      <c r="S370" s="39">
        <f t="shared" si="73"/>
        <v>2.3057808277913035E-5</v>
      </c>
      <c r="T370" s="39">
        <f t="shared" si="73"/>
        <v>7.6251790006112732E-5</v>
      </c>
      <c r="U370" s="39">
        <f t="shared" si="73"/>
        <v>2.3222838769758566E-4</v>
      </c>
      <c r="V370" s="39">
        <f t="shared" si="73"/>
        <v>6.5282309679857021E-4</v>
      </c>
      <c r="W370" s="37">
        <v>0.63300000000000001</v>
      </c>
    </row>
    <row r="371" spans="2:23" x14ac:dyDescent="0.25">
      <c r="B371" s="39">
        <f t="shared" si="72"/>
        <v>1.3834075715751266E-22</v>
      </c>
      <c r="C371" s="39">
        <f t="shared" si="72"/>
        <v>1.2290705387346996E-20</v>
      </c>
      <c r="D371" s="39">
        <f t="shared" si="72"/>
        <v>5.3497422064951848E-19</v>
      </c>
      <c r="E371" s="39">
        <f t="shared" si="72"/>
        <v>1.5205378041791104E-17</v>
      </c>
      <c r="F371" s="39">
        <f t="shared" si="72"/>
        <v>3.1736375674378177E-16</v>
      </c>
      <c r="G371" s="39">
        <f t="shared" si="72"/>
        <v>5.1864634542902599E-15</v>
      </c>
      <c r="H371" s="39">
        <f t="shared" si="72"/>
        <v>6.9102183858440452E-14</v>
      </c>
      <c r="I371" s="39">
        <f t="shared" si="72"/>
        <v>7.7174030748502193E-13</v>
      </c>
      <c r="J371" s="39">
        <f t="shared" si="72"/>
        <v>7.3718516003608095E-12</v>
      </c>
      <c r="K371" s="39">
        <f t="shared" si="72"/>
        <v>6.1158054088963288E-11</v>
      </c>
      <c r="L371" s="39">
        <f t="shared" si="73"/>
        <v>4.4596190708055346E-10</v>
      </c>
      <c r="M371" s="39">
        <f t="shared" si="73"/>
        <v>2.8858128110485204E-9</v>
      </c>
      <c r="N371" s="39">
        <f t="shared" si="73"/>
        <v>1.6701585630146352E-8</v>
      </c>
      <c r="O371" s="39">
        <f t="shared" si="73"/>
        <v>8.7011406794741938E-8</v>
      </c>
      <c r="P371" s="39">
        <f t="shared" si="73"/>
        <v>4.1027913098436702E-7</v>
      </c>
      <c r="Q371" s="39">
        <f t="shared" si="73"/>
        <v>1.7589886317337107E-6</v>
      </c>
      <c r="R371" s="39">
        <f t="shared" si="73"/>
        <v>6.8838667319679164E-6</v>
      </c>
      <c r="S371" s="39">
        <f t="shared" si="73"/>
        <v>2.4674970601234768E-5</v>
      </c>
      <c r="T371" s="39">
        <f t="shared" si="73"/>
        <v>8.1247559659210688E-5</v>
      </c>
      <c r="U371" s="39">
        <f t="shared" si="73"/>
        <v>2.4638159293151487E-4</v>
      </c>
      <c r="V371" s="39">
        <f t="shared" si="73"/>
        <v>6.8965832999920646E-4</v>
      </c>
      <c r="W371" s="37">
        <v>0.63200000000000001</v>
      </c>
    </row>
    <row r="372" spans="2:23" x14ac:dyDescent="0.25">
      <c r="B372" s="39">
        <f t="shared" si="72"/>
        <v>1.5583117252196301E-22</v>
      </c>
      <c r="C372" s="39">
        <f t="shared" si="72"/>
        <v>1.3792933541684333E-20</v>
      </c>
      <c r="D372" s="39">
        <f t="shared" si="72"/>
        <v>5.9812210778397038E-19</v>
      </c>
      <c r="E372" s="39">
        <f t="shared" si="72"/>
        <v>1.6936864787558798E-17</v>
      </c>
      <c r="F372" s="39">
        <f t="shared" si="72"/>
        <v>3.5218729393462141E-16</v>
      </c>
      <c r="G372" s="39">
        <f t="shared" si="72"/>
        <v>5.7341643562016498E-15</v>
      </c>
      <c r="H372" s="39">
        <f t="shared" si="72"/>
        <v>7.6115851910764481E-14</v>
      </c>
      <c r="I372" s="39">
        <f t="shared" si="72"/>
        <v>8.4691787620929491E-13</v>
      </c>
      <c r="J372" s="39">
        <f t="shared" si="72"/>
        <v>8.0600166755354265E-12</v>
      </c>
      <c r="K372" s="39">
        <f t="shared" si="72"/>
        <v>6.6620051446797403E-11</v>
      </c>
      <c r="L372" s="39">
        <f t="shared" si="73"/>
        <v>4.8399849189507945E-10</v>
      </c>
      <c r="M372" s="39">
        <f t="shared" si="73"/>
        <v>3.1204171674540174E-9</v>
      </c>
      <c r="N372" s="39">
        <f t="shared" si="73"/>
        <v>1.7993024100016918E-8</v>
      </c>
      <c r="O372" s="39">
        <f t="shared" si="73"/>
        <v>9.339610120566772E-8</v>
      </c>
      <c r="P372" s="39">
        <f t="shared" si="73"/>
        <v>4.3877588541495468E-7</v>
      </c>
      <c r="Q372" s="39">
        <f t="shared" si="73"/>
        <v>1.8743142695720204E-6</v>
      </c>
      <c r="R372" s="39">
        <f t="shared" si="73"/>
        <v>7.3085952346816075E-6</v>
      </c>
      <c r="S372" s="39">
        <f t="shared" si="73"/>
        <v>2.6102799030920014E-5</v>
      </c>
      <c r="T372" s="39">
        <f t="shared" si="73"/>
        <v>8.5640205169839993E-5</v>
      </c>
      <c r="U372" s="39">
        <f t="shared" si="73"/>
        <v>2.5877469517928184E-4</v>
      </c>
      <c r="V372" s="39">
        <f t="shared" si="73"/>
        <v>7.2177941932041376E-4</v>
      </c>
      <c r="W372" s="37">
        <v>0.63100000000000001</v>
      </c>
    </row>
    <row r="373" spans="2:23" x14ac:dyDescent="0.25">
      <c r="B373" s="39">
        <f t="shared" ref="B373:K382" si="74">_xlfn.HYPGEOM.DIST(B$2,comau,tongtheN*$W373,tongtheN,TRUE)</f>
        <v>1.7969553646519351E-22</v>
      </c>
      <c r="C373" s="39">
        <f t="shared" si="74"/>
        <v>1.5834073965090704E-20</v>
      </c>
      <c r="D373" s="39">
        <f t="shared" si="74"/>
        <v>6.8356651787386936E-19</v>
      </c>
      <c r="E373" s="39">
        <f t="shared" si="74"/>
        <v>1.926995991342488E-17</v>
      </c>
      <c r="F373" s="39">
        <f t="shared" si="74"/>
        <v>3.9891507925168667E-16</v>
      </c>
      <c r="G373" s="39">
        <f t="shared" si="74"/>
        <v>6.4660368226074119E-15</v>
      </c>
      <c r="H373" s="39">
        <f t="shared" si="74"/>
        <v>8.5448983596450717E-14</v>
      </c>
      <c r="I373" s="39">
        <f t="shared" si="74"/>
        <v>9.4654126045414692E-13</v>
      </c>
      <c r="J373" s="39">
        <f t="shared" si="74"/>
        <v>8.9681655841801514E-12</v>
      </c>
      <c r="K373" s="39">
        <f t="shared" si="74"/>
        <v>7.3798125582272754E-11</v>
      </c>
      <c r="L373" s="39">
        <f t="shared" ref="L373:V382" si="75">_xlfn.HYPGEOM.DIST(L$2,comau,tongtheN*$W373,tongtheN,TRUE)</f>
        <v>5.3377799751905112E-10</v>
      </c>
      <c r="M373" s="39">
        <f t="shared" si="75"/>
        <v>3.4261755251444378E-9</v>
      </c>
      <c r="N373" s="39">
        <f t="shared" si="75"/>
        <v>1.9669162118229078E-8</v>
      </c>
      <c r="O373" s="39">
        <f t="shared" si="75"/>
        <v>1.0164831663431138E-7</v>
      </c>
      <c r="P373" s="39">
        <f t="shared" si="75"/>
        <v>4.7545516650316381E-7</v>
      </c>
      <c r="Q373" s="39">
        <f t="shared" si="75"/>
        <v>2.0221389140444091E-6</v>
      </c>
      <c r="R373" s="39">
        <f t="shared" si="75"/>
        <v>7.8507565619963798E-6</v>
      </c>
      <c r="S373" s="39">
        <f t="shared" si="75"/>
        <v>2.7917854464231145E-5</v>
      </c>
      <c r="T373" s="39">
        <f t="shared" si="75"/>
        <v>9.1201006138469544E-5</v>
      </c>
      <c r="U373" s="39">
        <f t="shared" si="75"/>
        <v>2.7439858398334473E-4</v>
      </c>
      <c r="V373" s="39">
        <f t="shared" si="75"/>
        <v>7.6210660077950766E-4</v>
      </c>
      <c r="W373" s="37">
        <v>0.63</v>
      </c>
    </row>
    <row r="374" spans="2:23" x14ac:dyDescent="0.25">
      <c r="B374" s="39">
        <f t="shared" si="74"/>
        <v>2.0713065504714589E-22</v>
      </c>
      <c r="C374" s="39">
        <f t="shared" si="74"/>
        <v>1.8170016409733671E-20</v>
      </c>
      <c r="D374" s="39">
        <f t="shared" si="74"/>
        <v>7.8090971052121687E-19</v>
      </c>
      <c r="E374" s="39">
        <f t="shared" si="74"/>
        <v>2.1915945364562626E-17</v>
      </c>
      <c r="F374" s="39">
        <f t="shared" si="74"/>
        <v>4.5167008529887394E-16</v>
      </c>
      <c r="G374" s="39">
        <f t="shared" si="74"/>
        <v>7.2885782106378525E-15</v>
      </c>
      <c r="H374" s="39">
        <f t="shared" si="74"/>
        <v>9.5890991386271183E-14</v>
      </c>
      <c r="I374" s="39">
        <f t="shared" si="74"/>
        <v>1.0574977160615178E-12</v>
      </c>
      <c r="J374" s="39">
        <f t="shared" si="74"/>
        <v>9.9750587904908866E-12</v>
      </c>
      <c r="K374" s="39">
        <f t="shared" si="74"/>
        <v>8.1720762267922188E-11</v>
      </c>
      <c r="L374" s="39">
        <f t="shared" si="75"/>
        <v>5.8847307359475102E-10</v>
      </c>
      <c r="M374" s="39">
        <f t="shared" si="75"/>
        <v>3.7606109185237352E-9</v>
      </c>
      <c r="N374" s="39">
        <f t="shared" si="75"/>
        <v>2.1494235410486204E-8</v>
      </c>
      <c r="O374" s="39">
        <f t="shared" si="75"/>
        <v>1.1059327079801141E-7</v>
      </c>
      <c r="P374" s="39">
        <f t="shared" si="75"/>
        <v>5.1503425596649043E-7</v>
      </c>
      <c r="Q374" s="39">
        <f t="shared" si="75"/>
        <v>2.1809312872707196E-6</v>
      </c>
      <c r="R374" s="39">
        <f t="shared" si="75"/>
        <v>8.4305182797080136E-6</v>
      </c>
      <c r="S374" s="39">
        <f t="shared" si="75"/>
        <v>2.9850042929001917E-5</v>
      </c>
      <c r="T374" s="39">
        <f t="shared" si="75"/>
        <v>9.7093999129062945E-5</v>
      </c>
      <c r="U374" s="39">
        <f t="shared" si="75"/>
        <v>2.9088123573237486E-4</v>
      </c>
      <c r="V374" s="39">
        <f t="shared" si="75"/>
        <v>8.0445876135916091E-4</v>
      </c>
      <c r="W374" s="37">
        <v>0.629</v>
      </c>
    </row>
    <row r="375" spans="2:23" x14ac:dyDescent="0.25">
      <c r="B375" s="39">
        <f t="shared" si="74"/>
        <v>2.3865833269088524E-22</v>
      </c>
      <c r="C375" s="39">
        <f t="shared" si="74"/>
        <v>2.0842296357698391E-20</v>
      </c>
      <c r="D375" s="39">
        <f t="shared" si="74"/>
        <v>8.9176603416156043E-19</v>
      </c>
      <c r="E375" s="39">
        <f t="shared" si="74"/>
        <v>2.4915645230627209E-17</v>
      </c>
      <c r="F375" s="39">
        <f t="shared" si="74"/>
        <v>5.1120748863198142E-16</v>
      </c>
      <c r="G375" s="39">
        <f t="shared" si="74"/>
        <v>8.2126808828425347E-15</v>
      </c>
      <c r="H375" s="39">
        <f t="shared" si="74"/>
        <v>1.0756938547592999E-13</v>
      </c>
      <c r="I375" s="39">
        <f t="shared" si="74"/>
        <v>1.1810323488150723E-12</v>
      </c>
      <c r="J375" s="39">
        <f t="shared" si="74"/>
        <v>1.1091040290682825E-11</v>
      </c>
      <c r="K375" s="39">
        <f t="shared" si="74"/>
        <v>9.0462165368816964E-11</v>
      </c>
      <c r="L375" s="39">
        <f t="shared" si="75"/>
        <v>6.4854863676143864E-10</v>
      </c>
      <c r="M375" s="39">
        <f t="shared" si="75"/>
        <v>4.1262902844450712E-9</v>
      </c>
      <c r="N375" s="39">
        <f t="shared" si="75"/>
        <v>2.3480822112037928E-8</v>
      </c>
      <c r="O375" s="39">
        <f t="shared" si="75"/>
        <v>1.2028596951682717E-7</v>
      </c>
      <c r="P375" s="39">
        <f t="shared" si="75"/>
        <v>5.5772877846628864E-7</v>
      </c>
      <c r="Q375" s="39">
        <f t="shared" si="75"/>
        <v>2.3514516140258649E-6</v>
      </c>
      <c r="R375" s="39">
        <f t="shared" si="75"/>
        <v>9.0502969029139549E-6</v>
      </c>
      <c r="S375" s="39">
        <f t="shared" si="75"/>
        <v>3.1906300289148672E-5</v>
      </c>
      <c r="T375" s="39">
        <f t="shared" si="75"/>
        <v>1.0333716999804601E-4</v>
      </c>
      <c r="U375" s="39">
        <f t="shared" si="75"/>
        <v>3.0826476991577728E-4</v>
      </c>
      <c r="V375" s="39">
        <f t="shared" si="75"/>
        <v>8.4892482076255648E-4</v>
      </c>
      <c r="W375" s="37">
        <v>0.628</v>
      </c>
    </row>
    <row r="376" spans="2:23" x14ac:dyDescent="0.25">
      <c r="B376" s="39">
        <f t="shared" si="74"/>
        <v>2.6848534848154315E-22</v>
      </c>
      <c r="C376" s="39">
        <f t="shared" si="74"/>
        <v>2.3360014368288406E-20</v>
      </c>
      <c r="D376" s="39">
        <f t="shared" si="74"/>
        <v>9.9578033384487493E-19</v>
      </c>
      <c r="E376" s="39">
        <f t="shared" si="74"/>
        <v>2.7718612051957652E-17</v>
      </c>
      <c r="F376" s="39">
        <f t="shared" si="74"/>
        <v>5.6661105866589398E-16</v>
      </c>
      <c r="G376" s="39">
        <f t="shared" si="74"/>
        <v>9.0690794372607842E-15</v>
      </c>
      <c r="H376" s="39">
        <f t="shared" si="74"/>
        <v>1.1834759930317387E-13</v>
      </c>
      <c r="I376" s="39">
        <f t="shared" si="74"/>
        <v>1.2945753832718272E-12</v>
      </c>
      <c r="J376" s="39">
        <f t="shared" si="74"/>
        <v>1.2112537048435659E-11</v>
      </c>
      <c r="K376" s="39">
        <f t="shared" si="74"/>
        <v>9.8430535579196926E-11</v>
      </c>
      <c r="L376" s="39">
        <f t="shared" si="75"/>
        <v>7.0308606983698417E-10</v>
      </c>
      <c r="M376" s="39">
        <f t="shared" si="75"/>
        <v>4.4568926164371395E-9</v>
      </c>
      <c r="N376" s="39">
        <f t="shared" si="75"/>
        <v>2.5269457109359054E-8</v>
      </c>
      <c r="O376" s="39">
        <f t="shared" si="75"/>
        <v>1.2897693017110763E-7</v>
      </c>
      <c r="P376" s="39">
        <f t="shared" si="75"/>
        <v>5.9585328468957104E-7</v>
      </c>
      <c r="Q376" s="39">
        <f t="shared" si="75"/>
        <v>2.5030928605947562E-6</v>
      </c>
      <c r="R376" s="39">
        <f t="shared" si="75"/>
        <v>9.5991890674383452E-6</v>
      </c>
      <c r="S376" s="39">
        <f t="shared" si="75"/>
        <v>3.3719882645353379E-5</v>
      </c>
      <c r="T376" s="39">
        <f t="shared" si="75"/>
        <v>1.0882088066214441E-4</v>
      </c>
      <c r="U376" s="39">
        <f t="shared" si="75"/>
        <v>3.2347084076715958E-4</v>
      </c>
      <c r="V376" s="39">
        <f t="shared" si="75"/>
        <v>8.876610484063965E-4</v>
      </c>
      <c r="W376" s="37">
        <v>0.627</v>
      </c>
    </row>
    <row r="377" spans="2:23" x14ac:dyDescent="0.25">
      <c r="B377" s="39">
        <f t="shared" si="74"/>
        <v>3.091254692903556E-22</v>
      </c>
      <c r="C377" s="39">
        <f t="shared" si="74"/>
        <v>2.6776251553761122E-20</v>
      </c>
      <c r="D377" s="39">
        <f t="shared" si="74"/>
        <v>1.1363301570441871E-18</v>
      </c>
      <c r="E377" s="39">
        <f t="shared" si="74"/>
        <v>3.1490442120617404E-17</v>
      </c>
      <c r="F377" s="39">
        <f t="shared" si="74"/>
        <v>6.4085643270687421E-16</v>
      </c>
      <c r="G377" s="39">
        <f t="shared" si="74"/>
        <v>1.0211972622508248E-14</v>
      </c>
      <c r="H377" s="39">
        <f t="shared" si="74"/>
        <v>1.3267195711062602E-13</v>
      </c>
      <c r="I377" s="39">
        <f t="shared" si="74"/>
        <v>1.4448508511375863E-12</v>
      </c>
      <c r="J377" s="39">
        <f t="shared" si="74"/>
        <v>1.3458906934854306E-11</v>
      </c>
      <c r="K377" s="39">
        <f t="shared" si="74"/>
        <v>1.0888970703246178E-10</v>
      </c>
      <c r="L377" s="39">
        <f t="shared" si="75"/>
        <v>7.7437521892296222E-10</v>
      </c>
      <c r="M377" s="39">
        <f t="shared" si="75"/>
        <v>4.8872568641018712E-9</v>
      </c>
      <c r="N377" s="39">
        <f t="shared" si="75"/>
        <v>2.7588208069272977E-8</v>
      </c>
      <c r="O377" s="39">
        <f t="shared" si="75"/>
        <v>1.4019718836782402E-7</v>
      </c>
      <c r="P377" s="39">
        <f t="shared" si="75"/>
        <v>6.4486981351647669E-7</v>
      </c>
      <c r="Q377" s="39">
        <f t="shared" si="75"/>
        <v>2.6972527439653929E-6</v>
      </c>
      <c r="R377" s="39">
        <f t="shared" si="75"/>
        <v>1.0299085196209859E-5</v>
      </c>
      <c r="S377" s="39">
        <f t="shared" si="75"/>
        <v>3.6022855491510919E-5</v>
      </c>
      <c r="T377" s="39">
        <f t="shared" si="75"/>
        <v>1.1575564350427753E-4</v>
      </c>
      <c r="U377" s="39">
        <f t="shared" si="75"/>
        <v>3.4262134472796664E-4</v>
      </c>
      <c r="V377" s="39">
        <f t="shared" si="75"/>
        <v>9.3624437042050918E-4</v>
      </c>
      <c r="W377" s="37">
        <v>0.626</v>
      </c>
    </row>
    <row r="378" spans="2:23" x14ac:dyDescent="0.25">
      <c r="B378" s="39">
        <f t="shared" si="74"/>
        <v>3.557762062262585E-22</v>
      </c>
      <c r="C378" s="39">
        <f t="shared" si="74"/>
        <v>3.0680099320920811E-20</v>
      </c>
      <c r="D378" s="39">
        <f t="shared" si="74"/>
        <v>1.2962185310296905E-18</v>
      </c>
      <c r="E378" s="39">
        <f t="shared" si="74"/>
        <v>3.5761946032885784E-17</v>
      </c>
      <c r="F378" s="39">
        <f t="shared" si="74"/>
        <v>7.2455934727597268E-16</v>
      </c>
      <c r="G378" s="39">
        <f t="shared" si="74"/>
        <v>1.1494656681705769E-14</v>
      </c>
      <c r="H378" s="39">
        <f t="shared" si="74"/>
        <v>1.4867610183731589E-13</v>
      </c>
      <c r="I378" s="39">
        <f t="shared" si="74"/>
        <v>1.6119941749379373E-12</v>
      </c>
      <c r="J378" s="39">
        <f t="shared" si="74"/>
        <v>1.4949672496297416E-11</v>
      </c>
      <c r="K378" s="39">
        <f t="shared" si="74"/>
        <v>1.2041857433780562E-10</v>
      </c>
      <c r="L378" s="39">
        <f t="shared" si="75"/>
        <v>8.526023790964402E-10</v>
      </c>
      <c r="M378" s="39">
        <f t="shared" si="75"/>
        <v>5.3573841659213272E-9</v>
      </c>
      <c r="N378" s="39">
        <f t="shared" si="75"/>
        <v>3.0109823920434754E-8</v>
      </c>
      <c r="O378" s="39">
        <f t="shared" si="75"/>
        <v>1.5234431555159228E-7</v>
      </c>
      <c r="P378" s="39">
        <f t="shared" si="75"/>
        <v>6.9769725356987233E-7</v>
      </c>
      <c r="Q378" s="39">
        <f t="shared" si="75"/>
        <v>2.9055690071491266E-6</v>
      </c>
      <c r="R378" s="39">
        <f t="shared" si="75"/>
        <v>1.1046642177470645E-5</v>
      </c>
      <c r="S378" s="39">
        <f t="shared" si="75"/>
        <v>3.8471619527186413E-5</v>
      </c>
      <c r="T378" s="39">
        <f t="shared" si="75"/>
        <v>1.2309634423658054E-4</v>
      </c>
      <c r="U378" s="39">
        <f t="shared" si="75"/>
        <v>3.6280195384588162E-4</v>
      </c>
      <c r="V378" s="39">
        <f t="shared" si="75"/>
        <v>9.8721145610042023E-4</v>
      </c>
      <c r="W378" s="37">
        <v>0.625</v>
      </c>
    </row>
    <row r="379" spans="2:23" x14ac:dyDescent="0.25">
      <c r="B379" s="39">
        <f t="shared" si="74"/>
        <v>4.0930579069305005E-22</v>
      </c>
      <c r="C379" s="39">
        <f t="shared" si="74"/>
        <v>3.5139452636662524E-20</v>
      </c>
      <c r="D379" s="39">
        <f t="shared" si="74"/>
        <v>1.4780378058564362E-18</v>
      </c>
      <c r="E379" s="39">
        <f t="shared" si="74"/>
        <v>4.0597522437421937E-17</v>
      </c>
      <c r="F379" s="39">
        <f t="shared" si="74"/>
        <v>8.1888999289183242E-16</v>
      </c>
      <c r="G379" s="39">
        <f t="shared" si="74"/>
        <v>1.2933710669116279E-14</v>
      </c>
      <c r="H379" s="39">
        <f t="shared" si="74"/>
        <v>1.6655066352336142E-13</v>
      </c>
      <c r="I379" s="39">
        <f t="shared" si="74"/>
        <v>1.7978336129590974E-12</v>
      </c>
      <c r="J379" s="39">
        <f t="shared" si="74"/>
        <v>1.6599750577773797E-11</v>
      </c>
      <c r="K379" s="39">
        <f t="shared" si="74"/>
        <v>1.331222224437145E-10</v>
      </c>
      <c r="L379" s="39">
        <f t="shared" si="75"/>
        <v>9.3841406313490054E-10</v>
      </c>
      <c r="M379" s="39">
        <f t="shared" si="75"/>
        <v>5.8707793062598721E-9</v>
      </c>
      <c r="N379" s="39">
        <f t="shared" si="75"/>
        <v>3.2851164535818564E-8</v>
      </c>
      <c r="O379" s="39">
        <f t="shared" si="75"/>
        <v>1.6549068463053839E-7</v>
      </c>
      <c r="P379" s="39">
        <f t="shared" si="75"/>
        <v>7.5461403689793617E-7</v>
      </c>
      <c r="Q379" s="39">
        <f t="shared" si="75"/>
        <v>3.1290048642642314E-6</v>
      </c>
      <c r="R379" s="39">
        <f t="shared" si="75"/>
        <v>1.1844863414754946E-5</v>
      </c>
      <c r="S379" s="39">
        <f t="shared" si="75"/>
        <v>4.1074627921318647E-5</v>
      </c>
      <c r="T379" s="39">
        <f t="shared" si="75"/>
        <v>1.3086446865625322E-4</v>
      </c>
      <c r="U379" s="39">
        <f t="shared" si="75"/>
        <v>3.840619566445027E-4</v>
      </c>
      <c r="V379" s="39">
        <f t="shared" si="75"/>
        <v>1.0406641514656716E-3</v>
      </c>
      <c r="W379" s="37">
        <v>0.624</v>
      </c>
    </row>
    <row r="380" spans="2:23" x14ac:dyDescent="0.25">
      <c r="B380" s="39">
        <f t="shared" si="74"/>
        <v>4.7070489308399733E-22</v>
      </c>
      <c r="C380" s="39">
        <f t="shared" si="74"/>
        <v>4.0231424097119968E-20</v>
      </c>
      <c r="D380" s="39">
        <f t="shared" si="74"/>
        <v>1.6847186865479791E-18</v>
      </c>
      <c r="E380" s="39">
        <f t="shared" si="74"/>
        <v>4.6069638650242911E-17</v>
      </c>
      <c r="F380" s="39">
        <f t="shared" si="74"/>
        <v>9.2515907377235474E-16</v>
      </c>
      <c r="G380" s="39">
        <f t="shared" si="74"/>
        <v>1.4547618149395032E-14</v>
      </c>
      <c r="H380" s="39">
        <f t="shared" si="74"/>
        <v>1.8650718077653138E-13</v>
      </c>
      <c r="I380" s="39">
        <f t="shared" si="74"/>
        <v>2.0043884697789471E-12</v>
      </c>
      <c r="J380" s="39">
        <f t="shared" si="74"/>
        <v>1.8425539520160868E-11</v>
      </c>
      <c r="K380" s="39">
        <f t="shared" si="74"/>
        <v>1.4711562904579694E-10</v>
      </c>
      <c r="L380" s="39">
        <f t="shared" si="75"/>
        <v>1.0325142998163383E-9</v>
      </c>
      <c r="M380" s="39">
        <f t="shared" si="75"/>
        <v>6.43124070621797E-9</v>
      </c>
      <c r="N380" s="39">
        <f t="shared" si="75"/>
        <v>3.5830414806246799E-8</v>
      </c>
      <c r="O380" s="39">
        <f t="shared" si="75"/>
        <v>1.797139793768643E-7</v>
      </c>
      <c r="P380" s="39">
        <f t="shared" si="75"/>
        <v>8.1591757042847478E-7</v>
      </c>
      <c r="Q380" s="39">
        <f t="shared" si="75"/>
        <v>3.3685840967685326E-6</v>
      </c>
      <c r="R380" s="39">
        <f t="shared" si="75"/>
        <v>1.2696925192221039E-5</v>
      </c>
      <c r="S380" s="39">
        <f t="shared" si="75"/>
        <v>4.3840774865408661E-5</v>
      </c>
      <c r="T380" s="39">
        <f t="shared" si="75"/>
        <v>1.390825056236803E-4</v>
      </c>
      <c r="U380" s="39">
        <f t="shared" si="75"/>
        <v>4.0645266532585503E-4</v>
      </c>
      <c r="V380" s="39">
        <f t="shared" si="75"/>
        <v>1.0967078903536096E-3</v>
      </c>
      <c r="W380" s="37">
        <v>0.623</v>
      </c>
    </row>
    <row r="381" spans="2:23" x14ac:dyDescent="0.25">
      <c r="B381" s="39">
        <f t="shared" si="74"/>
        <v>5.2869284187409623E-22</v>
      </c>
      <c r="C381" s="39">
        <f t="shared" si="74"/>
        <v>4.5020801717898596E-20</v>
      </c>
      <c r="D381" s="39">
        <f t="shared" si="74"/>
        <v>1.8783211753387125E-18</v>
      </c>
      <c r="E381" s="39">
        <f t="shared" si="74"/>
        <v>5.1174495574463967E-17</v>
      </c>
      <c r="F381" s="39">
        <f t="shared" si="74"/>
        <v>1.0238899368297715E-15</v>
      </c>
      <c r="G381" s="39">
        <f t="shared" si="74"/>
        <v>1.6040902474432663E-14</v>
      </c>
      <c r="H381" s="39">
        <f t="shared" si="74"/>
        <v>2.0489654024241166E-13</v>
      </c>
      <c r="I381" s="39">
        <f t="shared" si="74"/>
        <v>2.1939435181149503E-12</v>
      </c>
      <c r="J381" s="39">
        <f t="shared" si="74"/>
        <v>2.0094202861446984E-11</v>
      </c>
      <c r="K381" s="39">
        <f t="shared" si="74"/>
        <v>1.5985241729789363E-10</v>
      </c>
      <c r="L381" s="39">
        <f t="shared" si="75"/>
        <v>1.1178136313144427E-9</v>
      </c>
      <c r="M381" s="39">
        <f t="shared" si="75"/>
        <v>6.9372041837515201E-9</v>
      </c>
      <c r="N381" s="39">
        <f t="shared" si="75"/>
        <v>3.8508960821692757E-8</v>
      </c>
      <c r="O381" s="39">
        <f t="shared" si="75"/>
        <v>1.9244933594773717E-7</v>
      </c>
      <c r="P381" s="39">
        <f t="shared" si="75"/>
        <v>8.7058331828753626E-7</v>
      </c>
      <c r="Q381" s="39">
        <f t="shared" si="75"/>
        <v>3.5813480021704872E-6</v>
      </c>
      <c r="R381" s="39">
        <f t="shared" si="75"/>
        <v>1.3450521873125303E-5</v>
      </c>
      <c r="S381" s="39">
        <f t="shared" si="75"/>
        <v>4.6277252111185082E-5</v>
      </c>
      <c r="T381" s="39">
        <f t="shared" si="75"/>
        <v>1.4629149744446862E-4</v>
      </c>
      <c r="U381" s="39">
        <f t="shared" si="75"/>
        <v>4.2601378548039914E-4</v>
      </c>
      <c r="V381" s="39">
        <f t="shared" si="75"/>
        <v>1.1454688821118516E-3</v>
      </c>
      <c r="W381" s="37">
        <v>0.622</v>
      </c>
    </row>
    <row r="382" spans="2:23" x14ac:dyDescent="0.25">
      <c r="B382" s="39">
        <f t="shared" si="74"/>
        <v>6.0756779231773329E-22</v>
      </c>
      <c r="C382" s="39">
        <f t="shared" si="74"/>
        <v>5.1508436909947502E-20</v>
      </c>
      <c r="D382" s="39">
        <f t="shared" si="74"/>
        <v>2.1394920998582563E-18</v>
      </c>
      <c r="E382" s="39">
        <f t="shared" si="74"/>
        <v>5.8032607627387467E-17</v>
      </c>
      <c r="F382" s="39">
        <f t="shared" si="74"/>
        <v>1.1559834857179572E-15</v>
      </c>
      <c r="G382" s="39">
        <f t="shared" si="74"/>
        <v>1.8030564971886057E-14</v>
      </c>
      <c r="H382" s="39">
        <f t="shared" si="74"/>
        <v>2.292978030553645E-13</v>
      </c>
      <c r="I382" s="39">
        <f t="shared" si="74"/>
        <v>2.4444335262499773E-12</v>
      </c>
      <c r="J382" s="39">
        <f t="shared" si="74"/>
        <v>2.2290209689327305E-11</v>
      </c>
      <c r="K382" s="39">
        <f t="shared" si="74"/>
        <v>1.7654545432503713E-10</v>
      </c>
      <c r="L382" s="39">
        <f t="shared" si="75"/>
        <v>1.2291487250629836E-9</v>
      </c>
      <c r="M382" s="39">
        <f t="shared" si="75"/>
        <v>7.5948880680498612E-9</v>
      </c>
      <c r="N382" s="39">
        <f t="shared" si="75"/>
        <v>4.1976403401666892E-8</v>
      </c>
      <c r="O382" s="39">
        <f t="shared" si="75"/>
        <v>2.0886785439043734E-7</v>
      </c>
      <c r="P382" s="39">
        <f t="shared" si="75"/>
        <v>9.4076946398828483E-7</v>
      </c>
      <c r="Q382" s="39">
        <f t="shared" si="75"/>
        <v>3.8533974508343877E-6</v>
      </c>
      <c r="R382" s="39">
        <f t="shared" si="75"/>
        <v>1.4410150562154174E-5</v>
      </c>
      <c r="S382" s="39">
        <f t="shared" si="75"/>
        <v>4.9367131357351479E-5</v>
      </c>
      <c r="T382" s="39">
        <f t="shared" si="75"/>
        <v>1.5539627066045043E-4</v>
      </c>
      <c r="U382" s="39">
        <f t="shared" si="75"/>
        <v>4.5061770646816809E-4</v>
      </c>
      <c r="V382" s="39">
        <f t="shared" si="75"/>
        <v>1.2065489745827773E-3</v>
      </c>
      <c r="W382" s="37">
        <v>0.621</v>
      </c>
    </row>
    <row r="383" spans="2:23" x14ac:dyDescent="0.25">
      <c r="B383" s="39">
        <f t="shared" ref="B383:K392" si="76">_xlfn.HYPGEOM.DIST(B$2,comau,tongtheN*$W383,tongtheN,TRUE)</f>
        <v>6.9794075538846026E-22</v>
      </c>
      <c r="C383" s="39">
        <f t="shared" si="76"/>
        <v>5.8908545774131869E-20</v>
      </c>
      <c r="D383" s="39">
        <f t="shared" si="76"/>
        <v>2.4360634163342561E-18</v>
      </c>
      <c r="E383" s="39">
        <f t="shared" si="76"/>
        <v>6.5785466720588879E-17</v>
      </c>
      <c r="F383" s="39">
        <f t="shared" si="76"/>
        <v>1.3046428537160296E-15</v>
      </c>
      <c r="G383" s="39">
        <f t="shared" si="76"/>
        <v>2.0259738161506131E-14</v>
      </c>
      <c r="H383" s="39">
        <f t="shared" si="76"/>
        <v>2.5651420972017745E-13</v>
      </c>
      <c r="I383" s="39">
        <f t="shared" si="76"/>
        <v>2.7225734543457684E-12</v>
      </c>
      <c r="J383" s="39">
        <f t="shared" si="76"/>
        <v>2.4717721921795663E-11</v>
      </c>
      <c r="K383" s="39">
        <f t="shared" si="76"/>
        <v>1.9491583975286861E-10</v>
      </c>
      <c r="L383" s="39">
        <f t="shared" ref="L383:V392" si="77">_xlfn.HYPGEOM.DIST(L$2,comau,tongtheN*$W383,tongtheN,TRUE)</f>
        <v>1.3511236393785329E-9</v>
      </c>
      <c r="M383" s="39">
        <f t="shared" si="77"/>
        <v>8.3122057449314579E-9</v>
      </c>
      <c r="N383" s="39">
        <f t="shared" si="77"/>
        <v>4.574135901707828E-8</v>
      </c>
      <c r="O383" s="39">
        <f t="shared" si="77"/>
        <v>2.2661551666583401E-7</v>
      </c>
      <c r="P383" s="39">
        <f t="shared" si="77"/>
        <v>1.0162987796918248E-6</v>
      </c>
      <c r="Q383" s="39">
        <f t="shared" si="77"/>
        <v>4.1448509872348196E-6</v>
      </c>
      <c r="R383" s="39">
        <f t="shared" si="77"/>
        <v>1.5433637681872407E-5</v>
      </c>
      <c r="S383" s="39">
        <f t="shared" si="77"/>
        <v>5.2647923384213275E-5</v>
      </c>
      <c r="T383" s="39">
        <f t="shared" si="77"/>
        <v>1.6502047236775344E-4</v>
      </c>
      <c r="U383" s="39">
        <f t="shared" si="77"/>
        <v>4.7650929235721414E-4</v>
      </c>
      <c r="V383" s="39">
        <f t="shared" si="77"/>
        <v>1.270539122378465E-3</v>
      </c>
      <c r="W383" s="37">
        <v>0.62</v>
      </c>
    </row>
    <row r="384" spans="2:23" x14ac:dyDescent="0.25">
      <c r="B384" s="39">
        <f t="shared" si="76"/>
        <v>8.0144883882960365E-22</v>
      </c>
      <c r="C384" s="39">
        <f t="shared" si="76"/>
        <v>6.7346327984667243E-20</v>
      </c>
      <c r="D384" s="39">
        <f t="shared" si="76"/>
        <v>2.7727099651807844E-18</v>
      </c>
      <c r="E384" s="39">
        <f t="shared" si="76"/>
        <v>7.4546636414326802E-17</v>
      </c>
      <c r="F384" s="39">
        <f t="shared" si="76"/>
        <v>1.471885882305026E-15</v>
      </c>
      <c r="G384" s="39">
        <f t="shared" si="76"/>
        <v>2.2756375447639296E-14</v>
      </c>
      <c r="H384" s="39">
        <f t="shared" si="76"/>
        <v>2.8686001629199834E-13</v>
      </c>
      <c r="I384" s="39">
        <f t="shared" si="76"/>
        <v>3.0313098678676467E-12</v>
      </c>
      <c r="J384" s="39">
        <f t="shared" si="76"/>
        <v>2.7400241612600611E-11</v>
      </c>
      <c r="K384" s="39">
        <f t="shared" si="76"/>
        <v>2.1512541061585865E-10</v>
      </c>
      <c r="L384" s="39">
        <f t="shared" si="77"/>
        <v>1.4847115118609877E-9</v>
      </c>
      <c r="M384" s="39">
        <f t="shared" si="77"/>
        <v>9.0943125938878952E-9</v>
      </c>
      <c r="N384" s="39">
        <f t="shared" si="77"/>
        <v>4.9828059562385292E-8</v>
      </c>
      <c r="O384" s="39">
        <f t="shared" si="77"/>
        <v>2.4579393840762182E-7</v>
      </c>
      <c r="P384" s="39">
        <f t="shared" si="77"/>
        <v>1.0975530822031887E-6</v>
      </c>
      <c r="Q384" s="39">
        <f t="shared" si="77"/>
        <v>4.4569983046701721E-6</v>
      </c>
      <c r="R384" s="39">
        <f t="shared" si="77"/>
        <v>1.6524908327124182E-5</v>
      </c>
      <c r="S384" s="39">
        <f t="shared" si="77"/>
        <v>5.6130406007100755E-5</v>
      </c>
      <c r="T384" s="39">
        <f t="shared" si="77"/>
        <v>1.7519081281257333E-4</v>
      </c>
      <c r="U384" s="39">
        <f t="shared" si="77"/>
        <v>5.0374823809526317E-4</v>
      </c>
      <c r="V384" s="39">
        <f t="shared" si="77"/>
        <v>1.3375593615837704E-3</v>
      </c>
      <c r="W384" s="37">
        <v>0.61899999999999999</v>
      </c>
    </row>
    <row r="385" spans="2:23" x14ac:dyDescent="0.25">
      <c r="B385" s="39">
        <f t="shared" si="76"/>
        <v>8.9907708670561921E-22</v>
      </c>
      <c r="C385" s="39">
        <f t="shared" si="76"/>
        <v>7.5272337254968209E-20</v>
      </c>
      <c r="D385" s="39">
        <f t="shared" si="76"/>
        <v>3.08764833388918E-18</v>
      </c>
      <c r="E385" s="39">
        <f t="shared" si="76"/>
        <v>8.2709428736804584E-17</v>
      </c>
      <c r="F385" s="39">
        <f t="shared" si="76"/>
        <v>1.6270709864057433E-15</v>
      </c>
      <c r="G385" s="39">
        <f t="shared" si="76"/>
        <v>2.5063563097723175E-14</v>
      </c>
      <c r="H385" s="39">
        <f t="shared" si="76"/>
        <v>3.1478878010405649E-13</v>
      </c>
      <c r="I385" s="39">
        <f t="shared" si="76"/>
        <v>3.314296909110837E-12</v>
      </c>
      <c r="J385" s="39">
        <f t="shared" si="76"/>
        <v>2.9849008144100428E-11</v>
      </c>
      <c r="K385" s="39">
        <f t="shared" si="76"/>
        <v>2.3349872158049685E-10</v>
      </c>
      <c r="L385" s="39">
        <f t="shared" si="77"/>
        <v>1.6056663767803086E-9</v>
      </c>
      <c r="M385" s="39">
        <f t="shared" si="77"/>
        <v>9.7995713257480752E-9</v>
      </c>
      <c r="N385" s="39">
        <f t="shared" si="77"/>
        <v>5.3498188950424529E-8</v>
      </c>
      <c r="O385" s="39">
        <f t="shared" si="77"/>
        <v>2.6294723913940336E-7</v>
      </c>
      <c r="P385" s="39">
        <f t="shared" si="77"/>
        <v>1.1699312494106572E-6</v>
      </c>
      <c r="Q385" s="39">
        <f t="shared" si="77"/>
        <v>4.7339138263658018E-6</v>
      </c>
      <c r="R385" s="39">
        <f t="shared" si="77"/>
        <v>1.7489063071525201E-5</v>
      </c>
      <c r="S385" s="39">
        <f t="shared" si="77"/>
        <v>5.9194696288063274E-5</v>
      </c>
      <c r="T385" s="39">
        <f t="shared" si="77"/>
        <v>1.8410338809135793E-4</v>
      </c>
      <c r="U385" s="39">
        <f t="shared" si="77"/>
        <v>5.275212871926248E-4</v>
      </c>
      <c r="V385" s="39">
        <f t="shared" si="77"/>
        <v>1.3958136010045327E-3</v>
      </c>
      <c r="W385" s="37">
        <v>0.61799999999999999</v>
      </c>
    </row>
    <row r="386" spans="2:23" x14ac:dyDescent="0.25">
      <c r="B386" s="39">
        <f t="shared" si="76"/>
        <v>1.0316946438686277E-21</v>
      </c>
      <c r="C386" s="39">
        <f t="shared" si="76"/>
        <v>8.5994782962460939E-20</v>
      </c>
      <c r="D386" s="39">
        <f t="shared" si="76"/>
        <v>3.511954312975715E-18</v>
      </c>
      <c r="E386" s="39">
        <f t="shared" si="76"/>
        <v>9.3661775097185128E-17</v>
      </c>
      <c r="F386" s="39">
        <f t="shared" si="76"/>
        <v>1.8344352166531128E-15</v>
      </c>
      <c r="G386" s="39">
        <f t="shared" si="76"/>
        <v>2.8133876193325043E-14</v>
      </c>
      <c r="H386" s="39">
        <f t="shared" si="76"/>
        <v>3.5180294357374193E-13</v>
      </c>
      <c r="I386" s="39">
        <f t="shared" si="76"/>
        <v>3.6878048125820812E-12</v>
      </c>
      <c r="J386" s="39">
        <f t="shared" si="76"/>
        <v>3.3067839278403373E-11</v>
      </c>
      <c r="K386" s="39">
        <f t="shared" si="76"/>
        <v>2.575510067889817E-10</v>
      </c>
      <c r="L386" s="39">
        <f t="shared" si="77"/>
        <v>1.7633588297392075E-9</v>
      </c>
      <c r="M386" s="39">
        <f t="shared" si="77"/>
        <v>1.0715275574249028E-8</v>
      </c>
      <c r="N386" s="39">
        <f t="shared" si="77"/>
        <v>5.8243971792075798E-8</v>
      </c>
      <c r="O386" s="39">
        <f t="shared" si="77"/>
        <v>2.8503717510310364E-7</v>
      </c>
      <c r="P386" s="39">
        <f t="shared" si="77"/>
        <v>1.2627584265910721E-6</v>
      </c>
      <c r="Q386" s="39">
        <f t="shared" si="77"/>
        <v>5.0876147609900184E-6</v>
      </c>
      <c r="R386" s="39">
        <f t="shared" si="77"/>
        <v>1.8715534776046589E-5</v>
      </c>
      <c r="S386" s="39">
        <f t="shared" si="77"/>
        <v>6.3076764066437863E-5</v>
      </c>
      <c r="T386" s="39">
        <f t="shared" si="77"/>
        <v>1.9534838592961693E-4</v>
      </c>
      <c r="U386" s="39">
        <f t="shared" si="77"/>
        <v>5.5739330387225461E-4</v>
      </c>
      <c r="V386" s="39">
        <f t="shared" si="77"/>
        <v>1.4687142202555708E-3</v>
      </c>
      <c r="W386" s="37">
        <v>0.61699999999999999</v>
      </c>
    </row>
    <row r="387" spans="2:23" x14ac:dyDescent="0.25">
      <c r="B387" s="39">
        <f t="shared" si="76"/>
        <v>1.183426895702572E-21</v>
      </c>
      <c r="C387" s="39">
        <f t="shared" si="76"/>
        <v>9.8208033818198874E-20</v>
      </c>
      <c r="D387" s="39">
        <f t="shared" si="76"/>
        <v>3.9931009628184828E-18</v>
      </c>
      <c r="E387" s="39">
        <f t="shared" si="76"/>
        <v>1.0602599519146872E-16</v>
      </c>
      <c r="F387" s="39">
        <f t="shared" si="76"/>
        <v>2.0674883757224001E-15</v>
      </c>
      <c r="G387" s="39">
        <f t="shared" si="76"/>
        <v>3.1569184794595577E-14</v>
      </c>
      <c r="H387" s="39">
        <f t="shared" si="76"/>
        <v>3.9303294218481946E-13</v>
      </c>
      <c r="I387" s="39">
        <f t="shared" si="76"/>
        <v>4.1020026383355465E-12</v>
      </c>
      <c r="J387" s="39">
        <f t="shared" si="76"/>
        <v>3.6621444641032636E-11</v>
      </c>
      <c r="K387" s="39">
        <f t="shared" si="76"/>
        <v>2.8398669851888715E-10</v>
      </c>
      <c r="L387" s="39">
        <f t="shared" si="77"/>
        <v>1.9359064281987917E-9</v>
      </c>
      <c r="M387" s="39">
        <f t="shared" si="77"/>
        <v>1.1712785580661662E-8</v>
      </c>
      <c r="N387" s="39">
        <f t="shared" si="77"/>
        <v>6.3390735852646876E-8</v>
      </c>
      <c r="O387" s="39">
        <f t="shared" si="77"/>
        <v>3.0888702030785269E-7</v>
      </c>
      <c r="P387" s="39">
        <f t="shared" si="77"/>
        <v>1.3625356248719462E-6</v>
      </c>
      <c r="Q387" s="39">
        <f t="shared" si="77"/>
        <v>5.4661076844280214E-6</v>
      </c>
      <c r="R387" s="39">
        <f t="shared" si="77"/>
        <v>2.0022141315981295E-5</v>
      </c>
      <c r="S387" s="39">
        <f t="shared" si="77"/>
        <v>6.7194101750560865E-5</v>
      </c>
      <c r="T387" s="39">
        <f t="shared" si="77"/>
        <v>2.0722189722635265E-4</v>
      </c>
      <c r="U387" s="39">
        <f t="shared" si="77"/>
        <v>5.887948546691715E-4</v>
      </c>
      <c r="V387" s="39">
        <f t="shared" si="77"/>
        <v>1.5450072515246869E-3</v>
      </c>
      <c r="W387" s="37">
        <v>0.61599999999999999</v>
      </c>
    </row>
    <row r="388" spans="2:23" x14ac:dyDescent="0.25">
      <c r="B388" s="39">
        <f t="shared" si="76"/>
        <v>1.3569648729476441E-21</v>
      </c>
      <c r="C388" s="39">
        <f t="shared" si="76"/>
        <v>1.1211430042629726E-19</v>
      </c>
      <c r="D388" s="39">
        <f t="shared" si="76"/>
        <v>4.5385067390566253E-18</v>
      </c>
      <c r="E388" s="39">
        <f t="shared" si="76"/>
        <v>1.1997914745790437E-16</v>
      </c>
      <c r="F388" s="39">
        <f t="shared" si="76"/>
        <v>2.3293213177564065E-15</v>
      </c>
      <c r="G388" s="39">
        <f t="shared" si="76"/>
        <v>3.5411553870529575E-14</v>
      </c>
      <c r="H388" s="39">
        <f t="shared" si="76"/>
        <v>4.3894333582456713E-13</v>
      </c>
      <c r="I388" s="39">
        <f t="shared" si="76"/>
        <v>4.5611691748133047E-12</v>
      </c>
      <c r="J388" s="39">
        <f t="shared" si="76"/>
        <v>4.0543346061729486E-11</v>
      </c>
      <c r="K388" s="39">
        <f t="shared" si="76"/>
        <v>3.1303251305115879E-10</v>
      </c>
      <c r="L388" s="39">
        <f t="shared" si="77"/>
        <v>2.1246479909233301E-9</v>
      </c>
      <c r="M388" s="39">
        <f t="shared" si="77"/>
        <v>1.2799066062367228E-8</v>
      </c>
      <c r="N388" s="39">
        <f t="shared" si="77"/>
        <v>6.8970622845518222E-8</v>
      </c>
      <c r="O388" s="39">
        <f t="shared" si="77"/>
        <v>3.346290909101943E-7</v>
      </c>
      <c r="P388" s="39">
        <f t="shared" si="77"/>
        <v>1.4697508163564821E-6</v>
      </c>
      <c r="Q388" s="39">
        <f t="shared" si="77"/>
        <v>5.8710099733271892E-6</v>
      </c>
      <c r="R388" s="39">
        <f t="shared" si="77"/>
        <v>2.1413711390677238E-5</v>
      </c>
      <c r="S388" s="39">
        <f t="shared" si="77"/>
        <v>7.155971102525435E-5</v>
      </c>
      <c r="T388" s="39">
        <f t="shared" si="77"/>
        <v>2.1975550229755175E-4</v>
      </c>
      <c r="U388" s="39">
        <f t="shared" si="77"/>
        <v>6.2179506664646956E-4</v>
      </c>
      <c r="V388" s="39">
        <f t="shared" si="77"/>
        <v>1.6248287057840931E-3</v>
      </c>
      <c r="W388" s="37">
        <v>0.61499999999999999</v>
      </c>
    </row>
    <row r="389" spans="2:23" x14ac:dyDescent="0.25">
      <c r="B389" s="39">
        <f t="shared" si="76"/>
        <v>1.5204330724125154E-21</v>
      </c>
      <c r="C389" s="39">
        <f t="shared" si="76"/>
        <v>1.2516042947103069E-19</v>
      </c>
      <c r="D389" s="39">
        <f t="shared" si="76"/>
        <v>5.0480995786803168E-18</v>
      </c>
      <c r="E389" s="39">
        <f t="shared" si="76"/>
        <v>1.3296314656309285E-16</v>
      </c>
      <c r="F389" s="39">
        <f t="shared" si="76"/>
        <v>2.571978461895069E-15</v>
      </c>
      <c r="G389" s="39">
        <f t="shared" si="76"/>
        <v>3.8958059234934586E-14</v>
      </c>
      <c r="H389" s="39">
        <f t="shared" si="76"/>
        <v>4.8114653740523152E-13</v>
      </c>
      <c r="I389" s="39">
        <f t="shared" si="76"/>
        <v>4.9815448160833809E-12</v>
      </c>
      <c r="J389" s="39">
        <f t="shared" si="76"/>
        <v>4.4119341940024501E-11</v>
      </c>
      <c r="K389" s="39">
        <f t="shared" si="76"/>
        <v>3.3940900357386663E-10</v>
      </c>
      <c r="L389" s="39">
        <f t="shared" si="77"/>
        <v>2.2953482588720743E-9</v>
      </c>
      <c r="M389" s="39">
        <f t="shared" si="77"/>
        <v>1.3777523476284331E-8</v>
      </c>
      <c r="N389" s="39">
        <f t="shared" si="77"/>
        <v>7.3976252805432844E-8</v>
      </c>
      <c r="O389" s="39">
        <f t="shared" si="77"/>
        <v>3.5762816171657606E-7</v>
      </c>
      <c r="P389" s="39">
        <f t="shared" si="77"/>
        <v>1.5651526458373629E-6</v>
      </c>
      <c r="Q389" s="39">
        <f t="shared" si="77"/>
        <v>6.2298362694271979E-6</v>
      </c>
      <c r="R389" s="39">
        <f t="shared" si="77"/>
        <v>2.2641922021753948E-5</v>
      </c>
      <c r="S389" s="39">
        <f t="shared" si="77"/>
        <v>7.5397194015775718E-5</v>
      </c>
      <c r="T389" s="39">
        <f t="shared" si="77"/>
        <v>2.3072815218513174E-4</v>
      </c>
      <c r="U389" s="39">
        <f t="shared" si="77"/>
        <v>6.5056813968351619E-4</v>
      </c>
      <c r="V389" s="39">
        <f t="shared" si="77"/>
        <v>1.6941430698845144E-3</v>
      </c>
      <c r="W389" s="37">
        <v>0.61399999999999999</v>
      </c>
    </row>
    <row r="390" spans="2:23" x14ac:dyDescent="0.25">
      <c r="B390" s="39">
        <f t="shared" si="76"/>
        <v>1.742199112724666E-21</v>
      </c>
      <c r="C390" s="39">
        <f t="shared" si="76"/>
        <v>1.42786870635554E-19</v>
      </c>
      <c r="D390" s="39">
        <f t="shared" si="76"/>
        <v>5.7337898965432293E-18</v>
      </c>
      <c r="E390" s="39">
        <f t="shared" si="76"/>
        <v>1.5036259344584757E-16</v>
      </c>
      <c r="F390" s="39">
        <f t="shared" si="76"/>
        <v>2.8958276731787063E-15</v>
      </c>
      <c r="G390" s="39">
        <f t="shared" si="76"/>
        <v>4.3671886982726281E-14</v>
      </c>
      <c r="H390" s="39">
        <f t="shared" si="76"/>
        <v>5.3701186381428712E-13</v>
      </c>
      <c r="I390" s="39">
        <f t="shared" si="76"/>
        <v>5.5357350503209594E-12</v>
      </c>
      <c r="J390" s="39">
        <f t="shared" si="76"/>
        <v>4.8814424639846478E-11</v>
      </c>
      <c r="K390" s="39">
        <f t="shared" si="76"/>
        <v>3.7389864552919969E-10</v>
      </c>
      <c r="L390" s="39">
        <f t="shared" si="77"/>
        <v>2.5176443584903118E-9</v>
      </c>
      <c r="M390" s="39">
        <f t="shared" si="77"/>
        <v>1.5046536440046361E-8</v>
      </c>
      <c r="N390" s="39">
        <f t="shared" si="77"/>
        <v>8.0441868501848344E-8</v>
      </c>
      <c r="O390" s="39">
        <f t="shared" si="77"/>
        <v>3.8721434726227981E-7</v>
      </c>
      <c r="P390" s="39">
        <f t="shared" si="77"/>
        <v>1.6873786047877726E-6</v>
      </c>
      <c r="Q390" s="39">
        <f t="shared" si="77"/>
        <v>6.6876824542218494E-6</v>
      </c>
      <c r="R390" s="39">
        <f t="shared" si="77"/>
        <v>2.4202686237244621E-5</v>
      </c>
      <c r="S390" s="39">
        <f t="shared" si="77"/>
        <v>8.0253885786736731E-5</v>
      </c>
      <c r="T390" s="39">
        <f t="shared" si="77"/>
        <v>2.4455858442067242E-4</v>
      </c>
      <c r="U390" s="39">
        <f t="shared" si="77"/>
        <v>6.8668759165380858E-4</v>
      </c>
      <c r="V390" s="39">
        <f t="shared" si="77"/>
        <v>1.7808012053279222E-3</v>
      </c>
      <c r="W390" s="37">
        <v>0.61299999999999999</v>
      </c>
    </row>
    <row r="391" spans="2:23" x14ac:dyDescent="0.25">
      <c r="B391" s="39">
        <f t="shared" si="76"/>
        <v>1.9955732933551733E-21</v>
      </c>
      <c r="C391" s="39">
        <f t="shared" si="76"/>
        <v>1.6283622698768053E-19</v>
      </c>
      <c r="D391" s="39">
        <f t="shared" si="76"/>
        <v>6.5102741213192016E-18</v>
      </c>
      <c r="E391" s="39">
        <f t="shared" si="76"/>
        <v>1.699785377013652E-16</v>
      </c>
      <c r="F391" s="39">
        <f t="shared" si="76"/>
        <v>3.259312353337557E-15</v>
      </c>
      <c r="G391" s="39">
        <f t="shared" si="76"/>
        <v>4.8939171796254238E-14</v>
      </c>
      <c r="H391" s="39">
        <f t="shared" si="76"/>
        <v>5.9915964018870972E-13</v>
      </c>
      <c r="I391" s="39">
        <f t="shared" si="76"/>
        <v>6.1495148847017943E-12</v>
      </c>
      <c r="J391" s="39">
        <f t="shared" si="76"/>
        <v>5.3991301320322836E-11</v>
      </c>
      <c r="K391" s="39">
        <f t="shared" si="76"/>
        <v>4.1175897747959953E-10</v>
      </c>
      <c r="L391" s="39">
        <f t="shared" si="77"/>
        <v>2.7605843791119241E-9</v>
      </c>
      <c r="M391" s="39">
        <f t="shared" si="77"/>
        <v>1.6427254802704914E-8</v>
      </c>
      <c r="N391" s="39">
        <f t="shared" si="77"/>
        <v>8.7445464411798701E-8</v>
      </c>
      <c r="O391" s="39">
        <f t="shared" si="77"/>
        <v>4.1912036851972541E-7</v>
      </c>
      <c r="P391" s="39">
        <f t="shared" si="77"/>
        <v>1.8186046186107343E-6</v>
      </c>
      <c r="Q391" s="39">
        <f t="shared" si="77"/>
        <v>7.177065839940119E-6</v>
      </c>
      <c r="R391" s="39">
        <f t="shared" si="77"/>
        <v>2.5863574388674834E-5</v>
      </c>
      <c r="S391" s="39">
        <f t="shared" si="77"/>
        <v>8.5399265418264678E-5</v>
      </c>
      <c r="T391" s="39">
        <f t="shared" si="77"/>
        <v>2.5914628209645511E-4</v>
      </c>
      <c r="U391" s="39">
        <f t="shared" si="77"/>
        <v>7.2461617303410937E-4</v>
      </c>
      <c r="V391" s="39">
        <f t="shared" si="77"/>
        <v>1.8713973171140209E-3</v>
      </c>
      <c r="W391" s="37">
        <v>0.61199999999999999</v>
      </c>
    </row>
    <row r="392" spans="2:23" x14ac:dyDescent="0.25">
      <c r="B392" s="39">
        <f t="shared" si="76"/>
        <v>2.28495611041786E-21</v>
      </c>
      <c r="C392" s="39">
        <f t="shared" si="76"/>
        <v>1.8563341702156656E-19</v>
      </c>
      <c r="D392" s="39">
        <f t="shared" si="76"/>
        <v>7.389264974642348E-18</v>
      </c>
      <c r="E392" s="39">
        <f t="shared" si="76"/>
        <v>1.9208565441921457E-16</v>
      </c>
      <c r="F392" s="39">
        <f t="shared" si="76"/>
        <v>3.6671435981040706E-15</v>
      </c>
      <c r="G392" s="39">
        <f t="shared" si="76"/>
        <v>5.4822905585840206E-14</v>
      </c>
      <c r="H392" s="39">
        <f t="shared" si="76"/>
        <v>6.6827331195991521E-13</v>
      </c>
      <c r="I392" s="39">
        <f t="shared" si="76"/>
        <v>6.829068107402406E-12</v>
      </c>
      <c r="J392" s="39">
        <f t="shared" si="76"/>
        <v>5.9697560564294379E-11</v>
      </c>
      <c r="K392" s="39">
        <f t="shared" si="76"/>
        <v>4.5330612792954458E-10</v>
      </c>
      <c r="L392" s="39">
        <f t="shared" si="77"/>
        <v>3.0260017626121297E-9</v>
      </c>
      <c r="M392" s="39">
        <f t="shared" si="77"/>
        <v>1.7929044780877482E-8</v>
      </c>
      <c r="N392" s="39">
        <f t="shared" si="77"/>
        <v>9.5029481620270125E-8</v>
      </c>
      <c r="O392" s="39">
        <f t="shared" si="77"/>
        <v>4.5351774611006614E-7</v>
      </c>
      <c r="P392" s="39">
        <f t="shared" si="77"/>
        <v>1.9594515534023741E-6</v>
      </c>
      <c r="Q392" s="39">
        <f t="shared" si="77"/>
        <v>7.7000057514177213E-6</v>
      </c>
      <c r="R392" s="39">
        <f t="shared" si="77"/>
        <v>2.7630500478626151E-5</v>
      </c>
      <c r="S392" s="39">
        <f t="shared" si="77"/>
        <v>9.0848947554523731E-5</v>
      </c>
      <c r="T392" s="39">
        <f t="shared" si="77"/>
        <v>2.7452841567553784E-4</v>
      </c>
      <c r="U392" s="39">
        <f t="shared" si="77"/>
        <v>7.6443356601561623E-4</v>
      </c>
      <c r="V392" s="39">
        <f t="shared" si="77"/>
        <v>1.966084784524905E-3</v>
      </c>
      <c r="W392" s="37">
        <v>0.61099999999999999</v>
      </c>
    </row>
    <row r="393" spans="2:23" x14ac:dyDescent="0.25">
      <c r="B393" s="39">
        <f t="shared" ref="B393:K402" si="78">_xlfn.HYPGEOM.DIST(B$2,comau,tongtheN*$W393,tongtheN,TRUE)</f>
        <v>2.5572015740871715E-21</v>
      </c>
      <c r="C393" s="39">
        <f t="shared" si="78"/>
        <v>2.0699378034831243E-19</v>
      </c>
      <c r="D393" s="39">
        <f t="shared" si="78"/>
        <v>8.2095242678888742E-18</v>
      </c>
      <c r="E393" s="39">
        <f t="shared" si="78"/>
        <v>2.1263218402776571E-16</v>
      </c>
      <c r="F393" s="39">
        <f t="shared" si="78"/>
        <v>4.0446519133207451E-15</v>
      </c>
      <c r="G393" s="39">
        <f t="shared" si="78"/>
        <v>6.0247144088240433E-14</v>
      </c>
      <c r="H393" s="39">
        <f t="shared" si="78"/>
        <v>7.3173177439499399E-13</v>
      </c>
      <c r="I393" s="39">
        <f t="shared" si="78"/>
        <v>7.4504934397382943E-12</v>
      </c>
      <c r="J393" s="39">
        <f t="shared" si="78"/>
        <v>6.4894611266045442E-11</v>
      </c>
      <c r="K393" s="39">
        <f t="shared" si="78"/>
        <v>4.9099271044827684E-10</v>
      </c>
      <c r="L393" s="39">
        <f t="shared" ref="L393:V402" si="79">_xlfn.HYPGEOM.DIST(L$2,comau,tongtheN*$W393,tongtheN,TRUE)</f>
        <v>3.2657829000821431E-9</v>
      </c>
      <c r="M393" s="39">
        <f t="shared" si="79"/>
        <v>1.9280292805603065E-8</v>
      </c>
      <c r="N393" s="39">
        <f t="shared" si="79"/>
        <v>1.0182567106861908E-7</v>
      </c>
      <c r="O393" s="39">
        <f t="shared" si="79"/>
        <v>4.842172866437915E-7</v>
      </c>
      <c r="P393" s="39">
        <f t="shared" si="79"/>
        <v>2.0846486895859929E-6</v>
      </c>
      <c r="Q393" s="39">
        <f t="shared" si="79"/>
        <v>8.1629613219622593E-6</v>
      </c>
      <c r="R393" s="39">
        <f t="shared" si="79"/>
        <v>2.9188425369167565E-5</v>
      </c>
      <c r="S393" s="39">
        <f t="shared" si="79"/>
        <v>9.5634587143632053E-5</v>
      </c>
      <c r="T393" s="39">
        <f t="shared" si="79"/>
        <v>2.8798163291208681E-4</v>
      </c>
      <c r="U393" s="39">
        <f t="shared" si="79"/>
        <v>7.9911709133475054E-4</v>
      </c>
      <c r="V393" s="39">
        <f t="shared" si="79"/>
        <v>2.0482302933461519E-3</v>
      </c>
      <c r="W393" s="37">
        <v>0.61</v>
      </c>
    </row>
    <row r="394" spans="2:23" x14ac:dyDescent="0.25">
      <c r="B394" s="39">
        <f t="shared" si="78"/>
        <v>2.9260690234980546E-21</v>
      </c>
      <c r="C394" s="39">
        <f t="shared" si="78"/>
        <v>2.3581727701620241E-19</v>
      </c>
      <c r="D394" s="39">
        <f t="shared" si="78"/>
        <v>9.3118705846938142E-18</v>
      </c>
      <c r="E394" s="39">
        <f t="shared" si="78"/>
        <v>2.4013231465054329E-16</v>
      </c>
      <c r="F394" s="39">
        <f t="shared" si="78"/>
        <v>4.5478658942395052E-15</v>
      </c>
      <c r="G394" s="39">
        <f t="shared" si="78"/>
        <v>6.744818647203781E-14</v>
      </c>
      <c r="H394" s="39">
        <f t="shared" si="78"/>
        <v>8.156346919873791E-13</v>
      </c>
      <c r="I394" s="39">
        <f t="shared" si="78"/>
        <v>8.2687847000207721E-12</v>
      </c>
      <c r="J394" s="39">
        <f t="shared" si="78"/>
        <v>7.1710270491163632E-11</v>
      </c>
      <c r="K394" s="39">
        <f t="shared" si="78"/>
        <v>5.4021594384078521E-10</v>
      </c>
      <c r="L394" s="39">
        <f t="shared" si="79"/>
        <v>3.5776943927241529E-9</v>
      </c>
      <c r="M394" s="39">
        <f t="shared" si="79"/>
        <v>2.1030884741325556E-8</v>
      </c>
      <c r="N394" s="39">
        <f t="shared" si="79"/>
        <v>1.1059465610716873E-7</v>
      </c>
      <c r="O394" s="39">
        <f t="shared" si="79"/>
        <v>5.2366758019145781E-7</v>
      </c>
      <c r="P394" s="39">
        <f t="shared" si="79"/>
        <v>2.244880145383452E-6</v>
      </c>
      <c r="Q394" s="39">
        <f t="shared" si="79"/>
        <v>8.7530648713803477E-6</v>
      </c>
      <c r="R394" s="39">
        <f t="shared" si="79"/>
        <v>3.1166175699295858E-5</v>
      </c>
      <c r="S394" s="39">
        <f t="shared" si="79"/>
        <v>1.0168522948834301E-4</v>
      </c>
      <c r="T394" s="39">
        <f t="shared" si="79"/>
        <v>3.0492207345298372E-4</v>
      </c>
      <c r="U394" s="39">
        <f t="shared" si="79"/>
        <v>8.4261409447683E-4</v>
      </c>
      <c r="V394" s="39">
        <f t="shared" si="79"/>
        <v>2.1508328041716022E-3</v>
      </c>
      <c r="W394" s="37">
        <v>0.60899999999999999</v>
      </c>
    </row>
    <row r="395" spans="2:23" x14ac:dyDescent="0.25">
      <c r="B395" s="39">
        <f t="shared" si="78"/>
        <v>3.3469319405814403E-21</v>
      </c>
      <c r="C395" s="39">
        <f t="shared" si="78"/>
        <v>2.6855836386725191E-19</v>
      </c>
      <c r="D395" s="39">
        <f t="shared" si="78"/>
        <v>1.055851013961708E-17</v>
      </c>
      <c r="E395" s="39">
        <f t="shared" si="78"/>
        <v>2.7109469536275929E-16</v>
      </c>
      <c r="F395" s="39">
        <f t="shared" si="78"/>
        <v>5.1119311531216118E-15</v>
      </c>
      <c r="G395" s="39">
        <f t="shared" si="78"/>
        <v>7.5484361825733338E-14</v>
      </c>
      <c r="H395" s="39">
        <f t="shared" si="78"/>
        <v>9.0885462894035588E-13</v>
      </c>
      <c r="I395" s="39">
        <f t="shared" si="78"/>
        <v>9.173928702794769E-12</v>
      </c>
      <c r="J395" s="39">
        <f t="shared" si="78"/>
        <v>7.921605300168798E-11</v>
      </c>
      <c r="K395" s="39">
        <f t="shared" si="78"/>
        <v>5.9418401630122511E-10</v>
      </c>
      <c r="L395" s="39">
        <f t="shared" si="79"/>
        <v>3.9181630388691282E-9</v>
      </c>
      <c r="M395" s="39">
        <f t="shared" si="79"/>
        <v>2.2933320346964988E-8</v>
      </c>
      <c r="N395" s="39">
        <f t="shared" si="79"/>
        <v>1.2008220403320705E-7</v>
      </c>
      <c r="O395" s="39">
        <f t="shared" si="79"/>
        <v>5.661622853380848E-7</v>
      </c>
      <c r="P395" s="39">
        <f t="shared" si="79"/>
        <v>2.416715531159862E-6</v>
      </c>
      <c r="Q395" s="39">
        <f t="shared" si="79"/>
        <v>9.3831128286894386E-6</v>
      </c>
      <c r="R395" s="39">
        <f t="shared" si="79"/>
        <v>3.3268490355301496E-5</v>
      </c>
      <c r="S395" s="39">
        <f t="shared" si="79"/>
        <v>1.0808860424198628E-4</v>
      </c>
      <c r="T395" s="39">
        <f t="shared" si="79"/>
        <v>3.2277106297564501E-4</v>
      </c>
      <c r="U395" s="39">
        <f t="shared" si="79"/>
        <v>8.8824195236803091E-4</v>
      </c>
      <c r="V395" s="39">
        <f t="shared" si="79"/>
        <v>2.2579874128054087E-3</v>
      </c>
      <c r="W395" s="37">
        <v>0.60799999999999998</v>
      </c>
    </row>
    <row r="396" spans="2:23" x14ac:dyDescent="0.25">
      <c r="B396" s="39">
        <f t="shared" si="78"/>
        <v>3.8269496652335482E-21</v>
      </c>
      <c r="C396" s="39">
        <f t="shared" si="78"/>
        <v>3.0573651053548697E-19</v>
      </c>
      <c r="D396" s="39">
        <f t="shared" si="78"/>
        <v>1.1967844036189255E-17</v>
      </c>
      <c r="E396" s="39">
        <f t="shared" si="78"/>
        <v>3.0594334946880472E-16</v>
      </c>
      <c r="F396" s="39">
        <f t="shared" si="78"/>
        <v>5.7439936197265223E-15</v>
      </c>
      <c r="G396" s="39">
        <f t="shared" si="78"/>
        <v>8.4449548922464321E-14</v>
      </c>
      <c r="H396" s="39">
        <f t="shared" si="78"/>
        <v>1.0123922964667853E-12</v>
      </c>
      <c r="I396" s="39">
        <f t="shared" si="78"/>
        <v>1.0174820628494853E-11</v>
      </c>
      <c r="J396" s="39">
        <f t="shared" si="78"/>
        <v>8.7479204857683334E-11</v>
      </c>
      <c r="K396" s="39">
        <f t="shared" si="78"/>
        <v>6.5333571623418892E-10</v>
      </c>
      <c r="L396" s="39">
        <f t="shared" si="79"/>
        <v>4.2896882811892004E-9</v>
      </c>
      <c r="M396" s="39">
        <f t="shared" si="79"/>
        <v>2.5000138943005668E-8</v>
      </c>
      <c r="N396" s="39">
        <f t="shared" si="79"/>
        <v>1.3034410650929966E-7</v>
      </c>
      <c r="O396" s="39">
        <f t="shared" si="79"/>
        <v>6.1192276184186298E-7</v>
      </c>
      <c r="P396" s="39">
        <f t="shared" si="79"/>
        <v>2.6009413304471743E-6</v>
      </c>
      <c r="Q396" s="39">
        <f t="shared" si="79"/>
        <v>1.0055615316664138E-5</v>
      </c>
      <c r="R396" s="39">
        <f t="shared" si="79"/>
        <v>3.5502580826570454E-5</v>
      </c>
      <c r="S396" s="39">
        <f t="shared" si="79"/>
        <v>1.1486338145845098E-4</v>
      </c>
      <c r="T396" s="39">
        <f t="shared" si="79"/>
        <v>3.4157215622682705E-4</v>
      </c>
      <c r="U396" s="39">
        <f t="shared" si="79"/>
        <v>9.360920940157427E-4</v>
      </c>
      <c r="V396" s="39">
        <f t="shared" si="79"/>
        <v>2.3698662615156858E-3</v>
      </c>
      <c r="W396" s="37">
        <v>0.60699999999999998</v>
      </c>
    </row>
    <row r="397" spans="2:23" x14ac:dyDescent="0.25">
      <c r="B397" s="39">
        <f t="shared" si="78"/>
        <v>4.3742440528309573E-21</v>
      </c>
      <c r="C397" s="39">
        <f t="shared" si="78"/>
        <v>3.4793835184603258E-19</v>
      </c>
      <c r="D397" s="39">
        <f t="shared" si="78"/>
        <v>1.3560558116908279E-17</v>
      </c>
      <c r="E397" s="39">
        <f t="shared" si="78"/>
        <v>3.4515277729941391E-16</v>
      </c>
      <c r="F397" s="39">
        <f t="shared" si="78"/>
        <v>6.4520133880592246E-15</v>
      </c>
      <c r="G397" s="39">
        <f t="shared" si="78"/>
        <v>9.4447843767510929E-14</v>
      </c>
      <c r="H397" s="39">
        <f t="shared" si="78"/>
        <v>1.1273522216842866E-12</v>
      </c>
      <c r="I397" s="39">
        <f t="shared" si="78"/>
        <v>1.1281233212672373E-11</v>
      </c>
      <c r="J397" s="39">
        <f t="shared" si="78"/>
        <v>9.6573264373240313E-11</v>
      </c>
      <c r="K397" s="39">
        <f t="shared" si="78"/>
        <v>7.1814865835020427E-10</v>
      </c>
      <c r="L397" s="39">
        <f t="shared" si="79"/>
        <v>4.6949780036052407E-9</v>
      </c>
      <c r="M397" s="39">
        <f t="shared" si="79"/>
        <v>2.7244861617460561E-8</v>
      </c>
      <c r="N397" s="39">
        <f t="shared" si="79"/>
        <v>1.4144023798023773E-7</v>
      </c>
      <c r="O397" s="39">
        <f t="shared" si="79"/>
        <v>6.6118543055341681E-7</v>
      </c>
      <c r="P397" s="39">
        <f t="shared" si="79"/>
        <v>2.798393468618795E-6</v>
      </c>
      <c r="Q397" s="39">
        <f t="shared" si="79"/>
        <v>1.0773227145569638E-5</v>
      </c>
      <c r="R397" s="39">
        <f t="shared" si="79"/>
        <v>3.7876036135642338E-5</v>
      </c>
      <c r="S397" s="39">
        <f t="shared" si="79"/>
        <v>1.2202910808695409E-4</v>
      </c>
      <c r="T397" s="39">
        <f t="shared" si="79"/>
        <v>3.6137071339490784E-4</v>
      </c>
      <c r="U397" s="39">
        <f t="shared" si="79"/>
        <v>9.8625921662125453E-4</v>
      </c>
      <c r="V397" s="39">
        <f t="shared" si="79"/>
        <v>2.4866466145440436E-3</v>
      </c>
      <c r="W397" s="37">
        <v>0.60599999999999998</v>
      </c>
    </row>
    <row r="398" spans="2:23" x14ac:dyDescent="0.25">
      <c r="B398" s="39">
        <f t="shared" si="78"/>
        <v>4.8883237083343811E-21</v>
      </c>
      <c r="C398" s="39">
        <f t="shared" si="78"/>
        <v>3.874194002559568E-19</v>
      </c>
      <c r="D398" s="39">
        <f t="shared" si="78"/>
        <v>1.5044589276748875E-17</v>
      </c>
      <c r="E398" s="39">
        <f t="shared" si="78"/>
        <v>3.8153956340825216E-16</v>
      </c>
      <c r="F398" s="39">
        <f t="shared" si="78"/>
        <v>7.1064184320865437E-15</v>
      </c>
      <c r="G398" s="39">
        <f t="shared" si="78"/>
        <v>1.0365181651290117E-13</v>
      </c>
      <c r="H398" s="39">
        <f t="shared" si="78"/>
        <v>1.2327530573908542E-12</v>
      </c>
      <c r="I398" s="39">
        <f t="shared" si="78"/>
        <v>1.2291562525214973E-11</v>
      </c>
      <c r="J398" s="39">
        <f t="shared" si="78"/>
        <v>1.0484414914519178E-10</v>
      </c>
      <c r="K398" s="39">
        <f t="shared" si="78"/>
        <v>7.7685760828540663E-10</v>
      </c>
      <c r="L398" s="39">
        <f t="shared" si="79"/>
        <v>5.0606204713375619E-9</v>
      </c>
      <c r="M398" s="39">
        <f t="shared" si="79"/>
        <v>2.9261844737861968E-8</v>
      </c>
      <c r="N398" s="39">
        <f t="shared" si="79"/>
        <v>1.5137047829700744E-7</v>
      </c>
      <c r="O398" s="39">
        <f t="shared" si="79"/>
        <v>7.0509455321064711E-7</v>
      </c>
      <c r="P398" s="39">
        <f t="shared" si="79"/>
        <v>2.9736795325326735E-6</v>
      </c>
      <c r="Q398" s="39">
        <f t="shared" si="79"/>
        <v>1.1407715892766828E-5</v>
      </c>
      <c r="R398" s="39">
        <f t="shared" si="79"/>
        <v>3.9966122560612466E-5</v>
      </c>
      <c r="S398" s="39">
        <f t="shared" si="79"/>
        <v>1.2831392072825193E-4</v>
      </c>
      <c r="T398" s="39">
        <f t="shared" si="79"/>
        <v>3.7866547648614918E-4</v>
      </c>
      <c r="U398" s="39">
        <f t="shared" si="79"/>
        <v>1.0299057047650079E-3</v>
      </c>
      <c r="V398" s="39">
        <f t="shared" si="79"/>
        <v>2.5878392708932659E-3</v>
      </c>
      <c r="W398" s="37">
        <v>0.60499999999999998</v>
      </c>
    </row>
    <row r="399" spans="2:23" x14ac:dyDescent="0.25">
      <c r="B399" s="39">
        <f t="shared" si="78"/>
        <v>5.5837643886613739E-21</v>
      </c>
      <c r="C399" s="39">
        <f t="shared" si="78"/>
        <v>4.406124984291724E-19</v>
      </c>
      <c r="D399" s="39">
        <f t="shared" si="78"/>
        <v>1.7035936822498296E-17</v>
      </c>
      <c r="E399" s="39">
        <f t="shared" si="78"/>
        <v>4.301674811762427E-16</v>
      </c>
      <c r="F399" s="39">
        <f t="shared" si="78"/>
        <v>7.9774362595992449E-15</v>
      </c>
      <c r="G399" s="39">
        <f t="shared" si="78"/>
        <v>1.1585279487966472E-13</v>
      </c>
      <c r="H399" s="39">
        <f t="shared" si="78"/>
        <v>1.3719093376331819E-12</v>
      </c>
      <c r="I399" s="39">
        <f t="shared" si="78"/>
        <v>1.362006274241724E-11</v>
      </c>
      <c r="J399" s="39">
        <f t="shared" si="78"/>
        <v>1.1567571043950611E-10</v>
      </c>
      <c r="K399" s="39">
        <f t="shared" si="78"/>
        <v>8.534321336223701E-10</v>
      </c>
      <c r="L399" s="39">
        <f t="shared" si="79"/>
        <v>5.5356034378098733E-9</v>
      </c>
      <c r="M399" s="39">
        <f t="shared" si="79"/>
        <v>3.1871394390386515E-8</v>
      </c>
      <c r="N399" s="39">
        <f t="shared" si="79"/>
        <v>1.6416621954302911E-7</v>
      </c>
      <c r="O399" s="39">
        <f t="shared" si="79"/>
        <v>7.6144577435060436E-7</v>
      </c>
      <c r="P399" s="39">
        <f t="shared" si="79"/>
        <v>3.1977266362836399E-6</v>
      </c>
      <c r="Q399" s="39">
        <f t="shared" si="79"/>
        <v>1.2215433840897607E-5</v>
      </c>
      <c r="R399" s="39">
        <f t="shared" si="79"/>
        <v>4.2616113615011374E-5</v>
      </c>
      <c r="S399" s="39">
        <f t="shared" si="79"/>
        <v>1.3625020731928376E-4</v>
      </c>
      <c r="T399" s="39">
        <f t="shared" si="79"/>
        <v>4.0041676340602666E-4</v>
      </c>
      <c r="U399" s="39">
        <f t="shared" si="79"/>
        <v>1.084577768344529E-3</v>
      </c>
      <c r="V399" s="39">
        <f t="shared" si="79"/>
        <v>2.7140834801068557E-3</v>
      </c>
      <c r="W399" s="37">
        <v>0.60399999999999998</v>
      </c>
    </row>
    <row r="400" spans="2:23" x14ac:dyDescent="0.25">
      <c r="B400" s="39">
        <f t="shared" si="78"/>
        <v>6.3758917753050908E-21</v>
      </c>
      <c r="C400" s="39">
        <f t="shared" si="78"/>
        <v>5.0093446139997788E-19</v>
      </c>
      <c r="D400" s="39">
        <f t="shared" si="78"/>
        <v>1.9284229212165041E-17</v>
      </c>
      <c r="E400" s="39">
        <f t="shared" si="78"/>
        <v>4.8482844094745312E-16</v>
      </c>
      <c r="F400" s="39">
        <f t="shared" si="78"/>
        <v>8.952212151135906E-15</v>
      </c>
      <c r="G400" s="39">
        <f t="shared" si="78"/>
        <v>1.2944715755852937E-13</v>
      </c>
      <c r="H400" s="39">
        <f t="shared" si="78"/>
        <v>1.5262760903992487E-12</v>
      </c>
      <c r="I400" s="39">
        <f t="shared" si="78"/>
        <v>1.5087297652101144E-11</v>
      </c>
      <c r="J400" s="39">
        <f t="shared" si="78"/>
        <v>1.2758583900541775E-10</v>
      </c>
      <c r="K400" s="39">
        <f t="shared" si="78"/>
        <v>9.3726172871586515E-10</v>
      </c>
      <c r="L400" s="39">
        <f t="shared" si="79"/>
        <v>6.0533045025350835E-9</v>
      </c>
      <c r="M400" s="39">
        <f t="shared" si="79"/>
        <v>3.470314403592226E-8</v>
      </c>
      <c r="N400" s="39">
        <f t="shared" si="79"/>
        <v>1.7799052451876466E-7</v>
      </c>
      <c r="O400" s="39">
        <f t="shared" si="79"/>
        <v>8.2205937092056084E-7</v>
      </c>
      <c r="P400" s="39">
        <f t="shared" si="79"/>
        <v>3.4376625289635518E-6</v>
      </c>
      <c r="Q400" s="39">
        <f t="shared" si="79"/>
        <v>1.3076635941549319E-5</v>
      </c>
      <c r="R400" s="39">
        <f t="shared" si="79"/>
        <v>4.5429176968825514E-5</v>
      </c>
      <c r="S400" s="39">
        <f t="shared" si="79"/>
        <v>1.4463789985300093E-4</v>
      </c>
      <c r="T400" s="39">
        <f t="shared" si="79"/>
        <v>4.2330437460327922E-4</v>
      </c>
      <c r="U400" s="39">
        <f t="shared" si="79"/>
        <v>1.1418536287819685E-3</v>
      </c>
      <c r="V400" s="39">
        <f t="shared" si="79"/>
        <v>2.8457600673762492E-3</v>
      </c>
      <c r="W400" s="37">
        <v>0.60299999999999998</v>
      </c>
    </row>
    <row r="401" spans="2:23" x14ac:dyDescent="0.25">
      <c r="B401" s="39">
        <f t="shared" si="78"/>
        <v>7.2778370084731026E-21</v>
      </c>
      <c r="C401" s="39">
        <f t="shared" si="78"/>
        <v>5.6931738692817404E-19</v>
      </c>
      <c r="D401" s="39">
        <f t="shared" si="78"/>
        <v>2.1821766162396582E-17</v>
      </c>
      <c r="E401" s="39">
        <f t="shared" si="78"/>
        <v>5.4625051993143039E-16</v>
      </c>
      <c r="F401" s="39">
        <f t="shared" si="78"/>
        <v>1.0042748168495604E-14</v>
      </c>
      <c r="G401" s="39">
        <f t="shared" si="78"/>
        <v>1.4458912685335245E-13</v>
      </c>
      <c r="H401" s="39">
        <f t="shared" si="78"/>
        <v>1.6974611473920183E-12</v>
      </c>
      <c r="I401" s="39">
        <f t="shared" si="78"/>
        <v>1.6707243912776572E-11</v>
      </c>
      <c r="J401" s="39">
        <f t="shared" si="78"/>
        <v>1.4067785649332023E-10</v>
      </c>
      <c r="K401" s="39">
        <f t="shared" si="78"/>
        <v>1.0290055793530667E-9</v>
      </c>
      <c r="L401" s="39">
        <f t="shared" si="79"/>
        <v>6.6173945267980833E-9</v>
      </c>
      <c r="M401" s="39">
        <f t="shared" si="79"/>
        <v>3.7775094992968951E-8</v>
      </c>
      <c r="N401" s="39">
        <f t="shared" si="79"/>
        <v>1.929216686256931E-7</v>
      </c>
      <c r="O401" s="39">
        <f t="shared" si="79"/>
        <v>8.8723879037525333E-7</v>
      </c>
      <c r="P401" s="39">
        <f t="shared" si="79"/>
        <v>3.6945403458157119E-6</v>
      </c>
      <c r="Q401" s="39">
        <f t="shared" si="79"/>
        <v>1.3994604282856386E-5</v>
      </c>
      <c r="R401" s="39">
        <f t="shared" si="79"/>
        <v>4.8414516084848001E-5</v>
      </c>
      <c r="S401" s="39">
        <f t="shared" si="79"/>
        <v>1.5350024150684471E-4</v>
      </c>
      <c r="T401" s="39">
        <f t="shared" si="79"/>
        <v>4.473811640082466E-4</v>
      </c>
      <c r="U401" s="39">
        <f t="shared" si="79"/>
        <v>1.2018413191522597E-3</v>
      </c>
      <c r="V401" s="39">
        <f t="shared" si="79"/>
        <v>2.9830667847737255E-3</v>
      </c>
      <c r="W401" s="37">
        <v>0.60199999999999998</v>
      </c>
    </row>
    <row r="402" spans="2:23" x14ac:dyDescent="0.25">
      <c r="B402" s="39">
        <f t="shared" si="78"/>
        <v>8.1240190076243967E-21</v>
      </c>
      <c r="C402" s="39">
        <f t="shared" si="78"/>
        <v>6.3321513056717029E-19</v>
      </c>
      <c r="D402" s="39">
        <f t="shared" si="78"/>
        <v>2.4183356215648133E-17</v>
      </c>
      <c r="E402" s="39">
        <f t="shared" si="78"/>
        <v>6.0318442811303452E-16</v>
      </c>
      <c r="F402" s="39">
        <f t="shared" si="78"/>
        <v>1.1049542831211075E-14</v>
      </c>
      <c r="G402" s="39">
        <f t="shared" si="78"/>
        <v>1.5851228371254801E-13</v>
      </c>
      <c r="H402" s="39">
        <f t="shared" si="78"/>
        <v>1.8542357568127863E-12</v>
      </c>
      <c r="I402" s="39">
        <f t="shared" si="78"/>
        <v>1.8184871738782822E-11</v>
      </c>
      <c r="J402" s="39">
        <f t="shared" si="78"/>
        <v>1.5257179431162606E-10</v>
      </c>
      <c r="K402" s="39">
        <f t="shared" si="78"/>
        <v>1.1120194646324703E-9</v>
      </c>
      <c r="L402" s="39">
        <f t="shared" si="79"/>
        <v>7.1257610460174797E-9</v>
      </c>
      <c r="M402" s="39">
        <f t="shared" si="79"/>
        <v>4.0532481197364394E-8</v>
      </c>
      <c r="N402" s="39">
        <f t="shared" si="79"/>
        <v>2.0627013160340023E-7</v>
      </c>
      <c r="O402" s="39">
        <f t="shared" si="79"/>
        <v>9.4527560526539268E-7</v>
      </c>
      <c r="P402" s="39">
        <f t="shared" si="79"/>
        <v>3.9223513219324374E-6</v>
      </c>
      <c r="Q402" s="39">
        <f t="shared" si="79"/>
        <v>1.4805436061006764E-5</v>
      </c>
      <c r="R402" s="39">
        <f t="shared" si="79"/>
        <v>5.1040861212080666E-5</v>
      </c>
      <c r="S402" s="39">
        <f t="shared" si="79"/>
        <v>1.6126560397423549E-4</v>
      </c>
      <c r="T402" s="39">
        <f t="shared" si="79"/>
        <v>4.6839314448810009E-4</v>
      </c>
      <c r="U402" s="39">
        <f t="shared" si="79"/>
        <v>1.2539830901526663E-3</v>
      </c>
      <c r="V402" s="39">
        <f t="shared" si="79"/>
        <v>3.1019363555105264E-3</v>
      </c>
      <c r="W402" s="37">
        <v>0.60099999999999998</v>
      </c>
    </row>
    <row r="403" spans="2:23" x14ac:dyDescent="0.25">
      <c r="B403" s="39">
        <f t="shared" ref="B403:K412" si="80">_xlfn.HYPGEOM.DIST(B$2,comau,tongtheN*$W403,tongtheN,TRUE)</f>
        <v>9.26733554801211E-21</v>
      </c>
      <c r="C403" s="39">
        <f t="shared" si="80"/>
        <v>7.1920190189773332E-19</v>
      </c>
      <c r="D403" s="39">
        <f t="shared" si="80"/>
        <v>2.734850792441273E-17</v>
      </c>
      <c r="E403" s="39">
        <f t="shared" si="80"/>
        <v>6.7918299478629549E-16</v>
      </c>
      <c r="F403" s="39">
        <f t="shared" si="80"/>
        <v>1.2388048387382109E-14</v>
      </c>
      <c r="G403" s="39">
        <f t="shared" si="80"/>
        <v>1.7694809872238378E-13</v>
      </c>
      <c r="H403" s="39">
        <f t="shared" si="80"/>
        <v>2.060986075535256E-12</v>
      </c>
      <c r="I403" s="39">
        <f t="shared" si="80"/>
        <v>2.0125676450016369E-11</v>
      </c>
      <c r="J403" s="39">
        <f t="shared" si="80"/>
        <v>1.6813106507304812E-10</v>
      </c>
      <c r="K403" s="39">
        <f t="shared" si="80"/>
        <v>1.2201781983316917E-9</v>
      </c>
      <c r="L403" s="39">
        <f t="shared" ref="L403:V412" si="81">_xlfn.HYPGEOM.DIST(L$2,comau,tongtheN*$W403,tongtheN,TRUE)</f>
        <v>7.7854444413577627E-9</v>
      </c>
      <c r="M403" s="39">
        <f t="shared" si="81"/>
        <v>4.4096208375999646E-8</v>
      </c>
      <c r="N403" s="39">
        <f t="shared" si="81"/>
        <v>2.234526504698287E-7</v>
      </c>
      <c r="O403" s="39">
        <f t="shared" si="81"/>
        <v>1.0196816696684857E-6</v>
      </c>
      <c r="P403" s="39">
        <f t="shared" si="81"/>
        <v>4.2132415164953381E-6</v>
      </c>
      <c r="Q403" s="39">
        <f t="shared" si="81"/>
        <v>1.5836618121485046E-5</v>
      </c>
      <c r="R403" s="39">
        <f t="shared" si="81"/>
        <v>5.4367510446096568E-5</v>
      </c>
      <c r="S403" s="39">
        <f t="shared" si="81"/>
        <v>1.7106203871826122E-4</v>
      </c>
      <c r="T403" s="39">
        <f t="shared" si="81"/>
        <v>4.9479441849176675E-4</v>
      </c>
      <c r="U403" s="39">
        <f t="shared" si="81"/>
        <v>1.3192353754719189E-3</v>
      </c>
      <c r="V403" s="39">
        <f t="shared" si="81"/>
        <v>3.2500971061990174E-3</v>
      </c>
      <c r="W403" s="37">
        <v>0.6</v>
      </c>
    </row>
    <row r="404" spans="2:23" x14ac:dyDescent="0.25">
      <c r="B404" s="39">
        <f t="shared" si="80"/>
        <v>1.0567898792512314E-20</v>
      </c>
      <c r="C404" s="39">
        <f t="shared" si="80"/>
        <v>8.1658616286127234E-19</v>
      </c>
      <c r="D404" s="39">
        <f t="shared" si="80"/>
        <v>3.0917487760865819E-17</v>
      </c>
      <c r="E404" s="39">
        <f t="shared" si="80"/>
        <v>7.645023743877305E-16</v>
      </c>
      <c r="F404" s="39">
        <f t="shared" si="80"/>
        <v>1.3884130670600717E-14</v>
      </c>
      <c r="G404" s="39">
        <f t="shared" si="80"/>
        <v>1.9746401640555681E-13</v>
      </c>
      <c r="H404" s="39">
        <f t="shared" si="80"/>
        <v>2.2900561663010559E-12</v>
      </c>
      <c r="I404" s="39">
        <f t="shared" si="80"/>
        <v>2.2266584034824339E-11</v>
      </c>
      <c r="J404" s="39">
        <f t="shared" si="80"/>
        <v>1.8521938997114926E-10</v>
      </c>
      <c r="K404" s="39">
        <f t="shared" si="80"/>
        <v>1.3384459408336113E-9</v>
      </c>
      <c r="L404" s="39">
        <f t="shared" si="81"/>
        <v>8.5036272612295996E-9</v>
      </c>
      <c r="M404" s="39">
        <f t="shared" si="81"/>
        <v>4.7958979186683953E-8</v>
      </c>
      <c r="N404" s="39">
        <f t="shared" si="81"/>
        <v>2.4199550707601012E-7</v>
      </c>
      <c r="O404" s="39">
        <f t="shared" si="81"/>
        <v>1.0996271191028324E-6</v>
      </c>
      <c r="P404" s="39">
        <f t="shared" si="81"/>
        <v>4.5244205916463989E-6</v>
      </c>
      <c r="Q404" s="39">
        <f t="shared" si="81"/>
        <v>1.6934897491361564E-5</v>
      </c>
      <c r="R404" s="39">
        <f t="shared" si="81"/>
        <v>5.7895123529860786E-5</v>
      </c>
      <c r="S404" s="39">
        <f t="shared" si="81"/>
        <v>1.81404852944765E-4</v>
      </c>
      <c r="T404" s="39">
        <f t="shared" si="81"/>
        <v>5.2254630951948733E-4</v>
      </c>
      <c r="U404" s="39">
        <f t="shared" si="81"/>
        <v>1.3875259440307313E-3</v>
      </c>
      <c r="V404" s="39">
        <f t="shared" si="81"/>
        <v>3.4044787846002002E-3</v>
      </c>
      <c r="W404" s="37">
        <v>0.59899999999999998</v>
      </c>
    </row>
    <row r="405" spans="2:23" x14ac:dyDescent="0.25">
      <c r="B405" s="39">
        <f t="shared" si="80"/>
        <v>1.2046835774194745E-20</v>
      </c>
      <c r="C405" s="39">
        <f t="shared" si="80"/>
        <v>9.2684181325051569E-19</v>
      </c>
      <c r="D405" s="39">
        <f t="shared" si="80"/>
        <v>3.4940490750010361E-17</v>
      </c>
      <c r="E405" s="39">
        <f t="shared" si="80"/>
        <v>8.6025449824064859E-16</v>
      </c>
      <c r="F405" s="39">
        <f t="shared" si="80"/>
        <v>1.5555802254198067E-14</v>
      </c>
      <c r="G405" s="39">
        <f t="shared" si="80"/>
        <v>2.2028747557546855E-13</v>
      </c>
      <c r="H405" s="39">
        <f t="shared" si="80"/>
        <v>2.5437758921272475E-12</v>
      </c>
      <c r="I405" s="39">
        <f t="shared" si="80"/>
        <v>2.4627493740119239E-11</v>
      </c>
      <c r="J405" s="39">
        <f t="shared" si="80"/>
        <v>2.0398129120318777E-10</v>
      </c>
      <c r="K405" s="39">
        <f t="shared" si="80"/>
        <v>1.4677284701656229E-9</v>
      </c>
      <c r="L405" s="39">
        <f t="shared" si="81"/>
        <v>9.2852640811335553E-9</v>
      </c>
      <c r="M405" s="39">
        <f t="shared" si="81"/>
        <v>5.214465593447564E-8</v>
      </c>
      <c r="N405" s="39">
        <f t="shared" si="81"/>
        <v>2.6200059269006537E-7</v>
      </c>
      <c r="O405" s="39">
        <f t="shared" si="81"/>
        <v>1.1854997630644181E-6</v>
      </c>
      <c r="P405" s="39">
        <f t="shared" si="81"/>
        <v>4.8572096704176537E-6</v>
      </c>
      <c r="Q405" s="39">
        <f t="shared" si="81"/>
        <v>1.8104314429457082E-5</v>
      </c>
      <c r="R405" s="39">
        <f t="shared" si="81"/>
        <v>6.1634813963969427E-5</v>
      </c>
      <c r="S405" s="39">
        <f t="shared" si="81"/>
        <v>1.9232156530171835E-4</v>
      </c>
      <c r="T405" s="39">
        <f t="shared" si="81"/>
        <v>5.5171013148053584E-4</v>
      </c>
      <c r="U405" s="39">
        <f t="shared" si="81"/>
        <v>1.4589774813885037E-3</v>
      </c>
      <c r="V405" s="39">
        <f t="shared" si="81"/>
        <v>3.5653009396964816E-3</v>
      </c>
      <c r="W405" s="37">
        <v>0.59799999999999998</v>
      </c>
    </row>
    <row r="406" spans="2:23" x14ac:dyDescent="0.25">
      <c r="B406" s="39">
        <f t="shared" si="80"/>
        <v>1.343269145000081E-20</v>
      </c>
      <c r="C406" s="39">
        <f t="shared" si="80"/>
        <v>1.0297451646129779E-18</v>
      </c>
      <c r="D406" s="39">
        <f t="shared" si="80"/>
        <v>3.8680213401173934E-17</v>
      </c>
      <c r="E406" s="39">
        <f t="shared" si="80"/>
        <v>9.4890840507451912E-16</v>
      </c>
      <c r="F406" s="39">
        <f t="shared" si="80"/>
        <v>1.7097363892528208E-14</v>
      </c>
      <c r="G406" s="39">
        <f t="shared" si="80"/>
        <v>2.4125040247702499E-13</v>
      </c>
      <c r="H406" s="39">
        <f t="shared" si="80"/>
        <v>2.7758812951152012E-12</v>
      </c>
      <c r="I406" s="39">
        <f t="shared" si="80"/>
        <v>2.6778645274647641E-11</v>
      </c>
      <c r="J406" s="39">
        <f t="shared" si="80"/>
        <v>2.2100793805992567E-10</v>
      </c>
      <c r="K406" s="39">
        <f t="shared" si="80"/>
        <v>1.5845849567344676E-9</v>
      </c>
      <c r="L406" s="39">
        <f t="shared" si="81"/>
        <v>9.9889498035033149E-9</v>
      </c>
      <c r="M406" s="39">
        <f t="shared" si="81"/>
        <v>5.5897842956288132E-8</v>
      </c>
      <c r="N406" s="39">
        <f t="shared" si="81"/>
        <v>2.7986693985811202E-7</v>
      </c>
      <c r="O406" s="39">
        <f t="shared" si="81"/>
        <v>1.2618852878122636E-6</v>
      </c>
      <c r="P406" s="39">
        <f t="shared" si="81"/>
        <v>5.1520495448274437E-6</v>
      </c>
      <c r="Q406" s="39">
        <f t="shared" si="81"/>
        <v>1.9136237910692213E-5</v>
      </c>
      <c r="R406" s="39">
        <f t="shared" si="81"/>
        <v>6.4921625278287952E-5</v>
      </c>
      <c r="S406" s="39">
        <f t="shared" si="81"/>
        <v>2.0187791500232051E-4</v>
      </c>
      <c r="T406" s="39">
        <f t="shared" si="81"/>
        <v>5.7713775031193544E-4</v>
      </c>
      <c r="U406" s="39">
        <f t="shared" si="81"/>
        <v>1.5210263633475118E-3</v>
      </c>
      <c r="V406" s="39">
        <f t="shared" si="81"/>
        <v>3.704401676213648E-3</v>
      </c>
      <c r="W406" s="37">
        <v>0.59699999999999998</v>
      </c>
    </row>
    <row r="407" spans="2:23" x14ac:dyDescent="0.25">
      <c r="B407" s="39">
        <f t="shared" si="80"/>
        <v>1.5302961428946701E-20</v>
      </c>
      <c r="C407" s="39">
        <f t="shared" si="80"/>
        <v>1.1680589374910497E-18</v>
      </c>
      <c r="D407" s="39">
        <f t="shared" si="80"/>
        <v>4.3686611560916504E-17</v>
      </c>
      <c r="E407" s="39">
        <f t="shared" si="80"/>
        <v>1.0671130175641988E-15</v>
      </c>
      <c r="F407" s="39">
        <f t="shared" si="80"/>
        <v>1.9144508220581239E-14</v>
      </c>
      <c r="G407" s="39">
        <f t="shared" si="80"/>
        <v>2.6897664266115906E-13</v>
      </c>
      <c r="H407" s="39">
        <f t="shared" si="80"/>
        <v>3.0816381999845012E-12</v>
      </c>
      <c r="I407" s="39">
        <f t="shared" si="80"/>
        <v>2.9601018597604892E-11</v>
      </c>
      <c r="J407" s="39">
        <f t="shared" si="80"/>
        <v>2.4325770574948618E-10</v>
      </c>
      <c r="K407" s="39">
        <f t="shared" si="80"/>
        <v>1.7366756160310728E-9</v>
      </c>
      <c r="L407" s="39">
        <f t="shared" si="81"/>
        <v>1.0901133465992435E-8</v>
      </c>
      <c r="M407" s="39">
        <f t="shared" si="81"/>
        <v>6.0743560041804394E-8</v>
      </c>
      <c r="N407" s="39">
        <f t="shared" si="81"/>
        <v>3.0284156219616137E-7</v>
      </c>
      <c r="O407" s="39">
        <f t="shared" si="81"/>
        <v>1.3597168317701285E-6</v>
      </c>
      <c r="P407" s="39">
        <f t="shared" si="81"/>
        <v>5.5281551029631695E-6</v>
      </c>
      <c r="Q407" s="39">
        <f t="shared" si="81"/>
        <v>2.044731185178776E-5</v>
      </c>
      <c r="R407" s="39">
        <f t="shared" si="81"/>
        <v>6.9080837528102097E-5</v>
      </c>
      <c r="S407" s="39">
        <f t="shared" si="81"/>
        <v>2.1392232209893885E-4</v>
      </c>
      <c r="T407" s="39">
        <f t="shared" si="81"/>
        <v>6.0905729067347951E-4</v>
      </c>
      <c r="U407" s="39">
        <f t="shared" si="81"/>
        <v>1.5986051355686892E-3</v>
      </c>
      <c r="V407" s="39">
        <f t="shared" si="81"/>
        <v>3.8776211987053525E-3</v>
      </c>
      <c r="W407" s="37">
        <v>0.59599999999999997</v>
      </c>
    </row>
    <row r="408" spans="2:23" x14ac:dyDescent="0.25">
      <c r="B408" s="39">
        <f t="shared" si="80"/>
        <v>1.7427725539198931E-20</v>
      </c>
      <c r="C408" s="39">
        <f t="shared" si="80"/>
        <v>1.3245071409791089E-18</v>
      </c>
      <c r="D408" s="39">
        <f t="shared" si="80"/>
        <v>4.9324669705533647E-17</v>
      </c>
      <c r="E408" s="39">
        <f t="shared" si="80"/>
        <v>1.1996502438924494E-15</v>
      </c>
      <c r="F408" s="39">
        <f t="shared" si="80"/>
        <v>2.1429851708148124E-14</v>
      </c>
      <c r="G408" s="39">
        <f t="shared" si="80"/>
        <v>2.9979389019666095E-13</v>
      </c>
      <c r="H408" s="39">
        <f t="shared" si="80"/>
        <v>3.4199983897100063E-12</v>
      </c>
      <c r="I408" s="39">
        <f t="shared" si="80"/>
        <v>3.2710713927026489E-11</v>
      </c>
      <c r="J408" s="39">
        <f t="shared" si="80"/>
        <v>2.6766555629804389E-10</v>
      </c>
      <c r="K408" s="39">
        <f t="shared" si="80"/>
        <v>1.9027901160942433E-9</v>
      </c>
      <c r="L408" s="39">
        <f t="shared" si="81"/>
        <v>1.1893080563790339E-8</v>
      </c>
      <c r="M408" s="39">
        <f t="shared" si="81"/>
        <v>6.5990012842335145E-8</v>
      </c>
      <c r="N408" s="39">
        <f t="shared" si="81"/>
        <v>3.2760767597520686E-7</v>
      </c>
      <c r="O408" s="39">
        <f t="shared" si="81"/>
        <v>1.4647171051494427E-6</v>
      </c>
      <c r="P408" s="39">
        <f t="shared" si="81"/>
        <v>5.9300602659084585E-6</v>
      </c>
      <c r="Q408" s="39">
        <f t="shared" si="81"/>
        <v>2.1842213546595885E-5</v>
      </c>
      <c r="R408" s="39">
        <f t="shared" si="81"/>
        <v>7.3486694085201824E-5</v>
      </c>
      <c r="S408" s="39">
        <f t="shared" si="81"/>
        <v>2.2662536661193096E-4</v>
      </c>
      <c r="T408" s="39">
        <f t="shared" si="81"/>
        <v>6.425756240495573E-4</v>
      </c>
      <c r="U408" s="39">
        <f t="shared" si="81"/>
        <v>1.6797147527920467E-3</v>
      </c>
      <c r="V408" s="39">
        <f t="shared" si="81"/>
        <v>4.0579355185050986E-3</v>
      </c>
      <c r="W408" s="37">
        <v>0.59499999999999997</v>
      </c>
    </row>
    <row r="409" spans="2:23" x14ac:dyDescent="0.25">
      <c r="B409" s="39">
        <f t="shared" si="80"/>
        <v>1.9840814074151514E-20</v>
      </c>
      <c r="C409" s="39">
        <f t="shared" si="80"/>
        <v>1.5014094566531309E-18</v>
      </c>
      <c r="D409" s="39">
        <f t="shared" si="80"/>
        <v>5.5672030226465762E-17</v>
      </c>
      <c r="E409" s="39">
        <f t="shared" si="80"/>
        <v>1.3482104340871706E-15</v>
      </c>
      <c r="F409" s="39">
        <f t="shared" si="80"/>
        <v>2.3980304446785284E-14</v>
      </c>
      <c r="G409" s="39">
        <f t="shared" si="80"/>
        <v>3.3403604954722964E-13</v>
      </c>
      <c r="H409" s="39">
        <f t="shared" si="80"/>
        <v>3.7943229566651524E-12</v>
      </c>
      <c r="I409" s="39">
        <f t="shared" si="80"/>
        <v>3.6135937771495878E-11</v>
      </c>
      <c r="J409" s="39">
        <f t="shared" si="80"/>
        <v>2.9443275796075663E-10</v>
      </c>
      <c r="K409" s="39">
        <f t="shared" si="80"/>
        <v>2.0841676816199673E-9</v>
      </c>
      <c r="L409" s="39">
        <f t="shared" si="81"/>
        <v>1.2971449567942048E-8</v>
      </c>
      <c r="M409" s="39">
        <f t="shared" si="81"/>
        <v>7.1668697933817631E-8</v>
      </c>
      <c r="N409" s="39">
        <f t="shared" si="81"/>
        <v>3.5429735061692412E-7</v>
      </c>
      <c r="O409" s="39">
        <f t="shared" si="81"/>
        <v>1.5773796390610608E-6</v>
      </c>
      <c r="P409" s="39">
        <f t="shared" si="81"/>
        <v>6.3594153481716705E-6</v>
      </c>
      <c r="Q409" s="39">
        <f t="shared" si="81"/>
        <v>2.3325895555309023E-5</v>
      </c>
      <c r="R409" s="39">
        <f t="shared" si="81"/>
        <v>7.8152557863158385E-5</v>
      </c>
      <c r="S409" s="39">
        <f t="shared" si="81"/>
        <v>2.4001948895747659E-4</v>
      </c>
      <c r="T409" s="39">
        <f t="shared" si="81"/>
        <v>6.7776356578581171E-4</v>
      </c>
      <c r="U409" s="39">
        <f t="shared" si="81"/>
        <v>1.764493905526418E-3</v>
      </c>
      <c r="V409" s="39">
        <f t="shared" si="81"/>
        <v>4.2455872064954096E-3</v>
      </c>
      <c r="W409" s="37">
        <v>0.59399999999999997</v>
      </c>
    </row>
    <row r="410" spans="2:23" x14ac:dyDescent="0.25">
      <c r="B410" s="39">
        <f t="shared" si="80"/>
        <v>2.2099399542201088E-20</v>
      </c>
      <c r="C410" s="39">
        <f t="shared" si="80"/>
        <v>1.6663255126297565E-18</v>
      </c>
      <c r="D410" s="39">
        <f t="shared" si="80"/>
        <v>6.1565740393523692E-17</v>
      </c>
      <c r="E410" s="39">
        <f t="shared" si="80"/>
        <v>1.4856033305327774E-15</v>
      </c>
      <c r="F410" s="39">
        <f t="shared" si="80"/>
        <v>2.6329641744152499E-14</v>
      </c>
      <c r="G410" s="39">
        <f t="shared" si="80"/>
        <v>3.6545238564928066E-13</v>
      </c>
      <c r="H410" s="39">
        <f t="shared" si="80"/>
        <v>4.1363882836125978E-12</v>
      </c>
      <c r="I410" s="39">
        <f t="shared" si="80"/>
        <v>3.9253506606882254E-11</v>
      </c>
      <c r="J410" s="39">
        <f t="shared" si="80"/>
        <v>3.1869866154551746E-10</v>
      </c>
      <c r="K410" s="39">
        <f t="shared" si="80"/>
        <v>2.2479411339635284E-9</v>
      </c>
      <c r="L410" s="39">
        <f t="shared" si="81"/>
        <v>1.3941275528039574E-8</v>
      </c>
      <c r="M410" s="39">
        <f t="shared" si="81"/>
        <v>7.6755451537829747E-8</v>
      </c>
      <c r="N410" s="39">
        <f t="shared" si="81"/>
        <v>3.7810972684649455E-7</v>
      </c>
      <c r="O410" s="39">
        <f t="shared" si="81"/>
        <v>1.6774961127161713E-6</v>
      </c>
      <c r="P410" s="39">
        <f t="shared" si="81"/>
        <v>6.7394377893949172E-6</v>
      </c>
      <c r="Q410" s="39">
        <f t="shared" si="81"/>
        <v>2.4633872545688645E-5</v>
      </c>
      <c r="R410" s="39">
        <f t="shared" si="81"/>
        <v>8.2249482722169371E-5</v>
      </c>
      <c r="S410" s="39">
        <f t="shared" si="81"/>
        <v>2.5173353444753568E-4</v>
      </c>
      <c r="T410" s="39">
        <f t="shared" si="81"/>
        <v>7.0841517223906882E-4</v>
      </c>
      <c r="U410" s="39">
        <f t="shared" si="81"/>
        <v>1.8380494155428922E-3</v>
      </c>
      <c r="V410" s="39">
        <f t="shared" si="81"/>
        <v>4.4077478305403319E-3</v>
      </c>
      <c r="W410" s="37">
        <v>0.59299999999999997</v>
      </c>
    </row>
    <row r="411" spans="2:23" x14ac:dyDescent="0.25">
      <c r="B411" s="39">
        <f t="shared" si="80"/>
        <v>2.5143904394709561E-20</v>
      </c>
      <c r="C411" s="39">
        <f t="shared" si="80"/>
        <v>1.8877362143111164E-18</v>
      </c>
      <c r="D411" s="39">
        <f t="shared" si="80"/>
        <v>6.9446724080438448E-17</v>
      </c>
      <c r="E411" s="39">
        <f t="shared" si="80"/>
        <v>1.6685870182131659E-15</v>
      </c>
      <c r="F411" s="39">
        <f t="shared" si="80"/>
        <v>2.9446021466047783E-14</v>
      </c>
      <c r="G411" s="39">
        <f t="shared" si="80"/>
        <v>4.0695905514772642E-13</v>
      </c>
      <c r="H411" s="39">
        <f t="shared" si="80"/>
        <v>4.5865092254904631E-12</v>
      </c>
      <c r="I411" s="39">
        <f t="shared" si="80"/>
        <v>4.3339470107024899E-11</v>
      </c>
      <c r="J411" s="39">
        <f t="shared" si="80"/>
        <v>3.5037490124717036E-10</v>
      </c>
      <c r="K411" s="39">
        <f t="shared" si="80"/>
        <v>2.4608725943691789E-9</v>
      </c>
      <c r="L411" s="39">
        <f t="shared" si="81"/>
        <v>1.5197160208446168E-8</v>
      </c>
      <c r="M411" s="39">
        <f t="shared" si="81"/>
        <v>8.3316250666475047E-8</v>
      </c>
      <c r="N411" s="39">
        <f t="shared" si="81"/>
        <v>4.0869971505938879E-7</v>
      </c>
      <c r="O411" s="39">
        <f t="shared" si="81"/>
        <v>1.8055943354137267E-6</v>
      </c>
      <c r="P411" s="39">
        <f t="shared" si="81"/>
        <v>7.2237308435442535E-6</v>
      </c>
      <c r="Q411" s="39">
        <f t="shared" si="81"/>
        <v>2.6294074758566372E-5</v>
      </c>
      <c r="R411" s="39">
        <f t="shared" si="81"/>
        <v>8.7428903807761465E-5</v>
      </c>
      <c r="S411" s="39">
        <f t="shared" si="81"/>
        <v>2.664835648263603E-4</v>
      </c>
      <c r="T411" s="39">
        <f t="shared" si="81"/>
        <v>7.4685686337087236E-4</v>
      </c>
      <c r="U411" s="39">
        <f t="shared" si="81"/>
        <v>1.92993092873113E-3</v>
      </c>
      <c r="V411" s="39">
        <f t="shared" si="81"/>
        <v>4.6095019756042929E-3</v>
      </c>
      <c r="W411" s="37">
        <v>0.59199999999999997</v>
      </c>
    </row>
    <row r="412" spans="2:23" x14ac:dyDescent="0.25">
      <c r="B412" s="39">
        <f t="shared" si="80"/>
        <v>2.8598327734161096E-20</v>
      </c>
      <c r="C412" s="39">
        <f t="shared" si="80"/>
        <v>2.1378643360181108E-18</v>
      </c>
      <c r="D412" s="39">
        <f t="shared" si="80"/>
        <v>7.8311129953363902E-17</v>
      </c>
      <c r="E412" s="39">
        <f t="shared" si="80"/>
        <v>1.8735083340135506E-15</v>
      </c>
      <c r="F412" s="39">
        <f t="shared" si="80"/>
        <v>3.292083056742543E-14</v>
      </c>
      <c r="G412" s="39">
        <f t="shared" si="80"/>
        <v>4.5303821499899344E-13</v>
      </c>
      <c r="H412" s="39">
        <f t="shared" si="80"/>
        <v>5.0840426157717236E-12</v>
      </c>
      <c r="I412" s="39">
        <f t="shared" si="80"/>
        <v>4.7836172103930359E-11</v>
      </c>
      <c r="J412" s="39">
        <f t="shared" si="80"/>
        <v>3.8508374278618113E-10</v>
      </c>
      <c r="K412" s="39">
        <f t="shared" si="80"/>
        <v>2.69317487104053E-9</v>
      </c>
      <c r="L412" s="39">
        <f t="shared" si="81"/>
        <v>1.6561337427981174E-8</v>
      </c>
      <c r="M412" s="39">
        <f t="shared" si="81"/>
        <v>9.0411790277360643E-8</v>
      </c>
      <c r="N412" s="39">
        <f t="shared" si="81"/>
        <v>4.4163913257341087E-7</v>
      </c>
      <c r="O412" s="39">
        <f t="shared" si="81"/>
        <v>1.9429314399543938E-6</v>
      </c>
      <c r="P412" s="39">
        <f t="shared" si="81"/>
        <v>7.7406962228052449E-6</v>
      </c>
      <c r="Q412" s="39">
        <f t="shared" si="81"/>
        <v>2.8058579797593018E-5</v>
      </c>
      <c r="R412" s="39">
        <f t="shared" si="81"/>
        <v>9.2909806456201245E-5</v>
      </c>
      <c r="S412" s="39">
        <f t="shared" si="81"/>
        <v>2.8202435129291481E-4</v>
      </c>
      <c r="T412" s="39">
        <f t="shared" si="81"/>
        <v>7.8718350269503404E-4</v>
      </c>
      <c r="U412" s="39">
        <f t="shared" si="81"/>
        <v>2.0258991419507197E-3</v>
      </c>
      <c r="V412" s="39">
        <f t="shared" si="81"/>
        <v>4.8193146482851173E-3</v>
      </c>
      <c r="W412" s="37">
        <v>0.59099999999999997</v>
      </c>
    </row>
    <row r="413" spans="2:23" x14ac:dyDescent="0.25">
      <c r="B413" s="39">
        <f t="shared" ref="B413:K422" si="82">_xlfn.HYPGEOM.DIST(B$2,comau,tongtheN*$W413,tongtheN,TRUE)</f>
        <v>3.2516588982582622E-20</v>
      </c>
      <c r="C413" s="39">
        <f t="shared" si="82"/>
        <v>2.4203438576819425E-18</v>
      </c>
      <c r="D413" s="39">
        <f t="shared" si="82"/>
        <v>8.8278508673991353E-17</v>
      </c>
      <c r="E413" s="39">
        <f t="shared" si="82"/>
        <v>2.1029253385113213E-15</v>
      </c>
      <c r="F413" s="39">
        <f t="shared" si="82"/>
        <v>3.6794092099188722E-14</v>
      </c>
      <c r="G413" s="39">
        <f t="shared" si="82"/>
        <v>5.0417790466373828E-13</v>
      </c>
      <c r="H413" s="39">
        <f t="shared" si="82"/>
        <v>5.6338159768296945E-12</v>
      </c>
      <c r="I413" s="39">
        <f t="shared" si="82"/>
        <v>5.2783420897428494E-11</v>
      </c>
      <c r="J413" s="39">
        <f t="shared" si="82"/>
        <v>4.2310427621129546E-10</v>
      </c>
      <c r="K413" s="39">
        <f t="shared" si="82"/>
        <v>2.9465361569897345E-9</v>
      </c>
      <c r="L413" s="39">
        <f t="shared" ref="L413:V422" si="83">_xlfn.HYPGEOM.DIST(L$2,comau,tongtheN*$W413,tongtheN,TRUE)</f>
        <v>1.8042717646512403E-8</v>
      </c>
      <c r="M413" s="39">
        <f t="shared" si="83"/>
        <v>9.8083468769847079E-8</v>
      </c>
      <c r="N413" s="39">
        <f t="shared" si="83"/>
        <v>4.7709844858935921E-7</v>
      </c>
      <c r="O413" s="39">
        <f t="shared" si="83"/>
        <v>2.0901328792489617E-6</v>
      </c>
      <c r="P413" s="39">
        <f t="shared" si="83"/>
        <v>8.292386862307154E-6</v>
      </c>
      <c r="Q413" s="39">
        <f t="shared" si="83"/>
        <v>2.9933433134494098E-5</v>
      </c>
      <c r="R413" s="39">
        <f t="shared" si="83"/>
        <v>9.8708190567362188E-5</v>
      </c>
      <c r="S413" s="39">
        <f t="shared" si="83"/>
        <v>2.9839397276627279E-4</v>
      </c>
      <c r="T413" s="39">
        <f t="shared" si="83"/>
        <v>8.2947652086290218E-4</v>
      </c>
      <c r="U413" s="39">
        <f t="shared" si="83"/>
        <v>2.1261101230739482E-3</v>
      </c>
      <c r="V413" s="39">
        <f t="shared" si="83"/>
        <v>5.0374525498379187E-3</v>
      </c>
      <c r="W413" s="37">
        <v>0.59</v>
      </c>
    </row>
    <row r="414" spans="2:23" x14ac:dyDescent="0.25">
      <c r="B414" s="39">
        <f t="shared" si="82"/>
        <v>3.6959533433925369E-20</v>
      </c>
      <c r="C414" s="39">
        <f t="shared" si="82"/>
        <v>2.7392571739927971E-18</v>
      </c>
      <c r="D414" s="39">
        <f t="shared" si="82"/>
        <v>9.9482560108186935E-17</v>
      </c>
      <c r="E414" s="39">
        <f t="shared" si="82"/>
        <v>2.3596859767438112E-15</v>
      </c>
      <c r="F414" s="39">
        <f t="shared" si="82"/>
        <v>4.111016359433578E-14</v>
      </c>
      <c r="G414" s="39">
        <f t="shared" si="82"/>
        <v>5.6091657044915988E-13</v>
      </c>
      <c r="H414" s="39">
        <f t="shared" si="82"/>
        <v>6.2411312506866718E-12</v>
      </c>
      <c r="I414" s="39">
        <f t="shared" si="82"/>
        <v>5.8224737537897142E-11</v>
      </c>
      <c r="J414" s="39">
        <f t="shared" si="82"/>
        <v>4.6474022310896628E-10</v>
      </c>
      <c r="K414" s="39">
        <f t="shared" si="82"/>
        <v>3.2227851748780793E-9</v>
      </c>
      <c r="L414" s="39">
        <f t="shared" si="83"/>
        <v>1.9650908292100449E-8</v>
      </c>
      <c r="M414" s="39">
        <f t="shared" si="83"/>
        <v>1.0637571407764663E-7</v>
      </c>
      <c r="N414" s="39">
        <f t="shared" si="83"/>
        <v>5.1525974427089082E-7</v>
      </c>
      <c r="O414" s="39">
        <f t="shared" si="83"/>
        <v>2.2478635236343663E-6</v>
      </c>
      <c r="P414" s="39">
        <f t="shared" si="83"/>
        <v>8.8809745221358275E-6</v>
      </c>
      <c r="Q414" s="39">
        <f t="shared" si="83"/>
        <v>3.192499868480973E-5</v>
      </c>
      <c r="R414" s="39">
        <f t="shared" si="83"/>
        <v>1.0484081411713539E-4</v>
      </c>
      <c r="S414" s="39">
        <f t="shared" si="83"/>
        <v>3.1563210597027779E-4</v>
      </c>
      <c r="T414" s="39">
        <f t="shared" si="83"/>
        <v>8.7382030945393381E-4</v>
      </c>
      <c r="U414" s="39">
        <f t="shared" si="83"/>
        <v>2.2307246995159459E-3</v>
      </c>
      <c r="V414" s="39">
        <f t="shared" si="83"/>
        <v>5.2641888407603792E-3</v>
      </c>
      <c r="W414" s="37">
        <v>0.58899999999999997</v>
      </c>
    </row>
    <row r="415" spans="2:23" x14ac:dyDescent="0.25">
      <c r="B415" s="39">
        <f t="shared" si="82"/>
        <v>4.1112050585227028E-20</v>
      </c>
      <c r="C415" s="39">
        <f t="shared" si="82"/>
        <v>3.0361408432191968E-18</v>
      </c>
      <c r="D415" s="39">
        <f t="shared" si="82"/>
        <v>1.0987127619404678E-16</v>
      </c>
      <c r="E415" s="39">
        <f t="shared" si="82"/>
        <v>2.5968170042576397E-15</v>
      </c>
      <c r="F415" s="39">
        <f t="shared" si="82"/>
        <v>4.5080449148471792E-14</v>
      </c>
      <c r="G415" s="39">
        <f t="shared" si="82"/>
        <v>6.1290245439959621E-13</v>
      </c>
      <c r="H415" s="39">
        <f t="shared" si="82"/>
        <v>6.7953659864774303E-12</v>
      </c>
      <c r="I415" s="39">
        <f t="shared" si="82"/>
        <v>6.3170767951489428E-11</v>
      </c>
      <c r="J415" s="39">
        <f t="shared" si="82"/>
        <v>5.0243615619429661E-10</v>
      </c>
      <c r="K415" s="39">
        <f t="shared" si="82"/>
        <v>3.4719002931673219E-9</v>
      </c>
      <c r="L415" s="39">
        <f t="shared" si="83"/>
        <v>2.1095383809301065E-8</v>
      </c>
      <c r="M415" s="39">
        <f t="shared" si="83"/>
        <v>1.1379424869257654E-7</v>
      </c>
      <c r="N415" s="39">
        <f t="shared" si="83"/>
        <v>5.4926471857748599E-7</v>
      </c>
      <c r="O415" s="39">
        <f t="shared" si="83"/>
        <v>2.3878573196977827E-6</v>
      </c>
      <c r="P415" s="39">
        <f t="shared" si="83"/>
        <v>9.4013025951860672E-6</v>
      </c>
      <c r="Q415" s="39">
        <f t="shared" si="83"/>
        <v>3.3678613164184376E-5</v>
      </c>
      <c r="R415" s="39">
        <f t="shared" si="83"/>
        <v>1.1021929036124089E-4</v>
      </c>
      <c r="S415" s="39">
        <f t="shared" si="83"/>
        <v>3.3069042971706967E-4</v>
      </c>
      <c r="T415" s="39">
        <f t="shared" si="83"/>
        <v>9.124030133695354E-4</v>
      </c>
      <c r="U415" s="39">
        <f t="shared" si="83"/>
        <v>2.3213867529006658E-3</v>
      </c>
      <c r="V415" s="39">
        <f t="shared" si="83"/>
        <v>5.4599055432806055E-3</v>
      </c>
      <c r="W415" s="37">
        <v>0.58799999999999997</v>
      </c>
    </row>
    <row r="416" spans="2:23" x14ac:dyDescent="0.25">
      <c r="B416" s="39">
        <f t="shared" si="82"/>
        <v>4.6701480566453747E-20</v>
      </c>
      <c r="C416" s="39">
        <f t="shared" si="82"/>
        <v>3.4341609307446982E-18</v>
      </c>
      <c r="D416" s="39">
        <f t="shared" si="82"/>
        <v>1.2374342050310533E-16</v>
      </c>
      <c r="E416" s="39">
        <f t="shared" si="82"/>
        <v>2.9121965935221473E-15</v>
      </c>
      <c r="F416" s="39">
        <f t="shared" si="82"/>
        <v>5.0339784502066242E-14</v>
      </c>
      <c r="G416" s="39">
        <f t="shared" si="82"/>
        <v>6.8149215598979787E-13</v>
      </c>
      <c r="H416" s="39">
        <f t="shared" si="82"/>
        <v>7.5237023963156213E-12</v>
      </c>
      <c r="I416" s="39">
        <f t="shared" si="82"/>
        <v>6.9644583197339038E-11</v>
      </c>
      <c r="J416" s="39">
        <f t="shared" si="82"/>
        <v>5.5157938568359966E-10</v>
      </c>
      <c r="K416" s="39">
        <f t="shared" si="82"/>
        <v>3.7953713254949219E-9</v>
      </c>
      <c r="L416" s="39">
        <f t="shared" si="83"/>
        <v>2.2963535110282056E-8</v>
      </c>
      <c r="M416" s="39">
        <f t="shared" si="83"/>
        <v>1.2335048712656607E-7</v>
      </c>
      <c r="N416" s="39">
        <f t="shared" si="83"/>
        <v>5.928940667878724E-7</v>
      </c>
      <c r="O416" s="39">
        <f t="shared" si="83"/>
        <v>2.5667583837822926E-6</v>
      </c>
      <c r="P416" s="39">
        <f t="shared" si="83"/>
        <v>1.006359486523332E-5</v>
      </c>
      <c r="Q416" s="39">
        <f t="shared" si="83"/>
        <v>3.5901796508208572E-5</v>
      </c>
      <c r="R416" s="39">
        <f t="shared" si="83"/>
        <v>1.1701085087745434E-4</v>
      </c>
      <c r="S416" s="39">
        <f t="shared" si="83"/>
        <v>3.4962940799947167E-4</v>
      </c>
      <c r="T416" s="39">
        <f t="shared" si="83"/>
        <v>9.6073588564952539E-4</v>
      </c>
      <c r="U416" s="39">
        <f t="shared" si="83"/>
        <v>2.4345084615366055E-3</v>
      </c>
      <c r="V416" s="39">
        <f t="shared" si="83"/>
        <v>5.7031366900310403E-3</v>
      </c>
      <c r="W416" s="37">
        <v>0.58699999999999997</v>
      </c>
    </row>
    <row r="417" spans="2:23" x14ac:dyDescent="0.25">
      <c r="B417" s="39">
        <f t="shared" si="82"/>
        <v>5.3033631798623739E-20</v>
      </c>
      <c r="C417" s="39">
        <f t="shared" si="82"/>
        <v>3.8831143542954691E-18</v>
      </c>
      <c r="D417" s="39">
        <f t="shared" si="82"/>
        <v>1.3932289063439695E-16</v>
      </c>
      <c r="E417" s="39">
        <f t="shared" si="82"/>
        <v>3.2648561894059612E-15</v>
      </c>
      <c r="F417" s="39">
        <f t="shared" si="82"/>
        <v>5.6195315336415117E-14</v>
      </c>
      <c r="G417" s="39">
        <f t="shared" si="82"/>
        <v>7.5752615908807456E-13</v>
      </c>
      <c r="H417" s="39">
        <f t="shared" si="82"/>
        <v>8.3275889155878966E-12</v>
      </c>
      <c r="I417" s="39">
        <f t="shared" si="82"/>
        <v>7.6758963141275137E-11</v>
      </c>
      <c r="J417" s="39">
        <f t="shared" si="82"/>
        <v>6.0535120402850643E-10</v>
      </c>
      <c r="K417" s="39">
        <f t="shared" si="82"/>
        <v>4.1477754202386451E-9</v>
      </c>
      <c r="L417" s="39">
        <f t="shared" si="83"/>
        <v>2.4989968652791855E-8</v>
      </c>
      <c r="M417" s="39">
        <f t="shared" si="83"/>
        <v>1.3367149972605702E-7</v>
      </c>
      <c r="N417" s="39">
        <f t="shared" si="83"/>
        <v>6.3981096723392697E-7</v>
      </c>
      <c r="O417" s="39">
        <f t="shared" si="83"/>
        <v>2.7583069970287265E-6</v>
      </c>
      <c r="P417" s="39">
        <f t="shared" si="83"/>
        <v>1.0769638461952398E-5</v>
      </c>
      <c r="Q417" s="39">
        <f t="shared" si="83"/>
        <v>3.8261585111481447E-5</v>
      </c>
      <c r="R417" s="39">
        <f t="shared" si="83"/>
        <v>1.2418852312279718E-4</v>
      </c>
      <c r="S417" s="39">
        <f t="shared" si="83"/>
        <v>3.6955847950006159E-4</v>
      </c>
      <c r="T417" s="39">
        <f t="shared" si="83"/>
        <v>1.0113754354592597E-3</v>
      </c>
      <c r="U417" s="39">
        <f t="shared" si="83"/>
        <v>2.5525161056885364E-3</v>
      </c>
      <c r="V417" s="39">
        <f t="shared" si="83"/>
        <v>5.9557757893865942E-3</v>
      </c>
      <c r="W417" s="37">
        <v>0.58599999999999997</v>
      </c>
    </row>
    <row r="418" spans="2:23" x14ac:dyDescent="0.25">
      <c r="B418" s="39">
        <f t="shared" si="82"/>
        <v>6.0204924098003596E-20</v>
      </c>
      <c r="C418" s="39">
        <f t="shared" si="82"/>
        <v>4.3893601957355599E-18</v>
      </c>
      <c r="D418" s="39">
        <f t="shared" si="82"/>
        <v>1.5681439431205011E-16</v>
      </c>
      <c r="E418" s="39">
        <f t="shared" si="82"/>
        <v>3.6590816743656525E-15</v>
      </c>
      <c r="F418" s="39">
        <f t="shared" si="82"/>
        <v>6.2712650204762474E-14</v>
      </c>
      <c r="G418" s="39">
        <f t="shared" si="82"/>
        <v>8.4178716478099817E-13</v>
      </c>
      <c r="H418" s="39">
        <f t="shared" si="82"/>
        <v>9.2145994766060435E-12</v>
      </c>
      <c r="I418" s="39">
        <f t="shared" si="82"/>
        <v>8.4575000138539443E-11</v>
      </c>
      <c r="J418" s="39">
        <f t="shared" si="82"/>
        <v>6.6417052739024235E-10</v>
      </c>
      <c r="K418" s="39">
        <f t="shared" si="82"/>
        <v>4.5315906824447383E-9</v>
      </c>
      <c r="L418" s="39">
        <f t="shared" si="83"/>
        <v>2.7187473768421139E-8</v>
      </c>
      <c r="M418" s="39">
        <f t="shared" si="83"/>
        <v>1.4481537683780768E-7</v>
      </c>
      <c r="N418" s="39">
        <f t="shared" si="83"/>
        <v>6.9024922036973561E-7</v>
      </c>
      <c r="O418" s="39">
        <f t="shared" si="83"/>
        <v>2.9633413797043802E-6</v>
      </c>
      <c r="P418" s="39">
        <f t="shared" si="83"/>
        <v>1.1522120955093766E-5</v>
      </c>
      <c r="Q418" s="39">
        <f t="shared" si="83"/>
        <v>4.0765706740927581E-5</v>
      </c>
      <c r="R418" s="39">
        <f t="shared" si="83"/>
        <v>1.3177226636375725E-4</v>
      </c>
      <c r="S418" s="39">
        <f t="shared" si="83"/>
        <v>3.905239676642566E-4</v>
      </c>
      <c r="T418" s="39">
        <f t="shared" si="83"/>
        <v>1.0644181698229946E-3</v>
      </c>
      <c r="U418" s="39">
        <f t="shared" si="83"/>
        <v>2.6755896194157586E-3</v>
      </c>
      <c r="V418" s="39">
        <f t="shared" si="83"/>
        <v>6.218121309430228E-3</v>
      </c>
      <c r="W418" s="37">
        <v>0.58499999999999996</v>
      </c>
    </row>
    <row r="419" spans="2:23" x14ac:dyDescent="0.25">
      <c r="B419" s="39">
        <f t="shared" si="82"/>
        <v>6.689999097611504E-20</v>
      </c>
      <c r="C419" s="39">
        <f t="shared" si="82"/>
        <v>4.8601177352417686E-18</v>
      </c>
      <c r="D419" s="39">
        <f t="shared" si="82"/>
        <v>1.7301537470614512E-16</v>
      </c>
      <c r="E419" s="39">
        <f t="shared" si="82"/>
        <v>4.0227765619464402E-15</v>
      </c>
      <c r="F419" s="39">
        <f t="shared" si="82"/>
        <v>6.8701465232906381E-14</v>
      </c>
      <c r="G419" s="39">
        <f t="shared" si="82"/>
        <v>9.1890873768009702E-13</v>
      </c>
      <c r="H419" s="39">
        <f t="shared" si="82"/>
        <v>1.0023241711432173E-11</v>
      </c>
      <c r="I419" s="39">
        <f t="shared" si="82"/>
        <v>9.1672291565209749E-11</v>
      </c>
      <c r="J419" s="39">
        <f t="shared" si="82"/>
        <v>7.1736965010352121E-10</v>
      </c>
      <c r="K419" s="39">
        <f t="shared" si="82"/>
        <v>4.8773589330341673E-9</v>
      </c>
      <c r="L419" s="39">
        <f t="shared" si="83"/>
        <v>2.9159311644430958E-8</v>
      </c>
      <c r="M419" s="39">
        <f t="shared" si="83"/>
        <v>1.5477530193222195E-7</v>
      </c>
      <c r="N419" s="39">
        <f t="shared" si="83"/>
        <v>7.3515045197480682E-7</v>
      </c>
      <c r="O419" s="39">
        <f t="shared" si="83"/>
        <v>3.1451453571071885E-6</v>
      </c>
      <c r="P419" s="39">
        <f t="shared" si="83"/>
        <v>1.2186707529770342E-5</v>
      </c>
      <c r="Q419" s="39">
        <f t="shared" si="83"/>
        <v>4.2968577765335513E-5</v>
      </c>
      <c r="R419" s="39">
        <f t="shared" si="83"/>
        <v>1.3841727834111386E-4</v>
      </c>
      <c r="S419" s="39">
        <f t="shared" si="83"/>
        <v>4.0882163092365823E-4</v>
      </c>
      <c r="T419" s="39">
        <f t="shared" si="83"/>
        <v>1.1105281640871121E-3</v>
      </c>
      <c r="U419" s="39">
        <f t="shared" si="83"/>
        <v>2.7821540537764792E-3</v>
      </c>
      <c r="V419" s="39">
        <f t="shared" si="83"/>
        <v>6.4443771837701357E-3</v>
      </c>
      <c r="W419" s="37">
        <v>0.58399999999999996</v>
      </c>
    </row>
    <row r="420" spans="2:23" x14ac:dyDescent="0.25">
      <c r="B420" s="39">
        <f t="shared" si="82"/>
        <v>7.5901740511060397E-20</v>
      </c>
      <c r="C420" s="39">
        <f t="shared" si="82"/>
        <v>5.4905481973510481E-18</v>
      </c>
      <c r="D420" s="39">
        <f t="shared" si="82"/>
        <v>1.9462511419432777E-16</v>
      </c>
      <c r="E420" s="39">
        <f t="shared" si="82"/>
        <v>4.5059623911928823E-15</v>
      </c>
      <c r="F420" s="39">
        <f t="shared" si="82"/>
        <v>7.6626242737625606E-14</v>
      </c>
      <c r="G420" s="39">
        <f t="shared" si="82"/>
        <v>1.0205550599280328E-12</v>
      </c>
      <c r="H420" s="39">
        <f t="shared" si="82"/>
        <v>1.1084796103382994E-11</v>
      </c>
      <c r="I420" s="39">
        <f t="shared" si="82"/>
        <v>1.0095231206084016E-10</v>
      </c>
      <c r="J420" s="39">
        <f t="shared" si="82"/>
        <v>7.8665344368819092E-10</v>
      </c>
      <c r="K420" s="39">
        <f t="shared" si="82"/>
        <v>5.3258807966305402E-9</v>
      </c>
      <c r="L420" s="39">
        <f t="shared" si="83"/>
        <v>3.1706971543165987E-8</v>
      </c>
      <c r="M420" s="39">
        <f t="shared" si="83"/>
        <v>1.6759265903252828E-7</v>
      </c>
      <c r="N420" s="39">
        <f t="shared" si="83"/>
        <v>7.9270415271642351E-7</v>
      </c>
      <c r="O420" s="39">
        <f t="shared" si="83"/>
        <v>3.3772540429519801E-6</v>
      </c>
      <c r="P420" s="39">
        <f t="shared" si="83"/>
        <v>1.3031817081588749E-5</v>
      </c>
      <c r="Q420" s="39">
        <f t="shared" si="83"/>
        <v>4.575870734138996E-5</v>
      </c>
      <c r="R420" s="39">
        <f t="shared" si="83"/>
        <v>1.4680039186581434E-4</v>
      </c>
      <c r="S420" s="39">
        <f t="shared" si="83"/>
        <v>4.3181379806545662E-4</v>
      </c>
      <c r="T420" s="39">
        <f t="shared" si="83"/>
        <v>1.1682386144074681E-3</v>
      </c>
      <c r="U420" s="39">
        <f t="shared" si="83"/>
        <v>2.914999666570617E-3</v>
      </c>
      <c r="V420" s="39">
        <f t="shared" si="83"/>
        <v>6.7253153559891261E-3</v>
      </c>
      <c r="W420" s="37">
        <v>0.58299999999999996</v>
      </c>
    </row>
    <row r="421" spans="2:23" x14ac:dyDescent="0.25">
      <c r="B421" s="39">
        <f t="shared" si="82"/>
        <v>8.6087348021729718E-20</v>
      </c>
      <c r="C421" s="39">
        <f t="shared" si="82"/>
        <v>6.2008049521064541E-18</v>
      </c>
      <c r="D421" s="39">
        <f t="shared" si="82"/>
        <v>2.1886586807622111E-16</v>
      </c>
      <c r="E421" s="39">
        <f t="shared" si="82"/>
        <v>5.0456338179164488E-15</v>
      </c>
      <c r="F421" s="39">
        <f t="shared" si="82"/>
        <v>8.5439190479928404E-14</v>
      </c>
      <c r="G421" s="39">
        <f t="shared" si="82"/>
        <v>1.1331049056271678E-12</v>
      </c>
      <c r="H421" s="39">
        <f t="shared" si="82"/>
        <v>1.2255143620847332E-11</v>
      </c>
      <c r="I421" s="39">
        <f t="shared" si="82"/>
        <v>1.1113919016659544E-10</v>
      </c>
      <c r="J421" s="39">
        <f t="shared" si="82"/>
        <v>8.6237920615638862E-10</v>
      </c>
      <c r="K421" s="39">
        <f t="shared" si="82"/>
        <v>5.8139885081158632E-9</v>
      </c>
      <c r="L421" s="39">
        <f t="shared" si="83"/>
        <v>3.4467509930783767E-8</v>
      </c>
      <c r="M421" s="39">
        <f t="shared" si="83"/>
        <v>1.8142104029756623E-7</v>
      </c>
      <c r="N421" s="39">
        <f t="shared" si="83"/>
        <v>8.5452954327080231E-7</v>
      </c>
      <c r="O421" s="39">
        <f t="shared" si="83"/>
        <v>3.625513608997018E-6</v>
      </c>
      <c r="P421" s="39">
        <f t="shared" si="83"/>
        <v>1.3931830170944366E-5</v>
      </c>
      <c r="Q421" s="39">
        <f t="shared" si="83"/>
        <v>4.871727588065775E-5</v>
      </c>
      <c r="R421" s="39">
        <f t="shared" si="83"/>
        <v>1.5565122771319086E-4</v>
      </c>
      <c r="S421" s="39">
        <f t="shared" si="83"/>
        <v>4.5598402638126034E-4</v>
      </c>
      <c r="T421" s="39">
        <f t="shared" si="83"/>
        <v>1.2286442479055714E-3</v>
      </c>
      <c r="U421" s="39">
        <f t="shared" si="83"/>
        <v>3.0534495391195265E-3</v>
      </c>
      <c r="V421" s="39">
        <f t="shared" si="83"/>
        <v>7.0168422918959689E-3</v>
      </c>
      <c r="W421" s="37">
        <v>0.58199999999999996</v>
      </c>
    </row>
    <row r="422" spans="2:23" x14ac:dyDescent="0.25">
      <c r="B422" s="39">
        <f t="shared" si="82"/>
        <v>9.7608926463932325E-20</v>
      </c>
      <c r="C422" s="39">
        <f t="shared" si="82"/>
        <v>7.0007497334188017E-18</v>
      </c>
      <c r="D422" s="39">
        <f t="shared" si="82"/>
        <v>2.4604969436243742E-16</v>
      </c>
      <c r="E422" s="39">
        <f t="shared" si="82"/>
        <v>5.6482127588028009E-15</v>
      </c>
      <c r="F422" s="39">
        <f t="shared" si="82"/>
        <v>9.5236932819560787E-14</v>
      </c>
      <c r="G422" s="39">
        <f t="shared" si="82"/>
        <v>1.2576911947028232E-12</v>
      </c>
      <c r="H422" s="39">
        <f t="shared" si="82"/>
        <v>1.3545058176603272E-11</v>
      </c>
      <c r="I422" s="39">
        <f t="shared" si="82"/>
        <v>1.2231832528601869E-10</v>
      </c>
      <c r="J422" s="39">
        <f t="shared" si="82"/>
        <v>9.4512234133171779E-10</v>
      </c>
      <c r="K422" s="39">
        <f t="shared" si="82"/>
        <v>6.3450263118996987E-9</v>
      </c>
      <c r="L422" s="39">
        <f t="shared" si="83"/>
        <v>3.7457882105956297E-8</v>
      </c>
      <c r="M422" s="39">
        <f t="shared" si="83"/>
        <v>1.9633609014597994E-7</v>
      </c>
      <c r="N422" s="39">
        <f t="shared" si="83"/>
        <v>9.2092561316787123E-7</v>
      </c>
      <c r="O422" s="39">
        <f t="shared" si="83"/>
        <v>3.8909765283694284E-6</v>
      </c>
      <c r="P422" s="39">
        <f t="shared" si="83"/>
        <v>1.4890059141853778E-5</v>
      </c>
      <c r="Q422" s="39">
        <f t="shared" si="83"/>
        <v>5.1853628835283663E-5</v>
      </c>
      <c r="R422" s="39">
        <f t="shared" si="83"/>
        <v>1.6499345940274151E-4</v>
      </c>
      <c r="S422" s="39">
        <f t="shared" si="83"/>
        <v>4.8138617064972394E-4</v>
      </c>
      <c r="T422" s="39">
        <f t="shared" si="83"/>
        <v>1.2918549439159836E-3</v>
      </c>
      <c r="U422" s="39">
        <f t="shared" si="83"/>
        <v>3.1977040552312774E-3</v>
      </c>
      <c r="V422" s="39">
        <f t="shared" si="83"/>
        <v>7.3192824801815793E-3</v>
      </c>
      <c r="W422" s="37">
        <v>0.58099999999999996</v>
      </c>
    </row>
    <row r="423" spans="2:23" x14ac:dyDescent="0.25">
      <c r="B423" s="39">
        <f t="shared" ref="B423:K432" si="84">_xlfn.HYPGEOM.DIST(B$2,comau,tongtheN*$W423,tongtheN,TRUE)</f>
        <v>1.083536611684523E-19</v>
      </c>
      <c r="C423" s="39">
        <f t="shared" si="84"/>
        <v>7.74381507107855E-18</v>
      </c>
      <c r="D423" s="39">
        <f t="shared" si="84"/>
        <v>2.7120101894045505E-16</v>
      </c>
      <c r="E423" s="39">
        <f t="shared" si="84"/>
        <v>6.2035381251078351E-15</v>
      </c>
      <c r="F423" s="39">
        <f t="shared" si="84"/>
        <v>1.0423072538049224E-13</v>
      </c>
      <c r="G423" s="39">
        <f t="shared" si="84"/>
        <v>1.3716034357595739E-12</v>
      </c>
      <c r="H423" s="39">
        <f t="shared" si="84"/>
        <v>1.4719805288658381E-11</v>
      </c>
      <c r="I423" s="39">
        <f t="shared" si="84"/>
        <v>1.3245918902393495E-10</v>
      </c>
      <c r="J423" s="39">
        <f t="shared" si="84"/>
        <v>1.0198845315028231E-9</v>
      </c>
      <c r="K423" s="39">
        <f t="shared" si="84"/>
        <v>6.8229502514381825E-9</v>
      </c>
      <c r="L423" s="39">
        <f t="shared" ref="L423:V432" si="85">_xlfn.HYPGEOM.DIST(L$2,comau,tongtheN*$W423,tongtheN,TRUE)</f>
        <v>4.01385430914573E-8</v>
      </c>
      <c r="M423" s="39">
        <f t="shared" si="85"/>
        <v>2.0965365023714769E-7</v>
      </c>
      <c r="N423" s="39">
        <f t="shared" si="85"/>
        <v>9.7997639269650593E-7</v>
      </c>
      <c r="O423" s="39">
        <f t="shared" si="85"/>
        <v>4.1261403090304421E-6</v>
      </c>
      <c r="P423" s="39">
        <f t="shared" si="85"/>
        <v>1.5735569962564647E-5</v>
      </c>
      <c r="Q423" s="39">
        <f t="shared" si="85"/>
        <v>5.461012954340118E-5</v>
      </c>
      <c r="R423" s="39">
        <f t="shared" si="85"/>
        <v>1.7317183618290185E-4</v>
      </c>
      <c r="S423" s="39">
        <f t="shared" si="85"/>
        <v>5.0353598860302274E-4</v>
      </c>
      <c r="T423" s="39">
        <f t="shared" si="85"/>
        <v>1.3467551096050122E-3</v>
      </c>
      <c r="U423" s="39">
        <f t="shared" si="85"/>
        <v>3.3224986567226291E-3</v>
      </c>
      <c r="V423" s="39">
        <f t="shared" si="85"/>
        <v>7.5798913390561903E-3</v>
      </c>
      <c r="W423" s="37">
        <v>0.57999999999999996</v>
      </c>
    </row>
    <row r="424" spans="2:23" x14ac:dyDescent="0.25">
      <c r="B424" s="39">
        <f t="shared" si="84"/>
        <v>1.227845449455831E-19</v>
      </c>
      <c r="C424" s="39">
        <f t="shared" si="84"/>
        <v>8.7378397695757545E-18</v>
      </c>
      <c r="D424" s="39">
        <f t="shared" si="84"/>
        <v>3.0471333099255728E-16</v>
      </c>
      <c r="E424" s="39">
        <f t="shared" si="84"/>
        <v>6.9405335879918356E-15</v>
      </c>
      <c r="F424" s="39">
        <f t="shared" si="84"/>
        <v>1.1611942508644634E-13</v>
      </c>
      <c r="G424" s="39">
        <f t="shared" si="84"/>
        <v>1.5215845205322883E-12</v>
      </c>
      <c r="H424" s="39">
        <f t="shared" si="84"/>
        <v>1.6260389696861127E-11</v>
      </c>
      <c r="I424" s="39">
        <f t="shared" si="84"/>
        <v>1.4570539460238877E-10</v>
      </c>
      <c r="J424" s="39">
        <f t="shared" si="84"/>
        <v>1.1171535210396322E-9</v>
      </c>
      <c r="K424" s="39">
        <f t="shared" si="84"/>
        <v>7.4422878296082109E-9</v>
      </c>
      <c r="L424" s="39">
        <f t="shared" si="85"/>
        <v>4.3598631614089527E-8</v>
      </c>
      <c r="M424" s="39">
        <f t="shared" si="85"/>
        <v>2.2677535731984553E-7</v>
      </c>
      <c r="N424" s="39">
        <f t="shared" si="85"/>
        <v>1.0555944517176482E-6</v>
      </c>
      <c r="O424" s="39">
        <f t="shared" si="85"/>
        <v>4.4260898677834162E-6</v>
      </c>
      <c r="P424" s="39">
        <f t="shared" si="85"/>
        <v>1.6809745547746814E-5</v>
      </c>
      <c r="Q424" s="39">
        <f t="shared" si="85"/>
        <v>5.8098261759638438E-5</v>
      </c>
      <c r="R424" s="39">
        <f t="shared" si="85"/>
        <v>1.834799944162553E-4</v>
      </c>
      <c r="S424" s="39">
        <f t="shared" si="85"/>
        <v>5.3134359855379018E-4</v>
      </c>
      <c r="T424" s="39">
        <f t="shared" si="85"/>
        <v>1.4154061471343623E-3</v>
      </c>
      <c r="U424" s="39">
        <f t="shared" si="85"/>
        <v>3.4779339381818273E-3</v>
      </c>
      <c r="V424" s="39">
        <f t="shared" si="85"/>
        <v>7.9032047669586741E-3</v>
      </c>
      <c r="W424" s="37">
        <v>0.57899999999999996</v>
      </c>
    </row>
    <row r="425" spans="2:23" x14ac:dyDescent="0.25">
      <c r="B425" s="39">
        <f t="shared" si="84"/>
        <v>1.3909399147617586E-19</v>
      </c>
      <c r="C425" s="39">
        <f t="shared" si="84"/>
        <v>9.8564196124312433E-18</v>
      </c>
      <c r="D425" s="39">
        <f t="shared" si="84"/>
        <v>3.4226229415567078E-16</v>
      </c>
      <c r="E425" s="39">
        <f t="shared" si="84"/>
        <v>7.7627428061720839E-15</v>
      </c>
      <c r="F425" s="39">
        <f t="shared" si="84"/>
        <v>1.2932557059917103E-13</v>
      </c>
      <c r="G425" s="39">
        <f t="shared" si="84"/>
        <v>1.6874678060343611E-12</v>
      </c>
      <c r="H425" s="39">
        <f t="shared" si="84"/>
        <v>1.7956977250542789E-11</v>
      </c>
      <c r="I425" s="39">
        <f t="shared" si="84"/>
        <v>1.6023009331339973E-10</v>
      </c>
      <c r="J425" s="39">
        <f t="shared" si="84"/>
        <v>1.2233512259512185E-9</v>
      </c>
      <c r="K425" s="39">
        <f t="shared" si="84"/>
        <v>8.1155643436458655E-9</v>
      </c>
      <c r="L425" s="39">
        <f t="shared" si="85"/>
        <v>4.7343864011687811E-8</v>
      </c>
      <c r="M425" s="39">
        <f t="shared" si="85"/>
        <v>2.4522824647932459E-7</v>
      </c>
      <c r="N425" s="39">
        <f t="shared" si="85"/>
        <v>1.1367407670746329E-6</v>
      </c>
      <c r="O425" s="39">
        <f t="shared" si="85"/>
        <v>4.7465822375549873E-6</v>
      </c>
      <c r="P425" s="39">
        <f t="shared" si="85"/>
        <v>1.7952547967485054E-5</v>
      </c>
      <c r="Q425" s="39">
        <f t="shared" si="85"/>
        <v>6.1793270228880677E-5</v>
      </c>
      <c r="R425" s="39">
        <f t="shared" si="85"/>
        <v>1.9435251954259353E-4</v>
      </c>
      <c r="S425" s="39">
        <f t="shared" si="85"/>
        <v>5.605474457717266E-4</v>
      </c>
      <c r="T425" s="39">
        <f t="shared" si="85"/>
        <v>1.4871939708832758E-3</v>
      </c>
      <c r="U425" s="39">
        <f t="shared" si="85"/>
        <v>3.6397720419254643E-3</v>
      </c>
      <c r="V425" s="39">
        <f t="shared" si="85"/>
        <v>8.2383882656052281E-3</v>
      </c>
      <c r="W425" s="37">
        <v>0.57799999999999996</v>
      </c>
    </row>
    <row r="426" spans="2:23" x14ac:dyDescent="0.25">
      <c r="B426" s="39">
        <f t="shared" si="84"/>
        <v>1.5752092706859507E-19</v>
      </c>
      <c r="C426" s="39">
        <f t="shared" si="84"/>
        <v>1.111478206730019E-17</v>
      </c>
      <c r="D426" s="39">
        <f t="shared" si="84"/>
        <v>3.8432157116733543E-16</v>
      </c>
      <c r="E426" s="39">
        <f t="shared" si="84"/>
        <v>8.6797473917656241E-15</v>
      </c>
      <c r="F426" s="39">
        <f t="shared" si="84"/>
        <v>1.439908647207739E-13</v>
      </c>
      <c r="G426" s="39">
        <f t="shared" si="84"/>
        <v>1.870886282421982E-12</v>
      </c>
      <c r="H426" s="39">
        <f t="shared" si="84"/>
        <v>1.982483029109003E-11</v>
      </c>
      <c r="I426" s="39">
        <f t="shared" si="84"/>
        <v>1.7615217152945463E-10</v>
      </c>
      <c r="J426" s="39">
        <f t="shared" si="84"/>
        <v>1.3392647645541865E-9</v>
      </c>
      <c r="K426" s="39">
        <f t="shared" si="84"/>
        <v>8.8472745775765659E-9</v>
      </c>
      <c r="L426" s="39">
        <f t="shared" si="85"/>
        <v>5.139662773052701E-8</v>
      </c>
      <c r="M426" s="39">
        <f t="shared" si="85"/>
        <v>2.6511042424875216E-7</v>
      </c>
      <c r="N426" s="39">
        <f t="shared" si="85"/>
        <v>1.2237961574430649E-6</v>
      </c>
      <c r="O426" s="39">
        <f t="shared" si="85"/>
        <v>5.0889335972293303E-6</v>
      </c>
      <c r="P426" s="39">
        <f t="shared" si="85"/>
        <v>1.916804311572314E-5</v>
      </c>
      <c r="Q426" s="39">
        <f t="shared" si="85"/>
        <v>6.5706410785339552E-5</v>
      </c>
      <c r="R426" s="39">
        <f t="shared" si="85"/>
        <v>2.0581737478027237E-4</v>
      </c>
      <c r="S426" s="39">
        <f t="shared" si="85"/>
        <v>5.9120987674140342E-4</v>
      </c>
      <c r="T426" s="39">
        <f t="shared" si="85"/>
        <v>1.5622431381568248E-3</v>
      </c>
      <c r="U426" s="39">
        <f t="shared" si="85"/>
        <v>3.8082350916457618E-3</v>
      </c>
      <c r="V426" s="39">
        <f t="shared" si="85"/>
        <v>8.5857928198580201E-3</v>
      </c>
      <c r="W426" s="37">
        <v>0.57699999999999996</v>
      </c>
    </row>
    <row r="427" spans="2:23" x14ac:dyDescent="0.25">
      <c r="B427" s="39">
        <f t="shared" si="84"/>
        <v>1.746870440288318E-19</v>
      </c>
      <c r="C427" s="39">
        <f t="shared" si="84"/>
        <v>1.2282432058135776E-17</v>
      </c>
      <c r="D427" s="39">
        <f t="shared" si="84"/>
        <v>4.2319534511932695E-16</v>
      </c>
      <c r="E427" s="39">
        <f t="shared" si="84"/>
        <v>9.5239649440315661E-15</v>
      </c>
      <c r="F427" s="39">
        <f t="shared" si="84"/>
        <v>1.574389857635485E-13</v>
      </c>
      <c r="G427" s="39">
        <f t="shared" si="84"/>
        <v>2.0384198624393303E-12</v>
      </c>
      <c r="H427" s="39">
        <f t="shared" si="84"/>
        <v>2.1524206131752364E-11</v>
      </c>
      <c r="I427" s="39">
        <f t="shared" si="84"/>
        <v>1.9058111162625752E-10</v>
      </c>
      <c r="J427" s="39">
        <f t="shared" si="84"/>
        <v>1.4438948970052039E-9</v>
      </c>
      <c r="K427" s="39">
        <f t="shared" si="84"/>
        <v>9.5051590945985594E-9</v>
      </c>
      <c r="L427" s="39">
        <f t="shared" si="85"/>
        <v>5.5026152276274991E-8</v>
      </c>
      <c r="M427" s="39">
        <f t="shared" si="85"/>
        <v>2.828462050925309E-7</v>
      </c>
      <c r="N427" s="39">
        <f t="shared" si="85"/>
        <v>1.3011478688494651E-6</v>
      </c>
      <c r="O427" s="39">
        <f t="shared" si="85"/>
        <v>5.3919277205928034E-6</v>
      </c>
      <c r="P427" s="39">
        <f t="shared" si="85"/>
        <v>2.0239570455508237E-5</v>
      </c>
      <c r="Q427" s="39">
        <f t="shared" si="85"/>
        <v>6.9142491383657867E-5</v>
      </c>
      <c r="R427" s="39">
        <f t="shared" si="85"/>
        <v>2.1584491302171889E-4</v>
      </c>
      <c r="S427" s="39">
        <f t="shared" si="85"/>
        <v>6.1792272396503064E-4</v>
      </c>
      <c r="T427" s="39">
        <f t="shared" si="85"/>
        <v>1.6273680739514423E-3</v>
      </c>
      <c r="U427" s="39">
        <f t="shared" si="85"/>
        <v>3.9538459996818808E-3</v>
      </c>
      <c r="V427" s="39">
        <f t="shared" si="85"/>
        <v>8.8848901715526916E-3</v>
      </c>
      <c r="W427" s="37">
        <v>0.57599999999999996</v>
      </c>
    </row>
    <row r="428" spans="2:23" x14ac:dyDescent="0.25">
      <c r="B428" s="39">
        <f t="shared" si="84"/>
        <v>1.9771755464196548E-19</v>
      </c>
      <c r="C428" s="39">
        <f t="shared" si="84"/>
        <v>1.3842781613023256E-17</v>
      </c>
      <c r="D428" s="39">
        <f t="shared" si="84"/>
        <v>4.7493744523614211E-16</v>
      </c>
      <c r="E428" s="39">
        <f t="shared" si="84"/>
        <v>1.0643197293224648E-14</v>
      </c>
      <c r="F428" s="39">
        <f t="shared" si="84"/>
        <v>1.7519749146589704E-13</v>
      </c>
      <c r="G428" s="39">
        <f t="shared" si="84"/>
        <v>2.2587764378884552E-12</v>
      </c>
      <c r="H428" s="39">
        <f t="shared" si="84"/>
        <v>2.3750555533001165E-11</v>
      </c>
      <c r="I428" s="39">
        <f t="shared" si="84"/>
        <v>2.0940973001527742E-10</v>
      </c>
      <c r="J428" s="39">
        <f t="shared" si="84"/>
        <v>1.5798893952226159E-9</v>
      </c>
      <c r="K428" s="39">
        <f t="shared" si="84"/>
        <v>1.0356875810672479E-8</v>
      </c>
      <c r="L428" s="39">
        <f t="shared" si="85"/>
        <v>5.970648345488619E-8</v>
      </c>
      <c r="M428" s="39">
        <f t="shared" si="85"/>
        <v>3.0562647690382221E-7</v>
      </c>
      <c r="N428" s="39">
        <f t="shared" si="85"/>
        <v>1.4001080895389499E-6</v>
      </c>
      <c r="O428" s="39">
        <f t="shared" si="85"/>
        <v>5.7780345400795228E-6</v>
      </c>
      <c r="P428" s="39">
        <f t="shared" si="85"/>
        <v>2.1599634814954456E-5</v>
      </c>
      <c r="Q428" s="39">
        <f t="shared" si="85"/>
        <v>7.3486622051811287E-5</v>
      </c>
      <c r="R428" s="39">
        <f t="shared" si="85"/>
        <v>2.2847241937444407E-4</v>
      </c>
      <c r="S428" s="39">
        <f t="shared" si="85"/>
        <v>6.5142910913037382E-4</v>
      </c>
      <c r="T428" s="39">
        <f t="shared" si="85"/>
        <v>1.7087333734933687E-3</v>
      </c>
      <c r="U428" s="39">
        <f t="shared" si="85"/>
        <v>4.1350512380065917E-3</v>
      </c>
      <c r="V428" s="39">
        <f t="shared" si="85"/>
        <v>9.255634673351807E-3</v>
      </c>
      <c r="W428" s="37">
        <v>0.57499999999999996</v>
      </c>
    </row>
    <row r="429" spans="2:23" x14ac:dyDescent="0.25">
      <c r="B429" s="39">
        <f t="shared" si="84"/>
        <v>2.2371591063890646E-19</v>
      </c>
      <c r="C429" s="39">
        <f t="shared" si="84"/>
        <v>1.5596633077101555E-17</v>
      </c>
      <c r="D429" s="39">
        <f t="shared" si="84"/>
        <v>5.328461381445938E-16</v>
      </c>
      <c r="E429" s="39">
        <f t="shared" si="84"/>
        <v>1.1890434274321728E-14</v>
      </c>
      <c r="F429" s="39">
        <f t="shared" si="84"/>
        <v>1.9490194393542706E-13</v>
      </c>
      <c r="G429" s="39">
        <f t="shared" si="84"/>
        <v>2.5022284710472575E-12</v>
      </c>
      <c r="H429" s="39">
        <f t="shared" si="84"/>
        <v>2.6199677224313767E-11</v>
      </c>
      <c r="I429" s="39">
        <f t="shared" si="84"/>
        <v>2.3003337176368733E-10</v>
      </c>
      <c r="J429" s="39">
        <f t="shared" si="84"/>
        <v>1.7282089156743381E-9</v>
      </c>
      <c r="K429" s="39">
        <f t="shared" si="84"/>
        <v>1.128179209423491E-8</v>
      </c>
      <c r="L429" s="39">
        <f t="shared" si="85"/>
        <v>6.4767226992783719E-8</v>
      </c>
      <c r="M429" s="39">
        <f t="shared" si="85"/>
        <v>3.3015251197478916E-7</v>
      </c>
      <c r="N429" s="39">
        <f t="shared" si="85"/>
        <v>1.5061945611490532E-6</v>
      </c>
      <c r="O429" s="39">
        <f t="shared" si="85"/>
        <v>6.1901680586203674E-6</v>
      </c>
      <c r="P429" s="39">
        <f t="shared" si="85"/>
        <v>2.3045145300185265E-5</v>
      </c>
      <c r="Q429" s="39">
        <f t="shared" si="85"/>
        <v>7.8083851653309877E-5</v>
      </c>
      <c r="R429" s="39">
        <f t="shared" si="85"/>
        <v>2.4177827002473123E-4</v>
      </c>
      <c r="S429" s="39">
        <f t="shared" si="85"/>
        <v>6.8658390376697147E-4</v>
      </c>
      <c r="T429" s="39">
        <f t="shared" si="85"/>
        <v>1.7937352202619268E-3</v>
      </c>
      <c r="U429" s="39">
        <f t="shared" si="85"/>
        <v>4.3235429381260721E-3</v>
      </c>
      <c r="V429" s="39">
        <f t="shared" si="85"/>
        <v>9.6396324910055144E-3</v>
      </c>
      <c r="W429" s="37">
        <v>0.57399999999999995</v>
      </c>
    </row>
    <row r="430" spans="2:23" x14ac:dyDescent="0.25">
      <c r="B430" s="39">
        <f t="shared" si="84"/>
        <v>2.5305578853102788E-19</v>
      </c>
      <c r="C430" s="39">
        <f t="shared" si="84"/>
        <v>1.7567399214338053E-17</v>
      </c>
      <c r="D430" s="39">
        <f t="shared" si="84"/>
        <v>5.9763735256579708E-16</v>
      </c>
      <c r="E430" s="39">
        <f t="shared" si="84"/>
        <v>1.3279912109069912E-14</v>
      </c>
      <c r="F430" s="39">
        <f t="shared" si="84"/>
        <v>2.1675929412689166E-13</v>
      </c>
      <c r="G430" s="39">
        <f t="shared" si="84"/>
        <v>2.7711200791628487E-12</v>
      </c>
      <c r="H430" s="39">
        <f t="shared" si="84"/>
        <v>2.8893103665588341E-11</v>
      </c>
      <c r="I430" s="39">
        <f t="shared" si="84"/>
        <v>2.5261687072622453E-10</v>
      </c>
      <c r="J430" s="39">
        <f t="shared" si="84"/>
        <v>1.8899258550230347E-9</v>
      </c>
      <c r="K430" s="39">
        <f t="shared" si="84"/>
        <v>1.2285924907732887E-8</v>
      </c>
      <c r="L430" s="39">
        <f t="shared" si="85"/>
        <v>7.0237824994583936E-8</v>
      </c>
      <c r="M430" s="39">
        <f t="shared" si="85"/>
        <v>3.5655104314775629E-7</v>
      </c>
      <c r="N430" s="39">
        <f t="shared" si="85"/>
        <v>1.6198904008464958E-6</v>
      </c>
      <c r="O430" s="39">
        <f t="shared" si="85"/>
        <v>6.629967688697406E-6</v>
      </c>
      <c r="P430" s="39">
        <f t="shared" si="85"/>
        <v>2.4581072840930167E-5</v>
      </c>
      <c r="Q430" s="39">
        <f t="shared" si="85"/>
        <v>8.2947682225891452E-5</v>
      </c>
      <c r="R430" s="39">
        <f t="shared" si="85"/>
        <v>2.5579535975607916E-4</v>
      </c>
      <c r="S430" s="39">
        <f t="shared" si="85"/>
        <v>7.2345898129926923E-4</v>
      </c>
      <c r="T430" s="39">
        <f t="shared" si="85"/>
        <v>1.8825141914819374E-3</v>
      </c>
      <c r="U430" s="39">
        <f t="shared" si="85"/>
        <v>4.5195661719897202E-3</v>
      </c>
      <c r="V430" s="39">
        <f t="shared" si="85"/>
        <v>1.0037261303819916E-2</v>
      </c>
      <c r="W430" s="37">
        <v>0.57299999999999995</v>
      </c>
    </row>
    <row r="431" spans="2:23" x14ac:dyDescent="0.25">
      <c r="B431" s="39">
        <f t="shared" si="84"/>
        <v>2.803594721364077E-19</v>
      </c>
      <c r="C431" s="39">
        <f t="shared" si="84"/>
        <v>1.9394196933545354E-17</v>
      </c>
      <c r="D431" s="39">
        <f t="shared" si="84"/>
        <v>6.5745976232572266E-16</v>
      </c>
      <c r="E431" s="39">
        <f t="shared" si="84"/>
        <v>1.4557797203431525E-14</v>
      </c>
      <c r="F431" s="39">
        <f t="shared" si="84"/>
        <v>2.3678233685203911E-13</v>
      </c>
      <c r="G431" s="39">
        <f t="shared" si="84"/>
        <v>3.016479183829033E-12</v>
      </c>
      <c r="H431" s="39">
        <f t="shared" si="84"/>
        <v>3.1341165585753345E-11</v>
      </c>
      <c r="I431" s="39">
        <f t="shared" si="84"/>
        <v>2.7306251693795785E-10</v>
      </c>
      <c r="J431" s="39">
        <f t="shared" si="84"/>
        <v>2.035759402288309E-9</v>
      </c>
      <c r="K431" s="39">
        <f t="shared" si="84"/>
        <v>1.3187880971791095E-8</v>
      </c>
      <c r="L431" s="39">
        <f t="shared" si="85"/>
        <v>7.5132471187759268E-8</v>
      </c>
      <c r="M431" s="39">
        <f t="shared" si="85"/>
        <v>3.800776082850879E-7</v>
      </c>
      <c r="N431" s="39">
        <f t="shared" si="85"/>
        <v>1.720819309244719E-6</v>
      </c>
      <c r="O431" s="39">
        <f t="shared" si="85"/>
        <v>7.0188499053444516E-6</v>
      </c>
      <c r="P431" s="39">
        <f t="shared" si="85"/>
        <v>2.5933849660615273E-5</v>
      </c>
      <c r="Q431" s="39">
        <f t="shared" si="85"/>
        <v>8.7214715644057004E-5</v>
      </c>
      <c r="R431" s="39">
        <f t="shared" si="85"/>
        <v>2.6804427471510786E-4</v>
      </c>
      <c r="S431" s="39">
        <f t="shared" si="85"/>
        <v>7.5555601120822077E-4</v>
      </c>
      <c r="T431" s="39">
        <f t="shared" si="85"/>
        <v>1.9594864323356468E-3</v>
      </c>
      <c r="U431" s="39">
        <f t="shared" si="85"/>
        <v>4.688853194673743E-3</v>
      </c>
      <c r="V431" s="39">
        <f t="shared" si="85"/>
        <v>1.0379308501511569E-2</v>
      </c>
      <c r="W431" s="37">
        <v>0.57199999999999995</v>
      </c>
    </row>
    <row r="432" spans="2:23" x14ac:dyDescent="0.25">
      <c r="B432" s="39">
        <f t="shared" si="84"/>
        <v>3.1695228501830695E-19</v>
      </c>
      <c r="C432" s="39">
        <f t="shared" si="84"/>
        <v>2.1832834504392176E-17</v>
      </c>
      <c r="D432" s="39">
        <f t="shared" si="84"/>
        <v>7.370030144188723E-16</v>
      </c>
      <c r="E432" s="39">
        <f t="shared" si="84"/>
        <v>1.6250241080296966E-14</v>
      </c>
      <c r="F432" s="39">
        <f t="shared" si="84"/>
        <v>2.6319644603997339E-13</v>
      </c>
      <c r="G432" s="39">
        <f t="shared" si="84"/>
        <v>3.3388768482074089E-12</v>
      </c>
      <c r="H432" s="39">
        <f t="shared" si="84"/>
        <v>3.4545193649943386E-11</v>
      </c>
      <c r="I432" s="39">
        <f t="shared" si="84"/>
        <v>2.9971633007104283E-10</v>
      </c>
      <c r="J432" s="39">
        <f t="shared" si="84"/>
        <v>2.22512493333596E-9</v>
      </c>
      <c r="K432" s="39">
        <f t="shared" si="84"/>
        <v>1.4354460216129602E-8</v>
      </c>
      <c r="L432" s="39">
        <f t="shared" si="85"/>
        <v>8.1438209263531029E-8</v>
      </c>
      <c r="M432" s="39">
        <f t="shared" si="85"/>
        <v>4.1026734293727978E-7</v>
      </c>
      <c r="N432" s="39">
        <f t="shared" si="85"/>
        <v>1.8498232217718386E-6</v>
      </c>
      <c r="O432" s="39">
        <f t="shared" si="85"/>
        <v>7.5139492042950067E-6</v>
      </c>
      <c r="P432" s="39">
        <f t="shared" si="85"/>
        <v>2.7649337677133711E-5</v>
      </c>
      <c r="Q432" s="39">
        <f t="shared" si="85"/>
        <v>9.2604548202639123E-5</v>
      </c>
      <c r="R432" s="39">
        <f t="shared" si="85"/>
        <v>2.8345542045700418E-4</v>
      </c>
      <c r="S432" s="39">
        <f t="shared" si="85"/>
        <v>7.9578050786114902E-4</v>
      </c>
      <c r="T432" s="39">
        <f t="shared" si="85"/>
        <v>2.0555699177869143E-3</v>
      </c>
      <c r="U432" s="39">
        <f t="shared" si="85"/>
        <v>4.8993412794400629E-3</v>
      </c>
      <c r="V432" s="39">
        <f t="shared" si="85"/>
        <v>1.0802931470909695E-2</v>
      </c>
      <c r="W432" s="37">
        <v>0.57099999999999995</v>
      </c>
    </row>
    <row r="433" spans="2:23" x14ac:dyDescent="0.25">
      <c r="B433" s="39">
        <f t="shared" ref="B433:K442" si="86">_xlfn.HYPGEOM.DIST(B$2,comau,tongtheN*$W433,tongtheN,TRUE)</f>
        <v>3.5821365161128908E-19</v>
      </c>
      <c r="C433" s="39">
        <f t="shared" si="86"/>
        <v>2.4570803066078452E-17</v>
      </c>
      <c r="D433" s="39">
        <f t="shared" si="86"/>
        <v>8.2592683725331261E-16</v>
      </c>
      <c r="E433" s="39">
        <f t="shared" si="86"/>
        <v>1.8134162759863081E-14</v>
      </c>
      <c r="F433" s="39">
        <f t="shared" si="86"/>
        <v>2.9247290340991018E-13</v>
      </c>
      <c r="G433" s="39">
        <f t="shared" si="86"/>
        <v>3.6946790473169626E-12</v>
      </c>
      <c r="H433" s="39">
        <f t="shared" si="86"/>
        <v>3.806604296522823E-11</v>
      </c>
      <c r="I433" s="39">
        <f t="shared" si="86"/>
        <v>3.2888019383436991E-10</v>
      </c>
      <c r="J433" s="39">
        <f t="shared" si="86"/>
        <v>2.4314354780777284E-9</v>
      </c>
      <c r="K433" s="39">
        <f t="shared" si="86"/>
        <v>1.5619982282906365E-8</v>
      </c>
      <c r="L433" s="39">
        <f t="shared" ref="L433:V442" si="87">_xlfn.HYPGEOM.DIST(L$2,comau,tongtheN*$W433,tongtheN,TRUE)</f>
        <v>8.8249455535771283E-8</v>
      </c>
      <c r="M433" s="39">
        <f t="shared" si="87"/>
        <v>4.4273757014550393E-7</v>
      </c>
      <c r="N433" s="39">
        <f t="shared" si="87"/>
        <v>1.987977547001278E-6</v>
      </c>
      <c r="O433" s="39">
        <f t="shared" si="87"/>
        <v>8.0418954226849936E-6</v>
      </c>
      <c r="P433" s="39">
        <f t="shared" si="87"/>
        <v>2.9470803489516919E-5</v>
      </c>
      <c r="Q433" s="39">
        <f t="shared" si="87"/>
        <v>9.8302841086839236E-5</v>
      </c>
      <c r="R433" s="39">
        <f t="shared" si="87"/>
        <v>2.9967877930293148E-4</v>
      </c>
      <c r="S433" s="39">
        <f t="shared" si="87"/>
        <v>8.3794365422395188E-4</v>
      </c>
      <c r="T433" s="39">
        <f t="shared" si="87"/>
        <v>2.1558530482888591E-3</v>
      </c>
      <c r="U433" s="39">
        <f t="shared" si="87"/>
        <v>5.1180890238031523E-3</v>
      </c>
      <c r="V433" s="39">
        <f t="shared" si="87"/>
        <v>1.1241293261796612E-2</v>
      </c>
      <c r="W433" s="37">
        <v>0.56999999999999995</v>
      </c>
    </row>
    <row r="434" spans="2:23" x14ac:dyDescent="0.25">
      <c r="B434" s="39">
        <f t="shared" si="86"/>
        <v>4.0472553690731845E-19</v>
      </c>
      <c r="C434" s="39">
        <f t="shared" si="86"/>
        <v>2.764395040388363E-17</v>
      </c>
      <c r="D434" s="39">
        <f t="shared" si="86"/>
        <v>9.2530886147969958E-16</v>
      </c>
      <c r="E434" s="39">
        <f t="shared" si="86"/>
        <v>2.0230627408455456E-14</v>
      </c>
      <c r="F434" s="39">
        <f t="shared" si="86"/>
        <v>3.2491272122917402E-13</v>
      </c>
      <c r="G434" s="39">
        <f t="shared" si="86"/>
        <v>4.0872371010726959E-12</v>
      </c>
      <c r="H434" s="39">
        <f t="shared" si="86"/>
        <v>4.1933970057671848E-11</v>
      </c>
      <c r="I434" s="39">
        <f t="shared" si="86"/>
        <v>3.6078173573836503E-10</v>
      </c>
      <c r="J434" s="39">
        <f t="shared" si="86"/>
        <v>2.6561463100430614E-9</v>
      </c>
      <c r="K434" s="39">
        <f t="shared" si="86"/>
        <v>1.6992470002856455E-8</v>
      </c>
      <c r="L434" s="39">
        <f t="shared" si="87"/>
        <v>9.5604777466885778E-8</v>
      </c>
      <c r="M434" s="39">
        <f t="shared" si="87"/>
        <v>4.7765135904707041E-7</v>
      </c>
      <c r="N434" s="39">
        <f t="shared" si="87"/>
        <v>2.1358927742342838E-6</v>
      </c>
      <c r="O434" s="39">
        <f t="shared" si="87"/>
        <v>8.6047225482989205E-6</v>
      </c>
      <c r="P434" s="39">
        <f t="shared" si="87"/>
        <v>3.1404300438911054E-5</v>
      </c>
      <c r="Q434" s="39">
        <f t="shared" si="87"/>
        <v>1.0432572588823162E-4</v>
      </c>
      <c r="R434" s="39">
        <f t="shared" si="87"/>
        <v>3.1675288937584522E-4</v>
      </c>
      <c r="S434" s="39">
        <f t="shared" si="87"/>
        <v>8.8212795826662438E-4</v>
      </c>
      <c r="T434" s="39">
        <f t="shared" si="87"/>
        <v>2.2604937839181224E-3</v>
      </c>
      <c r="U434" s="39">
        <f t="shared" si="87"/>
        <v>5.3453655429878399E-3</v>
      </c>
      <c r="V434" s="39">
        <f t="shared" si="87"/>
        <v>1.1694798128967194E-2</v>
      </c>
      <c r="W434" s="37">
        <v>0.56899999999999995</v>
      </c>
    </row>
    <row r="435" spans="2:23" x14ac:dyDescent="0.25">
      <c r="B435" s="39">
        <f t="shared" si="86"/>
        <v>4.5714075814029815E-19</v>
      </c>
      <c r="C435" s="39">
        <f t="shared" si="86"/>
        <v>3.1092310729335822E-17</v>
      </c>
      <c r="D435" s="39">
        <f t="shared" si="86"/>
        <v>1.0363472290964796E-15</v>
      </c>
      <c r="E435" s="39">
        <f t="shared" si="86"/>
        <v>2.2562951733049942E-14</v>
      </c>
      <c r="F435" s="39">
        <f t="shared" si="86"/>
        <v>3.608475985850548E-13</v>
      </c>
      <c r="G435" s="39">
        <f t="shared" si="86"/>
        <v>4.5202274420620596E-12</v>
      </c>
      <c r="H435" s="39">
        <f t="shared" si="86"/>
        <v>4.6182017374069152E-11</v>
      </c>
      <c r="I435" s="39">
        <f t="shared" si="86"/>
        <v>3.9566841905159802E-10</v>
      </c>
      <c r="J435" s="39">
        <f t="shared" si="86"/>
        <v>2.900832326707238E-9</v>
      </c>
      <c r="K435" s="39">
        <f t="shared" si="86"/>
        <v>1.8480565961936903E-8</v>
      </c>
      <c r="L435" s="39">
        <f t="shared" si="87"/>
        <v>1.0354553022146281E-7</v>
      </c>
      <c r="M435" s="39">
        <f t="shared" si="87"/>
        <v>5.1518275160487423E-7</v>
      </c>
      <c r="N435" s="39">
        <f t="shared" si="87"/>
        <v>2.2942174040696994E-6</v>
      </c>
      <c r="O435" s="39">
        <f t="shared" si="87"/>
        <v>9.2045808942626745E-6</v>
      </c>
      <c r="P435" s="39">
        <f t="shared" si="87"/>
        <v>3.3456196960223738E-5</v>
      </c>
      <c r="Q435" s="39">
        <f t="shared" si="87"/>
        <v>1.1069008955856263E-4</v>
      </c>
      <c r="R435" s="39">
        <f t="shared" si="87"/>
        <v>3.3471788699925573E-4</v>
      </c>
      <c r="S435" s="39">
        <f t="shared" si="87"/>
        <v>9.2841889291002996E-4</v>
      </c>
      <c r="T435" s="39">
        <f t="shared" si="87"/>
        <v>2.3696548443605161E-3</v>
      </c>
      <c r="U435" s="39">
        <f t="shared" si="87"/>
        <v>5.5814463870023836E-3</v>
      </c>
      <c r="V435" s="39">
        <f t="shared" si="87"/>
        <v>1.2163857197088842E-2</v>
      </c>
      <c r="W435" s="37">
        <v>0.56799999999999995</v>
      </c>
    </row>
    <row r="436" spans="2:23" x14ac:dyDescent="0.25">
      <c r="B436" s="39">
        <f t="shared" si="86"/>
        <v>5.0585517409893278E-19</v>
      </c>
      <c r="C436" s="39">
        <f t="shared" si="86"/>
        <v>3.4284660015850587E-17</v>
      </c>
      <c r="D436" s="39">
        <f t="shared" si="86"/>
        <v>1.1387398102368587E-15</v>
      </c>
      <c r="E436" s="39">
        <f t="shared" si="86"/>
        <v>2.4705260157296628E-14</v>
      </c>
      <c r="F436" s="39">
        <f t="shared" si="86"/>
        <v>3.9372570708158685E-13</v>
      </c>
      <c r="G436" s="39">
        <f t="shared" si="86"/>
        <v>4.9148359464125401E-12</v>
      </c>
      <c r="H436" s="39">
        <f t="shared" si="86"/>
        <v>5.0038355657679495E-11</v>
      </c>
      <c r="I436" s="39">
        <f t="shared" si="86"/>
        <v>4.2721432310970215E-10</v>
      </c>
      <c r="J436" s="39">
        <f t="shared" si="86"/>
        <v>3.1212213363546559E-9</v>
      </c>
      <c r="K436" s="39">
        <f t="shared" si="86"/>
        <v>1.9815651761948691E-8</v>
      </c>
      <c r="L436" s="39">
        <f t="shared" si="87"/>
        <v>1.1064191800940156E-7</v>
      </c>
      <c r="M436" s="39">
        <f t="shared" si="87"/>
        <v>5.4859207960218377E-7</v>
      </c>
      <c r="N436" s="39">
        <f t="shared" si="87"/>
        <v>2.4346018224825623E-6</v>
      </c>
      <c r="O436" s="39">
        <f t="shared" si="87"/>
        <v>9.7343863961711884E-6</v>
      </c>
      <c r="P436" s="39">
        <f t="shared" si="87"/>
        <v>3.5261376963308015E-5</v>
      </c>
      <c r="Q436" s="39">
        <f t="shared" si="87"/>
        <v>1.1626730363259349E-4</v>
      </c>
      <c r="R436" s="39">
        <f t="shared" si="87"/>
        <v>3.5039935534185999E-4</v>
      </c>
      <c r="S436" s="39">
        <f t="shared" si="87"/>
        <v>9.686676721575631E-4</v>
      </c>
      <c r="T436" s="39">
        <f t="shared" si="87"/>
        <v>2.4641961676693698E-3</v>
      </c>
      <c r="U436" s="39">
        <f t="shared" si="87"/>
        <v>5.7851092355294285E-3</v>
      </c>
      <c r="V436" s="39">
        <f t="shared" si="87"/>
        <v>1.2566922765168513E-2</v>
      </c>
      <c r="W436" s="37">
        <v>0.56699999999999995</v>
      </c>
    </row>
    <row r="437" spans="2:23" x14ac:dyDescent="0.25">
      <c r="B437" s="39">
        <f t="shared" si="86"/>
        <v>5.7105824375904833E-19</v>
      </c>
      <c r="C437" s="39">
        <f t="shared" si="86"/>
        <v>3.8540727855296109E-17</v>
      </c>
      <c r="D437" s="39">
        <f t="shared" si="86"/>
        <v>1.2747134127692965E-15</v>
      </c>
      <c r="E437" s="39">
        <f t="shared" si="86"/>
        <v>2.7538977056400084E-14</v>
      </c>
      <c r="F437" s="39">
        <f t="shared" si="86"/>
        <v>4.3704386865715906E-13</v>
      </c>
      <c r="G437" s="39">
        <f t="shared" si="86"/>
        <v>5.4327035426028704E-12</v>
      </c>
      <c r="H437" s="39">
        <f t="shared" si="86"/>
        <v>5.5079358011809318E-11</v>
      </c>
      <c r="I437" s="39">
        <f t="shared" si="86"/>
        <v>4.6828904289394928E-10</v>
      </c>
      <c r="J437" s="39">
        <f t="shared" si="86"/>
        <v>3.4070539587745001E-9</v>
      </c>
      <c r="K437" s="39">
        <f t="shared" si="86"/>
        <v>2.1540383839291082E-8</v>
      </c>
      <c r="L437" s="39">
        <f t="shared" si="87"/>
        <v>1.1977338977569094E-7</v>
      </c>
      <c r="M437" s="39">
        <f t="shared" si="87"/>
        <v>5.9141364416637814E-7</v>
      </c>
      <c r="N437" s="39">
        <f t="shared" si="87"/>
        <v>2.613829641661643E-6</v>
      </c>
      <c r="O437" s="39">
        <f t="shared" si="87"/>
        <v>1.0408130646207346E-5</v>
      </c>
      <c r="P437" s="39">
        <f t="shared" si="87"/>
        <v>3.7547984274392118E-5</v>
      </c>
      <c r="Q437" s="39">
        <f t="shared" si="87"/>
        <v>1.2330420113796208E-4</v>
      </c>
      <c r="R437" s="39">
        <f t="shared" si="87"/>
        <v>3.7010741389779483E-4</v>
      </c>
      <c r="S437" s="39">
        <f t="shared" si="87"/>
        <v>1.0190529210816134E-3</v>
      </c>
      <c r="T437" s="39">
        <f t="shared" si="87"/>
        <v>2.5820832772844725E-3</v>
      </c>
      <c r="U437" s="39">
        <f t="shared" si="87"/>
        <v>6.0380686064013308E-3</v>
      </c>
      <c r="V437" s="39">
        <f t="shared" si="87"/>
        <v>1.3065588288684916E-2</v>
      </c>
      <c r="W437" s="37">
        <v>0.56599999999999995</v>
      </c>
    </row>
    <row r="438" spans="2:23" x14ac:dyDescent="0.25">
      <c r="B438" s="39">
        <f t="shared" si="86"/>
        <v>6.4447673140567111E-19</v>
      </c>
      <c r="C438" s="39">
        <f t="shared" si="86"/>
        <v>4.3312558013570793E-17</v>
      </c>
      <c r="D438" s="39">
        <f t="shared" si="86"/>
        <v>1.4265128881149625E-15</v>
      </c>
      <c r="E438" s="39">
        <f t="shared" si="86"/>
        <v>3.0688984235696618E-14</v>
      </c>
      <c r="F438" s="39">
        <f t="shared" si="86"/>
        <v>4.8499122903699272E-13</v>
      </c>
      <c r="G438" s="39">
        <f t="shared" si="86"/>
        <v>6.0034631254490825E-12</v>
      </c>
      <c r="H438" s="39">
        <f t="shared" si="86"/>
        <v>6.061147490072039E-11</v>
      </c>
      <c r="I438" s="39">
        <f t="shared" si="86"/>
        <v>5.1317280111710955E-10</v>
      </c>
      <c r="J438" s="39">
        <f t="shared" si="86"/>
        <v>3.718058506800049E-9</v>
      </c>
      <c r="K438" s="39">
        <f t="shared" si="86"/>
        <v>2.3408987139256879E-8</v>
      </c>
      <c r="L438" s="39">
        <f t="shared" si="87"/>
        <v>1.2962431355956073E-7</v>
      </c>
      <c r="M438" s="39">
        <f t="shared" si="87"/>
        <v>6.3741171303716575E-7</v>
      </c>
      <c r="N438" s="39">
        <f t="shared" si="87"/>
        <v>2.8055302805435163E-6</v>
      </c>
      <c r="O438" s="39">
        <f t="shared" si="87"/>
        <v>1.1125684439670743E-5</v>
      </c>
      <c r="P438" s="39">
        <f t="shared" si="87"/>
        <v>3.9972876352171911E-5</v>
      </c>
      <c r="Q438" s="39">
        <f t="shared" si="87"/>
        <v>1.3073479743296005E-4</v>
      </c>
      <c r="R438" s="39">
        <f t="shared" si="87"/>
        <v>3.9082924260775196E-4</v>
      </c>
      <c r="S438" s="39">
        <f t="shared" si="87"/>
        <v>1.0718037899744919E-3</v>
      </c>
      <c r="T438" s="39">
        <f t="shared" si="87"/>
        <v>2.7049784095308704E-3</v>
      </c>
      <c r="U438" s="39">
        <f t="shared" si="87"/>
        <v>6.3006484981344719E-3</v>
      </c>
      <c r="V438" s="39">
        <f t="shared" si="87"/>
        <v>1.3581009805259473E-2</v>
      </c>
      <c r="W438" s="37">
        <v>0.56499999999999995</v>
      </c>
    </row>
    <row r="439" spans="2:23" x14ac:dyDescent="0.25">
      <c r="B439" s="39">
        <f t="shared" si="86"/>
        <v>7.2712206027531661E-19</v>
      </c>
      <c r="C439" s="39">
        <f t="shared" si="86"/>
        <v>4.8661132118992279E-17</v>
      </c>
      <c r="D439" s="39">
        <f t="shared" si="86"/>
        <v>1.5959324896530371E-15</v>
      </c>
      <c r="E439" s="39">
        <f t="shared" si="86"/>
        <v>3.4189608171991574E-14</v>
      </c>
      <c r="F439" s="39">
        <f t="shared" si="86"/>
        <v>5.380478184845895E-13</v>
      </c>
      <c r="G439" s="39">
        <f t="shared" si="86"/>
        <v>6.6323444998159347E-12</v>
      </c>
      <c r="H439" s="39">
        <f t="shared" si="86"/>
        <v>6.668090542366297E-11</v>
      </c>
      <c r="I439" s="39">
        <f t="shared" si="86"/>
        <v>5.6220564335661247E-10</v>
      </c>
      <c r="J439" s="39">
        <f t="shared" si="86"/>
        <v>4.0563616496274341E-9</v>
      </c>
      <c r="K439" s="39">
        <f t="shared" si="86"/>
        <v>2.5432928951503593E-8</v>
      </c>
      <c r="L439" s="39">
        <f t="shared" si="87"/>
        <v>1.4024859748992777E-7</v>
      </c>
      <c r="M439" s="39">
        <f t="shared" si="87"/>
        <v>6.8680913532573926E-7</v>
      </c>
      <c r="N439" s="39">
        <f t="shared" si="87"/>
        <v>3.0105192086953133E-6</v>
      </c>
      <c r="O439" s="39">
        <f t="shared" si="87"/>
        <v>1.1889702534296622E-5</v>
      </c>
      <c r="P439" s="39">
        <f t="shared" si="87"/>
        <v>4.2543769977048411E-5</v>
      </c>
      <c r="Q439" s="39">
        <f t="shared" si="87"/>
        <v>1.3857916706756394E-4</v>
      </c>
      <c r="R439" s="39">
        <f t="shared" si="87"/>
        <v>4.1261162260117229E-4</v>
      </c>
      <c r="S439" s="39">
        <f t="shared" si="87"/>
        <v>1.1270178791071631E-3</v>
      </c>
      <c r="T439" s="39">
        <f t="shared" si="87"/>
        <v>2.8330633867705191E-3</v>
      </c>
      <c r="U439" s="39">
        <f t="shared" si="87"/>
        <v>6.5731496700139275E-3</v>
      </c>
      <c r="V439" s="39">
        <f t="shared" si="87"/>
        <v>1.4113624352299532E-2</v>
      </c>
      <c r="W439" s="37">
        <v>0.56399999999999995</v>
      </c>
    </row>
    <row r="440" spans="2:23" x14ac:dyDescent="0.25">
      <c r="B440" s="39">
        <f t="shared" si="86"/>
        <v>8.0385490351330779E-19</v>
      </c>
      <c r="C440" s="39">
        <f t="shared" si="86"/>
        <v>5.360768409178592E-17</v>
      </c>
      <c r="D440" s="39">
        <f t="shared" si="86"/>
        <v>1.7520062013825875E-15</v>
      </c>
      <c r="E440" s="39">
        <f t="shared" si="86"/>
        <v>3.7401885758495925E-14</v>
      </c>
      <c r="F440" s="39">
        <f t="shared" si="86"/>
        <v>5.8654409639695603E-13</v>
      </c>
      <c r="G440" s="39">
        <f t="shared" si="86"/>
        <v>7.2049285438703017E-12</v>
      </c>
      <c r="H440" s="39">
        <f t="shared" si="86"/>
        <v>7.2185430391789842E-11</v>
      </c>
      <c r="I440" s="39">
        <f t="shared" si="86"/>
        <v>6.0650121629983168E-10</v>
      </c>
      <c r="J440" s="39">
        <f t="shared" si="86"/>
        <v>4.3607868508941475E-9</v>
      </c>
      <c r="K440" s="39">
        <f t="shared" si="86"/>
        <v>2.7247081764607372E-8</v>
      </c>
      <c r="L440" s="39">
        <f t="shared" si="87"/>
        <v>1.4973445828626082E-7</v>
      </c>
      <c r="M440" s="39">
        <f t="shared" si="87"/>
        <v>7.3074129559939019E-7</v>
      </c>
      <c r="N440" s="39">
        <f t="shared" si="87"/>
        <v>3.1921166940595198E-6</v>
      </c>
      <c r="O440" s="39">
        <f t="shared" si="87"/>
        <v>1.2563895445761739E-5</v>
      </c>
      <c r="P440" s="39">
        <f t="shared" si="87"/>
        <v>4.4803547659200431E-5</v>
      </c>
      <c r="Q440" s="39">
        <f t="shared" si="87"/>
        <v>1.454473315255E-4</v>
      </c>
      <c r="R440" s="39">
        <f t="shared" si="87"/>
        <v>4.3160879445520208E-4</v>
      </c>
      <c r="S440" s="39">
        <f t="shared" si="87"/>
        <v>1.1749839865710713E-3</v>
      </c>
      <c r="T440" s="39">
        <f t="shared" si="87"/>
        <v>2.9439001051644363E-3</v>
      </c>
      <c r="U440" s="39">
        <f t="shared" si="87"/>
        <v>6.8080343510271884E-3</v>
      </c>
      <c r="V440" s="39">
        <f t="shared" si="87"/>
        <v>1.4570923250017865E-2</v>
      </c>
      <c r="W440" s="37">
        <v>0.56299999999999994</v>
      </c>
    </row>
    <row r="441" spans="2:23" x14ac:dyDescent="0.25">
      <c r="B441" s="39">
        <f t="shared" si="86"/>
        <v>9.0645643737235527E-19</v>
      </c>
      <c r="C441" s="39">
        <f t="shared" si="86"/>
        <v>6.0195882944824686E-17</v>
      </c>
      <c r="D441" s="39">
        <f t="shared" si="86"/>
        <v>1.9590612419527878E-15</v>
      </c>
      <c r="E441" s="39">
        <f t="shared" si="86"/>
        <v>4.1646726566302917E-14</v>
      </c>
      <c r="F441" s="39">
        <f t="shared" si="86"/>
        <v>6.503777062467253E-13</v>
      </c>
      <c r="G441" s="39">
        <f t="shared" si="86"/>
        <v>7.9556403744921665E-12</v>
      </c>
      <c r="H441" s="39">
        <f t="shared" si="86"/>
        <v>7.9374078914714863E-11</v>
      </c>
      <c r="I441" s="39">
        <f t="shared" si="86"/>
        <v>6.6412230725729225E-10</v>
      </c>
      <c r="J441" s="39">
        <f t="shared" si="86"/>
        <v>4.7552403993906499E-9</v>
      </c>
      <c r="K441" s="39">
        <f t="shared" si="86"/>
        <v>2.9588524857195402E-8</v>
      </c>
      <c r="L441" s="39">
        <f t="shared" si="87"/>
        <v>1.6192944480677447E-7</v>
      </c>
      <c r="M441" s="39">
        <f t="shared" si="87"/>
        <v>7.869990425793237E-7</v>
      </c>
      <c r="N441" s="39">
        <f t="shared" si="87"/>
        <v>3.4237522191903767E-6</v>
      </c>
      <c r="O441" s="39">
        <f t="shared" si="87"/>
        <v>1.3420490255150882E-5</v>
      </c>
      <c r="P441" s="39">
        <f t="shared" si="87"/>
        <v>4.7663463493064005E-5</v>
      </c>
      <c r="Q441" s="39">
        <f t="shared" si="87"/>
        <v>1.5410547669043349E-4</v>
      </c>
      <c r="R441" s="39">
        <f t="shared" si="87"/>
        <v>4.5546328402661947E-4</v>
      </c>
      <c r="S441" s="39">
        <f t="shared" si="87"/>
        <v>1.2349787038055335E-3</v>
      </c>
      <c r="T441" s="39">
        <f t="shared" si="87"/>
        <v>3.0819893675175705E-3</v>
      </c>
      <c r="U441" s="39">
        <f t="shared" si="87"/>
        <v>7.0995279470584538E-3</v>
      </c>
      <c r="V441" s="39">
        <f t="shared" si="87"/>
        <v>1.5136215342043895E-2</v>
      </c>
      <c r="W441" s="37">
        <v>0.56200000000000006</v>
      </c>
    </row>
    <row r="442" spans="2:23" x14ac:dyDescent="0.25">
      <c r="B442" s="39">
        <f t="shared" si="86"/>
        <v>1.0218594607083071E-18</v>
      </c>
      <c r="C442" s="39">
        <f t="shared" si="86"/>
        <v>6.7574470993139965E-17</v>
      </c>
      <c r="D442" s="39">
        <f t="shared" si="86"/>
        <v>2.1899675404993927E-15</v>
      </c>
      <c r="E442" s="39">
        <f t="shared" si="86"/>
        <v>4.6360350842108358E-14</v>
      </c>
      <c r="F442" s="39">
        <f t="shared" si="86"/>
        <v>7.2095852881165174E-13</v>
      </c>
      <c r="G442" s="39">
        <f t="shared" si="86"/>
        <v>8.7821625325549294E-12</v>
      </c>
      <c r="H442" s="39">
        <f t="shared" si="86"/>
        <v>8.725492044595396E-11</v>
      </c>
      <c r="I442" s="39">
        <f t="shared" si="86"/>
        <v>7.2702237282352182E-10</v>
      </c>
      <c r="J442" s="39">
        <f t="shared" si="86"/>
        <v>5.1839961303020369E-9</v>
      </c>
      <c r="K442" s="39">
        <f t="shared" si="86"/>
        <v>3.2122733098193631E-8</v>
      </c>
      <c r="L442" s="39">
        <f t="shared" si="87"/>
        <v>1.7507215129826789E-7</v>
      </c>
      <c r="M442" s="39">
        <f t="shared" si="87"/>
        <v>8.4737037814612932E-7</v>
      </c>
      <c r="N442" s="39">
        <f t="shared" si="87"/>
        <v>3.6712656378482227E-6</v>
      </c>
      <c r="O442" s="39">
        <f t="shared" si="87"/>
        <v>1.4331901378919576E-5</v>
      </c>
      <c r="P442" s="39">
        <f t="shared" si="87"/>
        <v>5.0693428495760342E-5</v>
      </c>
      <c r="Q442" s="39">
        <f t="shared" si="87"/>
        <v>1.6323934752375156E-4</v>
      </c>
      <c r="R442" s="39">
        <f t="shared" si="87"/>
        <v>4.8052125731856856E-4</v>
      </c>
      <c r="S442" s="39">
        <f t="shared" si="87"/>
        <v>1.297731748759677E-3</v>
      </c>
      <c r="T442" s="39">
        <f t="shared" si="87"/>
        <v>3.225812203956421E-3</v>
      </c>
      <c r="U442" s="39">
        <f t="shared" si="87"/>
        <v>7.401831514075214E-3</v>
      </c>
      <c r="V442" s="39">
        <f t="shared" si="87"/>
        <v>1.5719974415802099E-2</v>
      </c>
      <c r="W442" s="37">
        <v>0.56100000000000005</v>
      </c>
    </row>
    <row r="443" spans="2:23" x14ac:dyDescent="0.25">
      <c r="B443" s="39">
        <f t="shared" ref="B443:K452" si="88">_xlfn.HYPGEOM.DIST(B$2,comau,tongtheN*$W443,tongtheN,TRUE)</f>
        <v>1.1516246735053996E-18</v>
      </c>
      <c r="C443" s="39">
        <f t="shared" si="88"/>
        <v>7.5835965939620288E-17</v>
      </c>
      <c r="D443" s="39">
        <f t="shared" si="88"/>
        <v>2.4474013659596702E-15</v>
      </c>
      <c r="E443" s="39">
        <f t="shared" si="88"/>
        <v>5.1593093992881864E-14</v>
      </c>
      <c r="F443" s="39">
        <f t="shared" si="88"/>
        <v>7.9897853280984469E-13</v>
      </c>
      <c r="G443" s="39">
        <f t="shared" si="88"/>
        <v>9.6919055302517437E-12</v>
      </c>
      <c r="H443" s="39">
        <f t="shared" si="88"/>
        <v>9.5892298989209966E-11</v>
      </c>
      <c r="I443" s="39">
        <f t="shared" si="88"/>
        <v>7.956668758352011E-10</v>
      </c>
      <c r="J443" s="39">
        <f t="shared" si="88"/>
        <v>5.6499147671226431E-9</v>
      </c>
      <c r="K443" s="39">
        <f t="shared" si="88"/>
        <v>3.4864863414125639E-8</v>
      </c>
      <c r="L443" s="39">
        <f t="shared" ref="L443:V452" si="89">_xlfn.HYPGEOM.DIST(L$2,comau,tongtheN*$W443,tongtheN,TRUE)</f>
        <v>1.8923258045810702E-7</v>
      </c>
      <c r="M443" s="39">
        <f t="shared" si="89"/>
        <v>9.1213955437251517E-7</v>
      </c>
      <c r="N443" s="39">
        <f t="shared" si="89"/>
        <v>3.9356784464706473E-6</v>
      </c>
      <c r="O443" s="39">
        <f t="shared" si="89"/>
        <v>1.5301393721782419E-5</v>
      </c>
      <c r="P443" s="39">
        <f t="shared" si="89"/>
        <v>5.3902756865368142E-5</v>
      </c>
      <c r="Q443" s="39">
        <f t="shared" si="89"/>
        <v>1.7287271348919749E-4</v>
      </c>
      <c r="R443" s="39">
        <f t="shared" si="89"/>
        <v>5.068370194133571E-4</v>
      </c>
      <c r="S443" s="39">
        <f t="shared" si="89"/>
        <v>1.3633541011405757E-3</v>
      </c>
      <c r="T443" s="39">
        <f t="shared" si="89"/>
        <v>3.3755708779727965E-3</v>
      </c>
      <c r="U443" s="39">
        <f t="shared" si="89"/>
        <v>7.7152717302294265E-3</v>
      </c>
      <c r="V443" s="39">
        <f t="shared" si="89"/>
        <v>1.6322662443337032E-2</v>
      </c>
      <c r="W443" s="37">
        <v>0.56000000000000005</v>
      </c>
    </row>
    <row r="444" spans="2:23" x14ac:dyDescent="0.25">
      <c r="B444" s="39">
        <f t="shared" si="88"/>
        <v>1.2719874380793584E-18</v>
      </c>
      <c r="C444" s="39">
        <f t="shared" si="88"/>
        <v>8.3469009609995325E-17</v>
      </c>
      <c r="D444" s="39">
        <f t="shared" si="88"/>
        <v>2.6843258284494603E-15</v>
      </c>
      <c r="E444" s="39">
        <f t="shared" si="88"/>
        <v>5.6390194889215078E-14</v>
      </c>
      <c r="F444" s="39">
        <f t="shared" si="88"/>
        <v>8.7022453461380619E-13</v>
      </c>
      <c r="G444" s="39">
        <f t="shared" si="88"/>
        <v>1.051942514660847E-11</v>
      </c>
      <c r="H444" s="39">
        <f t="shared" si="88"/>
        <v>1.0371841944840889E-10</v>
      </c>
      <c r="I444" s="39">
        <f t="shared" si="88"/>
        <v>8.5762172303738456E-10</v>
      </c>
      <c r="J444" s="39">
        <f t="shared" si="88"/>
        <v>6.0687898332703387E-9</v>
      </c>
      <c r="K444" s="39">
        <f t="shared" si="88"/>
        <v>3.732051851353701E-8</v>
      </c>
      <c r="L444" s="39">
        <f t="shared" si="89"/>
        <v>2.0186424250384769E-7</v>
      </c>
      <c r="M444" s="39">
        <f t="shared" si="89"/>
        <v>9.6969112872311162E-7</v>
      </c>
      <c r="N444" s="39">
        <f t="shared" si="89"/>
        <v>4.1697108682849039E-6</v>
      </c>
      <c r="O444" s="39">
        <f t="shared" si="89"/>
        <v>1.6156150537615352E-5</v>
      </c>
      <c r="P444" s="39">
        <f t="shared" si="89"/>
        <v>5.6721249764004422E-5</v>
      </c>
      <c r="Q444" s="39">
        <f t="shared" si="89"/>
        <v>1.8129995417717282E-4</v>
      </c>
      <c r="R444" s="39">
        <f t="shared" si="89"/>
        <v>5.2976827247999919E-4</v>
      </c>
      <c r="S444" s="39">
        <f t="shared" si="89"/>
        <v>1.4203138511797754E-3</v>
      </c>
      <c r="T444" s="39">
        <f t="shared" si="89"/>
        <v>3.5050538496565961E-3</v>
      </c>
      <c r="U444" s="39">
        <f t="shared" si="89"/>
        <v>7.9852194906012575E-3</v>
      </c>
      <c r="V444" s="39">
        <f t="shared" si="89"/>
        <v>1.683969972520168E-2</v>
      </c>
      <c r="W444" s="37">
        <v>0.55900000000000005</v>
      </c>
    </row>
    <row r="445" spans="2:23" x14ac:dyDescent="0.25">
      <c r="B445" s="39">
        <f t="shared" si="88"/>
        <v>1.432768448132593E-18</v>
      </c>
      <c r="C445" s="39">
        <f t="shared" si="88"/>
        <v>9.3625312049461506E-17</v>
      </c>
      <c r="D445" s="39">
        <f t="shared" si="88"/>
        <v>2.998335783296479E-15</v>
      </c>
      <c r="E445" s="39">
        <f t="shared" si="88"/>
        <v>6.2723178355631073E-14</v>
      </c>
      <c r="F445" s="39">
        <f t="shared" si="88"/>
        <v>9.6391304663009307E-13</v>
      </c>
      <c r="G445" s="39">
        <f t="shared" si="88"/>
        <v>1.1603354150688191E-11</v>
      </c>
      <c r="H445" s="39">
        <f t="shared" si="88"/>
        <v>1.1392936868283036E-10</v>
      </c>
      <c r="I445" s="39">
        <f t="shared" si="88"/>
        <v>9.3813959351998858E-10</v>
      </c>
      <c r="J445" s="39">
        <f t="shared" si="88"/>
        <v>6.611039448598056E-9</v>
      </c>
      <c r="K445" s="39">
        <f t="shared" si="88"/>
        <v>4.0487023797921846E-8</v>
      </c>
      <c r="L445" s="39">
        <f t="shared" si="89"/>
        <v>2.1808876040635939E-7</v>
      </c>
      <c r="M445" s="39">
        <f t="shared" si="89"/>
        <v>1.0433232508830377E-6</v>
      </c>
      <c r="N445" s="39">
        <f t="shared" si="89"/>
        <v>4.4679641916908787E-6</v>
      </c>
      <c r="O445" s="39">
        <f t="shared" si="89"/>
        <v>1.7241204513513011E-5</v>
      </c>
      <c r="P445" s="39">
        <f t="shared" si="89"/>
        <v>6.0285150253374375E-5</v>
      </c>
      <c r="Q445" s="39">
        <f t="shared" si="89"/>
        <v>1.9191432423733385E-4</v>
      </c>
      <c r="R445" s="39">
        <f t="shared" si="89"/>
        <v>5.5853809381004602E-4</v>
      </c>
      <c r="S445" s="39">
        <f t="shared" si="89"/>
        <v>1.491497189342996E-3</v>
      </c>
      <c r="T445" s="39">
        <f t="shared" si="89"/>
        <v>3.6662386846204788E-3</v>
      </c>
      <c r="U445" s="39">
        <f t="shared" si="89"/>
        <v>8.31994810604356E-3</v>
      </c>
      <c r="V445" s="39">
        <f t="shared" si="89"/>
        <v>1.7478311482313991E-2</v>
      </c>
      <c r="W445" s="37">
        <v>0.55800000000000005</v>
      </c>
    </row>
    <row r="446" spans="2:23" x14ac:dyDescent="0.25">
      <c r="B446" s="39">
        <f t="shared" si="88"/>
        <v>1.6134162447579049E-18</v>
      </c>
      <c r="C446" s="39">
        <f t="shared" si="88"/>
        <v>1.0498799001068312E-16</v>
      </c>
      <c r="D446" s="39">
        <f t="shared" si="88"/>
        <v>3.3481486750720842E-15</v>
      </c>
      <c r="E446" s="39">
        <f t="shared" si="88"/>
        <v>6.9748209162839439E-14</v>
      </c>
      <c r="F446" s="39">
        <f t="shared" si="88"/>
        <v>1.0673972041050846E-12</v>
      </c>
      <c r="G446" s="39">
        <f t="shared" si="88"/>
        <v>1.2795518621251621E-11</v>
      </c>
      <c r="H446" s="39">
        <f t="shared" si="88"/>
        <v>1.2511213956334766E-10</v>
      </c>
      <c r="I446" s="39">
        <f t="shared" si="88"/>
        <v>1.0259454987220698E-9</v>
      </c>
      <c r="J446" s="39">
        <f t="shared" si="88"/>
        <v>7.1998546211132002E-9</v>
      </c>
      <c r="K446" s="39">
        <f t="shared" si="88"/>
        <v>4.3910823998822094E-8</v>
      </c>
      <c r="L446" s="39">
        <f t="shared" si="89"/>
        <v>2.3555697881584352E-7</v>
      </c>
      <c r="M446" s="39">
        <f t="shared" si="89"/>
        <v>1.122262484566022E-6</v>
      </c>
      <c r="N446" s="39">
        <f t="shared" si="89"/>
        <v>4.7863544825421971E-6</v>
      </c>
      <c r="O446" s="39">
        <f t="shared" si="89"/>
        <v>1.839459127121214E-5</v>
      </c>
      <c r="P446" s="39">
        <f t="shared" si="89"/>
        <v>6.4057382644608165E-5</v>
      </c>
      <c r="Q446" s="39">
        <f t="shared" si="89"/>
        <v>2.0310139810729135E-4</v>
      </c>
      <c r="R446" s="39">
        <f t="shared" si="89"/>
        <v>5.887312847420663E-4</v>
      </c>
      <c r="S446" s="39">
        <f t="shared" si="89"/>
        <v>1.5658846825298616E-3</v>
      </c>
      <c r="T446" s="39">
        <f t="shared" si="89"/>
        <v>3.833962847379174E-3</v>
      </c>
      <c r="U446" s="39">
        <f t="shared" si="89"/>
        <v>8.6667762497691474E-3</v>
      </c>
      <c r="V446" s="39">
        <f t="shared" si="89"/>
        <v>1.8137194922071553E-2</v>
      </c>
      <c r="W446" s="37">
        <v>0.55700000000000005</v>
      </c>
    </row>
    <row r="447" spans="2:23" x14ac:dyDescent="0.25">
      <c r="B447" s="39">
        <f t="shared" si="88"/>
        <v>1.8163295680895306E-18</v>
      </c>
      <c r="C447" s="39">
        <f t="shared" si="88"/>
        <v>1.1769685398383653E-16</v>
      </c>
      <c r="D447" s="39">
        <f t="shared" si="88"/>
        <v>3.7377407762525783E-15</v>
      </c>
      <c r="E447" s="39">
        <f t="shared" si="88"/>
        <v>7.7538811299800323E-14</v>
      </c>
      <c r="F447" s="39">
        <f t="shared" si="88"/>
        <v>1.1816706387715653E-12</v>
      </c>
      <c r="G447" s="39">
        <f t="shared" si="88"/>
        <v>1.41063787901707E-11</v>
      </c>
      <c r="H447" s="39">
        <f t="shared" si="88"/>
        <v>1.3735600530942445E-10</v>
      </c>
      <c r="I447" s="39">
        <f t="shared" si="88"/>
        <v>1.1216741531485395E-9</v>
      </c>
      <c r="J447" s="39">
        <f t="shared" si="88"/>
        <v>7.8390689159360071E-9</v>
      </c>
      <c r="K447" s="39">
        <f t="shared" si="88"/>
        <v>4.7611877076073584E-8</v>
      </c>
      <c r="L447" s="39">
        <f t="shared" si="89"/>
        <v>2.5435945663707423E-7</v>
      </c>
      <c r="M447" s="39">
        <f t="shared" si="89"/>
        <v>1.2068700319756376E-6</v>
      </c>
      <c r="N447" s="39">
        <f t="shared" si="89"/>
        <v>5.1261564585942219E-6</v>
      </c>
      <c r="O447" s="39">
        <f t="shared" si="89"/>
        <v>1.9620310743881285E-5</v>
      </c>
      <c r="P447" s="39">
        <f t="shared" si="89"/>
        <v>6.804914575636146E-5</v>
      </c>
      <c r="Q447" s="39">
        <f t="shared" si="89"/>
        <v>2.1488920946152656E-4</v>
      </c>
      <c r="R447" s="39">
        <f t="shared" si="89"/>
        <v>6.2041062945489517E-4</v>
      </c>
      <c r="S447" s="39">
        <f t="shared" si="89"/>
        <v>1.6436019922873926E-3</v>
      </c>
      <c r="T447" s="39">
        <f t="shared" si="89"/>
        <v>4.0084503313445761E-3</v>
      </c>
      <c r="U447" s="39">
        <f t="shared" si="89"/>
        <v>9.0260569964203587E-3</v>
      </c>
      <c r="V447" s="39">
        <f t="shared" si="89"/>
        <v>1.8816835535476716E-2</v>
      </c>
      <c r="W447" s="37">
        <v>0.55600000000000005</v>
      </c>
    </row>
    <row r="448" spans="2:23" x14ac:dyDescent="0.25">
      <c r="B448" s="39">
        <f t="shared" si="88"/>
        <v>2.0043578168998923E-18</v>
      </c>
      <c r="C448" s="39">
        <f t="shared" si="88"/>
        <v>1.2942766179668405E-16</v>
      </c>
      <c r="D448" s="39">
        <f t="shared" si="88"/>
        <v>4.0959526082090879E-15</v>
      </c>
      <c r="E448" s="39">
        <f t="shared" si="88"/>
        <v>8.4674063830960696E-14</v>
      </c>
      <c r="F448" s="39">
        <f t="shared" si="88"/>
        <v>1.2859244849298123E-12</v>
      </c>
      <c r="G448" s="39">
        <f t="shared" si="88"/>
        <v>1.5297652611032803E-11</v>
      </c>
      <c r="H448" s="39">
        <f t="shared" si="88"/>
        <v>1.4843963883110144E-10</v>
      </c>
      <c r="I448" s="39">
        <f t="shared" si="88"/>
        <v>1.2079946364537486E-9</v>
      </c>
      <c r="J448" s="39">
        <f t="shared" si="88"/>
        <v>8.4132205953167513E-9</v>
      </c>
      <c r="K448" s="39">
        <f t="shared" si="88"/>
        <v>5.0923292503168176E-8</v>
      </c>
      <c r="L448" s="39">
        <f t="shared" si="89"/>
        <v>2.7111704714981847E-7</v>
      </c>
      <c r="M448" s="39">
        <f t="shared" si="89"/>
        <v>1.2819827832300892E-6</v>
      </c>
      <c r="N448" s="39">
        <f t="shared" si="89"/>
        <v>5.4266523089632546E-6</v>
      </c>
      <c r="O448" s="39">
        <f t="shared" si="89"/>
        <v>2.0700031921409616E-5</v>
      </c>
      <c r="P448" s="39">
        <f t="shared" si="89"/>
        <v>7.1551767092691837E-5</v>
      </c>
      <c r="Q448" s="39">
        <f t="shared" si="89"/>
        <v>2.2519234561019387E-4</v>
      </c>
      <c r="R448" s="39">
        <f t="shared" si="89"/>
        <v>6.4799227819589222E-4</v>
      </c>
      <c r="S448" s="39">
        <f t="shared" si="89"/>
        <v>1.7110034831092173E-3</v>
      </c>
      <c r="T448" s="39">
        <f t="shared" si="89"/>
        <v>4.1591886518404222E-3</v>
      </c>
      <c r="U448" s="39">
        <f t="shared" si="89"/>
        <v>9.3352295419554931E-3</v>
      </c>
      <c r="V448" s="39">
        <f t="shared" si="89"/>
        <v>1.9399413189836179E-2</v>
      </c>
      <c r="W448" s="37">
        <v>0.55500000000000005</v>
      </c>
    </row>
    <row r="449" spans="2:23" x14ac:dyDescent="0.25">
      <c r="B449" s="39">
        <f t="shared" si="88"/>
        <v>2.2552825854237205E-18</v>
      </c>
      <c r="C449" s="39">
        <f t="shared" si="88"/>
        <v>1.4502128764604929E-16</v>
      </c>
      <c r="D449" s="39">
        <f t="shared" si="88"/>
        <v>4.5702581722125148E-15</v>
      </c>
      <c r="E449" s="39">
        <f t="shared" si="88"/>
        <v>9.4084875596310688E-14</v>
      </c>
      <c r="F449" s="39">
        <f t="shared" si="88"/>
        <v>1.4228894885067118E-12</v>
      </c>
      <c r="G449" s="39">
        <f t="shared" si="88"/>
        <v>1.6856592092329206E-11</v>
      </c>
      <c r="H449" s="39">
        <f t="shared" si="88"/>
        <v>1.6288739116529971E-10</v>
      </c>
      <c r="I449" s="39">
        <f t="shared" si="88"/>
        <v>1.3200758457541534E-9</v>
      </c>
      <c r="J449" s="39">
        <f t="shared" si="88"/>
        <v>9.1558065645048881E-9</v>
      </c>
      <c r="K449" s="39">
        <f t="shared" si="88"/>
        <v>5.5189434067679783E-8</v>
      </c>
      <c r="L449" s="39">
        <f t="shared" si="89"/>
        <v>2.9262182714450328E-7</v>
      </c>
      <c r="M449" s="39">
        <f t="shared" si="89"/>
        <v>1.3779978247942748E-6</v>
      </c>
      <c r="N449" s="39">
        <f t="shared" si="89"/>
        <v>5.8092713659292983E-6</v>
      </c>
      <c r="O449" s="39">
        <f t="shared" si="89"/>
        <v>2.2069470598074498E-5</v>
      </c>
      <c r="P449" s="39">
        <f t="shared" si="89"/>
        <v>7.5976910486892944E-5</v>
      </c>
      <c r="Q449" s="39">
        <f t="shared" si="89"/>
        <v>2.3815837869499084E-4</v>
      </c>
      <c r="R449" s="39">
        <f t="shared" si="89"/>
        <v>6.8256724519052091E-4</v>
      </c>
      <c r="S449" s="39">
        <f t="shared" si="89"/>
        <v>1.7951653293956427E-3</v>
      </c>
      <c r="T449" s="39">
        <f t="shared" si="89"/>
        <v>4.3466768608247056E-3</v>
      </c>
      <c r="U449" s="39">
        <f t="shared" si="89"/>
        <v>9.7182800848858476E-3</v>
      </c>
      <c r="V449" s="39">
        <f t="shared" si="89"/>
        <v>2.0118388853643757E-2</v>
      </c>
      <c r="W449" s="37">
        <v>0.55400000000000005</v>
      </c>
    </row>
    <row r="450" spans="2:23" x14ac:dyDescent="0.25">
      <c r="B450" s="39">
        <f t="shared" si="88"/>
        <v>2.536916167398954E-18</v>
      </c>
      <c r="C450" s="39">
        <f t="shared" si="88"/>
        <v>1.6244893803251819E-16</v>
      </c>
      <c r="D450" s="39">
        <f t="shared" si="88"/>
        <v>5.0980965025741127E-15</v>
      </c>
      <c r="E450" s="39">
        <f t="shared" si="88"/>
        <v>1.045133533757105E-13</v>
      </c>
      <c r="F450" s="39">
        <f t="shared" si="88"/>
        <v>1.574020895903498E-12</v>
      </c>
      <c r="G450" s="39">
        <f t="shared" si="88"/>
        <v>1.8569467606948727E-11</v>
      </c>
      <c r="H450" s="39">
        <f t="shared" si="88"/>
        <v>1.7869435341788392E-10</v>
      </c>
      <c r="I450" s="39">
        <f t="shared" si="88"/>
        <v>1.4421806268219533E-9</v>
      </c>
      <c r="J450" s="39">
        <f t="shared" si="88"/>
        <v>9.9613676596264215E-9</v>
      </c>
      <c r="K450" s="39">
        <f t="shared" si="88"/>
        <v>5.9797715987964197E-8</v>
      </c>
      <c r="L450" s="39">
        <f t="shared" si="89"/>
        <v>3.1575264363817062E-7</v>
      </c>
      <c r="M450" s="39">
        <f t="shared" si="89"/>
        <v>1.4808343903889506E-6</v>
      </c>
      <c r="N450" s="39">
        <f t="shared" si="89"/>
        <v>6.2173345045919993E-6</v>
      </c>
      <c r="O450" s="39">
        <f t="shared" si="89"/>
        <v>2.3523777229564913E-5</v>
      </c>
      <c r="P450" s="39">
        <f t="shared" si="89"/>
        <v>8.0656346542415364E-5</v>
      </c>
      <c r="Q450" s="39">
        <f t="shared" si="89"/>
        <v>2.5181131972542848E-4</v>
      </c>
      <c r="R450" s="39">
        <f t="shared" si="89"/>
        <v>7.1881940866511508E-4</v>
      </c>
      <c r="S450" s="39">
        <f t="shared" si="89"/>
        <v>1.8830353284982598E-3</v>
      </c>
      <c r="T450" s="39">
        <f t="shared" si="89"/>
        <v>4.5415951925835332E-3</v>
      </c>
      <c r="U450" s="39">
        <f t="shared" si="89"/>
        <v>1.011482127885209E-2</v>
      </c>
      <c r="V450" s="39">
        <f t="shared" si="89"/>
        <v>2.0859528532096404E-2</v>
      </c>
      <c r="W450" s="37">
        <v>0.55300000000000005</v>
      </c>
    </row>
    <row r="451" spans="2:23" x14ac:dyDescent="0.25">
      <c r="B451" s="39">
        <f t="shared" si="88"/>
        <v>2.8529310092985284E-18</v>
      </c>
      <c r="C451" s="39">
        <f t="shared" si="88"/>
        <v>1.8192107506175788E-16</v>
      </c>
      <c r="D451" s="39">
        <f t="shared" si="88"/>
        <v>5.685352673928425E-15</v>
      </c>
      <c r="E451" s="39">
        <f t="shared" si="88"/>
        <v>1.1606648234457449E-13</v>
      </c>
      <c r="F451" s="39">
        <f t="shared" si="88"/>
        <v>1.7407400943257882E-12</v>
      </c>
      <c r="G451" s="39">
        <f t="shared" si="88"/>
        <v>2.0450988400248703E-11</v>
      </c>
      <c r="H451" s="39">
        <f t="shared" si="88"/>
        <v>1.9598392051804305E-10</v>
      </c>
      <c r="I451" s="39">
        <f t="shared" si="88"/>
        <v>1.5751712443007209E-9</v>
      </c>
      <c r="J451" s="39">
        <f t="shared" si="88"/>
        <v>1.0835021909614922E-8</v>
      </c>
      <c r="K451" s="39">
        <f t="shared" si="88"/>
        <v>6.4774319871139744E-8</v>
      </c>
      <c r="L451" s="39">
        <f t="shared" si="89"/>
        <v>3.4062621049214718E-7</v>
      </c>
      <c r="M451" s="39">
        <f t="shared" si="89"/>
        <v>1.5909497455968033E-6</v>
      </c>
      <c r="N451" s="39">
        <f t="shared" si="89"/>
        <v>6.6524264530292745E-6</v>
      </c>
      <c r="O451" s="39">
        <f t="shared" si="89"/>
        <v>2.5067833669852999E-5</v>
      </c>
      <c r="P451" s="39">
        <f t="shared" si="89"/>
        <v>8.5603488286691964E-5</v>
      </c>
      <c r="Q451" s="39">
        <f t="shared" si="89"/>
        <v>2.661841019490418E-4</v>
      </c>
      <c r="R451" s="39">
        <f t="shared" si="89"/>
        <v>7.568210625199679E-4</v>
      </c>
      <c r="S451" s="39">
        <f t="shared" si="89"/>
        <v>1.9747551646431007E-3</v>
      </c>
      <c r="T451" s="39">
        <f t="shared" si="89"/>
        <v>4.7441905814923028E-3</v>
      </c>
      <c r="U451" s="39">
        <f t="shared" si="89"/>
        <v>1.0525232801254041E-2</v>
      </c>
      <c r="V451" s="39">
        <f t="shared" si="89"/>
        <v>2.1623339351694394E-2</v>
      </c>
      <c r="W451" s="37">
        <v>0.55200000000000005</v>
      </c>
    </row>
    <row r="452" spans="2:23" x14ac:dyDescent="0.25">
      <c r="B452" s="39">
        <f t="shared" si="88"/>
        <v>3.2074285355008981E-18</v>
      </c>
      <c r="C452" s="39">
        <f t="shared" si="88"/>
        <v>2.0367171200430693E-16</v>
      </c>
      <c r="D452" s="39">
        <f t="shared" si="88"/>
        <v>6.3385414779959521E-15</v>
      </c>
      <c r="E452" s="39">
        <f t="shared" si="88"/>
        <v>1.2886217180052374E-13</v>
      </c>
      <c r="F452" s="39">
        <f t="shared" si="88"/>
        <v>1.9246066569562056E-12</v>
      </c>
      <c r="G452" s="39">
        <f t="shared" si="88"/>
        <v>2.2517221835550542E-11</v>
      </c>
      <c r="H452" s="39">
        <f t="shared" si="88"/>
        <v>2.1489027718764204E-10</v>
      </c>
      <c r="I452" s="39">
        <f t="shared" si="88"/>
        <v>1.7199811393846306E-9</v>
      </c>
      <c r="J452" s="39">
        <f t="shared" si="88"/>
        <v>1.1782284712800363E-8</v>
      </c>
      <c r="K452" s="39">
        <f t="shared" si="88"/>
        <v>7.014733126409669E-8</v>
      </c>
      <c r="L452" s="39">
        <f t="shared" si="89"/>
        <v>3.6736715208157598E-7</v>
      </c>
      <c r="M452" s="39">
        <f t="shared" si="89"/>
        <v>1.7088298727765304E-6</v>
      </c>
      <c r="N452" s="39">
        <f t="shared" si="89"/>
        <v>7.1162235054327286E-6</v>
      </c>
      <c r="O452" s="39">
        <f t="shared" si="89"/>
        <v>2.6706779036041827E-5</v>
      </c>
      <c r="P452" s="39">
        <f t="shared" si="89"/>
        <v>9.0832386269775375E-5</v>
      </c>
      <c r="Q452" s="39">
        <f t="shared" si="89"/>
        <v>2.8131104982419616E-4</v>
      </c>
      <c r="R452" s="39">
        <f t="shared" si="89"/>
        <v>7.9664716012553733E-4</v>
      </c>
      <c r="S452" s="39">
        <f t="shared" si="89"/>
        <v>2.0704709257295573E-3</v>
      </c>
      <c r="T452" s="39">
        <f t="shared" si="89"/>
        <v>4.9547161329745676E-3</v>
      </c>
      <c r="U452" s="39">
        <f t="shared" si="89"/>
        <v>1.0949901265617519E-2</v>
      </c>
      <c r="V452" s="39">
        <f t="shared" si="89"/>
        <v>2.2410333712613945E-2</v>
      </c>
      <c r="W452" s="37">
        <v>0.55100000000000005</v>
      </c>
    </row>
    <row r="453" spans="2:23" x14ac:dyDescent="0.25">
      <c r="B453" s="39">
        <f t="shared" ref="B453:K462" si="90">_xlfn.HYPGEOM.DIST(B$2,comau,tongtheN*$W453,tongtheN,TRUE)</f>
        <v>3.5355277995326657E-18</v>
      </c>
      <c r="C453" s="39">
        <f t="shared" si="90"/>
        <v>2.2372458722032971E-16</v>
      </c>
      <c r="D453" s="39">
        <f t="shared" si="90"/>
        <v>6.9384098456494241E-15</v>
      </c>
      <c r="E453" s="39">
        <f t="shared" si="90"/>
        <v>1.405677645292984E-13</v>
      </c>
      <c r="F453" s="39">
        <f t="shared" si="90"/>
        <v>2.0921568358898146E-12</v>
      </c>
      <c r="G453" s="39">
        <f t="shared" si="90"/>
        <v>2.4392794418993479E-11</v>
      </c>
      <c r="H453" s="39">
        <f t="shared" si="90"/>
        <v>2.3198549427347616E-10</v>
      </c>
      <c r="I453" s="39">
        <f t="shared" si="90"/>
        <v>1.8504110586427356E-9</v>
      </c>
      <c r="J453" s="39">
        <f t="shared" si="90"/>
        <v>1.2632172548861086E-8</v>
      </c>
      <c r="K453" s="39">
        <f t="shared" si="90"/>
        <v>7.4949318083392915E-8</v>
      </c>
      <c r="L453" s="39">
        <f t="shared" ref="L453:V462" si="91">_xlfn.HYPGEOM.DIST(L$2,comau,tongtheN*$W453,tongtheN,TRUE)</f>
        <v>3.9117345192916184E-7</v>
      </c>
      <c r="M453" s="39">
        <f t="shared" si="91"/>
        <v>1.8133663186114511E-6</v>
      </c>
      <c r="N453" s="39">
        <f t="shared" si="91"/>
        <v>7.5259244618079211E-6</v>
      </c>
      <c r="O453" s="39">
        <f t="shared" si="91"/>
        <v>2.8148945051325359E-5</v>
      </c>
      <c r="P453" s="39">
        <f t="shared" si="91"/>
        <v>9.5415626946805933E-5</v>
      </c>
      <c r="Q453" s="39">
        <f t="shared" si="91"/>
        <v>2.9451869664165968E-4</v>
      </c>
      <c r="R453" s="39">
        <f t="shared" si="91"/>
        <v>8.3128521204825045E-4</v>
      </c>
      <c r="S453" s="39">
        <f t="shared" si="91"/>
        <v>2.1533950047795168E-3</v>
      </c>
      <c r="T453" s="39">
        <f t="shared" si="91"/>
        <v>5.1363987740547573E-3</v>
      </c>
      <c r="U453" s="39">
        <f t="shared" si="91"/>
        <v>1.1314966081777435E-2</v>
      </c>
      <c r="V453" s="39">
        <f t="shared" si="91"/>
        <v>2.3084245200062834E-2</v>
      </c>
      <c r="W453" s="37">
        <v>0.55000000000000004</v>
      </c>
    </row>
    <row r="454" spans="2:23" x14ac:dyDescent="0.25">
      <c r="B454" s="39">
        <f t="shared" si="90"/>
        <v>3.9728526713198486E-18</v>
      </c>
      <c r="C454" s="39">
        <f t="shared" si="90"/>
        <v>2.5034889837998022E-16</v>
      </c>
      <c r="D454" s="39">
        <f t="shared" si="90"/>
        <v>7.7317525418455991E-15</v>
      </c>
      <c r="E454" s="39">
        <f t="shared" si="90"/>
        <v>1.5598838126499881E-13</v>
      </c>
      <c r="F454" s="39">
        <f t="shared" si="90"/>
        <v>2.3120223044749617E-12</v>
      </c>
      <c r="G454" s="39">
        <f t="shared" si="90"/>
        <v>2.6844397339919045E-11</v>
      </c>
      <c r="H454" s="39">
        <f t="shared" si="90"/>
        <v>2.5424396523008176E-10</v>
      </c>
      <c r="I454" s="39">
        <f t="shared" si="90"/>
        <v>2.0195730203434306E-9</v>
      </c>
      <c r="J454" s="39">
        <f t="shared" si="90"/>
        <v>1.373014693359082E-8</v>
      </c>
      <c r="K454" s="39">
        <f t="shared" si="90"/>
        <v>8.1128870104479863E-8</v>
      </c>
      <c r="L454" s="39">
        <f t="shared" si="91"/>
        <v>4.2168987931426209E-7</v>
      </c>
      <c r="M454" s="39">
        <f t="shared" si="91"/>
        <v>1.9468461365258099E-6</v>
      </c>
      <c r="N454" s="39">
        <f t="shared" si="91"/>
        <v>8.0470246910577728E-6</v>
      </c>
      <c r="O454" s="39">
        <f t="shared" si="91"/>
        <v>2.9976103791499879E-5</v>
      </c>
      <c r="P454" s="39">
        <f t="shared" si="91"/>
        <v>1.0119979292352593E-4</v>
      </c>
      <c r="Q454" s="39">
        <f t="shared" si="91"/>
        <v>3.1112224510213086E-4</v>
      </c>
      <c r="R454" s="39">
        <f t="shared" si="91"/>
        <v>8.7465992697237404E-4</v>
      </c>
      <c r="S454" s="39">
        <f t="shared" si="91"/>
        <v>2.2568310391870394E-3</v>
      </c>
      <c r="T454" s="39">
        <f t="shared" si="91"/>
        <v>5.3621410983469052E-3</v>
      </c>
      <c r="U454" s="39">
        <f t="shared" si="91"/>
        <v>1.1766799357258729E-2</v>
      </c>
      <c r="V454" s="39">
        <f t="shared" si="91"/>
        <v>2.3915090348554522E-2</v>
      </c>
      <c r="W454" s="37">
        <v>0.54900000000000004</v>
      </c>
    </row>
    <row r="455" spans="2:23" x14ac:dyDescent="0.25">
      <c r="B455" s="39">
        <f t="shared" si="90"/>
        <v>4.4630607782694823E-18</v>
      </c>
      <c r="C455" s="39">
        <f t="shared" si="90"/>
        <v>2.8006622733624645E-16</v>
      </c>
      <c r="D455" s="39">
        <f t="shared" si="90"/>
        <v>8.6135065409315E-15</v>
      </c>
      <c r="E455" s="39">
        <f t="shared" si="90"/>
        <v>1.7305485162702224E-13</v>
      </c>
      <c r="F455" s="39">
        <f t="shared" si="90"/>
        <v>2.5543229039796847E-12</v>
      </c>
      <c r="G455" s="39">
        <f t="shared" si="90"/>
        <v>2.9534712916281671E-11</v>
      </c>
      <c r="H455" s="39">
        <f t="shared" si="90"/>
        <v>2.785662401668338E-10</v>
      </c>
      <c r="I455" s="39">
        <f t="shared" si="90"/>
        <v>2.2036364397836268E-9</v>
      </c>
      <c r="J455" s="39">
        <f t="shared" si="90"/>
        <v>1.4919779992663775E-8</v>
      </c>
      <c r="K455" s="39">
        <f t="shared" si="90"/>
        <v>8.7795924330807119E-8</v>
      </c>
      <c r="L455" s="39">
        <f t="shared" si="91"/>
        <v>4.5447426101643971E-7</v>
      </c>
      <c r="M455" s="39">
        <f t="shared" si="91"/>
        <v>2.0896386253417881E-6</v>
      </c>
      <c r="N455" s="39">
        <f t="shared" si="91"/>
        <v>8.6021200611784893E-6</v>
      </c>
      <c r="O455" s="39">
        <f t="shared" si="91"/>
        <v>3.191421787509607E-5</v>
      </c>
      <c r="P455" s="39">
        <f t="shared" si="91"/>
        <v>1.0730922238083593E-4</v>
      </c>
      <c r="Q455" s="39">
        <f t="shared" si="91"/>
        <v>3.2858520293256913E-4</v>
      </c>
      <c r="R455" s="39">
        <f t="shared" si="91"/>
        <v>9.2008656958773351E-4</v>
      </c>
      <c r="S455" s="39">
        <f t="shared" si="91"/>
        <v>2.3647016446211953E-3</v>
      </c>
      <c r="T455" s="39">
        <f t="shared" si="91"/>
        <v>5.596564857356311E-3</v>
      </c>
      <c r="U455" s="39">
        <f t="shared" si="91"/>
        <v>1.2234022509182971E-2</v>
      </c>
      <c r="V455" s="39">
        <f t="shared" si="91"/>
        <v>2.477059794865542E-2</v>
      </c>
      <c r="W455" s="37">
        <v>0.54800000000000004</v>
      </c>
    </row>
    <row r="456" spans="2:23" x14ac:dyDescent="0.25">
      <c r="B456" s="39">
        <f t="shared" si="90"/>
        <v>5.0124012195632635E-18</v>
      </c>
      <c r="C456" s="39">
        <f t="shared" si="90"/>
        <v>3.1322716212599038E-16</v>
      </c>
      <c r="D456" s="39">
        <f t="shared" si="90"/>
        <v>9.5932682832632195E-15</v>
      </c>
      <c r="E456" s="39">
        <f t="shared" si="90"/>
        <v>1.9193793592666066E-13</v>
      </c>
      <c r="F456" s="39">
        <f t="shared" si="90"/>
        <v>2.8212791133648664E-12</v>
      </c>
      <c r="G456" s="39">
        <f t="shared" si="90"/>
        <v>3.2486229422868239E-11</v>
      </c>
      <c r="H456" s="39">
        <f t="shared" si="90"/>
        <v>3.0513692633877289E-10</v>
      </c>
      <c r="I456" s="39">
        <f t="shared" si="90"/>
        <v>2.4038635053237781E-9</v>
      </c>
      <c r="J456" s="39">
        <f t="shared" si="90"/>
        <v>1.6208400903623173E-8</v>
      </c>
      <c r="K456" s="39">
        <f t="shared" si="90"/>
        <v>9.4987153415428012E-8</v>
      </c>
      <c r="L456" s="39">
        <f t="shared" si="91"/>
        <v>4.8968646853707563E-7</v>
      </c>
      <c r="M456" s="39">
        <f t="shared" si="91"/>
        <v>2.2423561475282984E-6</v>
      </c>
      <c r="N456" s="39">
        <f t="shared" si="91"/>
        <v>9.1932847608001856E-6</v>
      </c>
      <c r="O456" s="39">
        <f t="shared" si="91"/>
        <v>3.3969529783522125E-5</v>
      </c>
      <c r="P456" s="39">
        <f t="shared" si="91"/>
        <v>1.1376066292665663E-4</v>
      </c>
      <c r="Q456" s="39">
        <f t="shared" si="91"/>
        <v>3.4694769510654427E-4</v>
      </c>
      <c r="R456" s="39">
        <f t="shared" si="91"/>
        <v>9.6765100673839731E-4</v>
      </c>
      <c r="S456" s="39">
        <f t="shared" si="91"/>
        <v>2.477170654103631E-3</v>
      </c>
      <c r="T456" s="39">
        <f t="shared" si="91"/>
        <v>5.8399474654337825E-3</v>
      </c>
      <c r="U456" s="39">
        <f t="shared" si="91"/>
        <v>1.2717048565673869E-2</v>
      </c>
      <c r="V456" s="39">
        <f t="shared" si="91"/>
        <v>2.5651298956042349E-2</v>
      </c>
      <c r="W456" s="37">
        <v>0.54700000000000004</v>
      </c>
    </row>
    <row r="457" spans="2:23" x14ac:dyDescent="0.25">
      <c r="B457" s="39">
        <f t="shared" si="90"/>
        <v>5.5203607359704276E-18</v>
      </c>
      <c r="C457" s="39">
        <f t="shared" si="90"/>
        <v>3.4377143620518762E-16</v>
      </c>
      <c r="D457" s="39">
        <f t="shared" si="90"/>
        <v>1.0492225365337559E-14</v>
      </c>
      <c r="E457" s="39">
        <f t="shared" si="90"/>
        <v>2.091965840088913E-13</v>
      </c>
      <c r="F457" s="39">
        <f t="shared" si="90"/>
        <v>3.064325489886099E-12</v>
      </c>
      <c r="G457" s="39">
        <f t="shared" si="90"/>
        <v>3.5162990105275779E-11</v>
      </c>
      <c r="H457" s="39">
        <f t="shared" si="90"/>
        <v>3.2914084928198073E-10</v>
      </c>
      <c r="I457" s="39">
        <f t="shared" si="90"/>
        <v>2.5840479449450287E-9</v>
      </c>
      <c r="J457" s="39">
        <f t="shared" si="90"/>
        <v>1.7363540957393159E-8</v>
      </c>
      <c r="K457" s="39">
        <f t="shared" si="90"/>
        <v>1.0140852024375901E-7</v>
      </c>
      <c r="L457" s="39">
        <f t="shared" si="91"/>
        <v>5.210072375516883E-7</v>
      </c>
      <c r="M457" s="39">
        <f t="shared" si="91"/>
        <v>2.3776701562271639E-6</v>
      </c>
      <c r="N457" s="39">
        <f t="shared" si="91"/>
        <v>9.7150522683404916E-6</v>
      </c>
      <c r="O457" s="39">
        <f t="shared" si="91"/>
        <v>3.577654096887897E-5</v>
      </c>
      <c r="P457" s="39">
        <f t="shared" si="91"/>
        <v>1.1941073886385456E-4</v>
      </c>
      <c r="Q457" s="39">
        <f t="shared" si="91"/>
        <v>3.6296699789247725E-4</v>
      </c>
      <c r="R457" s="39">
        <f t="shared" si="91"/>
        <v>1.00898512397449E-3</v>
      </c>
      <c r="S457" s="39">
        <f t="shared" si="91"/>
        <v>2.5745290502614672E-3</v>
      </c>
      <c r="T457" s="39">
        <f t="shared" si="91"/>
        <v>6.0498145036503191E-3</v>
      </c>
      <c r="U457" s="39">
        <f t="shared" si="91"/>
        <v>1.3131944635064721E-2</v>
      </c>
      <c r="V457" s="39">
        <f t="shared" si="91"/>
        <v>2.6404847506788714E-2</v>
      </c>
      <c r="W457" s="37">
        <v>0.54600000000000004</v>
      </c>
    </row>
    <row r="458" spans="2:23" x14ac:dyDescent="0.25">
      <c r="B458" s="39">
        <f t="shared" si="90"/>
        <v>6.1967905165928302E-18</v>
      </c>
      <c r="C458" s="39">
        <f t="shared" si="90"/>
        <v>3.8428768042758835E-16</v>
      </c>
      <c r="D458" s="39">
        <f t="shared" si="90"/>
        <v>1.1680028325419083E-14</v>
      </c>
      <c r="E458" s="39">
        <f t="shared" si="90"/>
        <v>2.3191189096286319E-13</v>
      </c>
      <c r="F458" s="39">
        <f t="shared" si="90"/>
        <v>3.3829709220984247E-12</v>
      </c>
      <c r="G458" s="39">
        <f t="shared" si="90"/>
        <v>3.8658697866313393E-11</v>
      </c>
      <c r="H458" s="39">
        <f t="shared" si="90"/>
        <v>3.6036676212685311E-10</v>
      </c>
      <c r="I458" s="39">
        <f t="shared" si="90"/>
        <v>2.8175323426417348E-9</v>
      </c>
      <c r="J458" s="39">
        <f t="shared" si="90"/>
        <v>1.8854560043210616E-8</v>
      </c>
      <c r="K458" s="39">
        <f t="shared" si="90"/>
        <v>1.0966479874736221E-7</v>
      </c>
      <c r="L458" s="39">
        <f t="shared" si="91"/>
        <v>5.6112141401942509E-7</v>
      </c>
      <c r="M458" s="39">
        <f t="shared" si="91"/>
        <v>2.5503005055151138E-6</v>
      </c>
      <c r="N458" s="39">
        <f t="shared" si="91"/>
        <v>1.0378124222435796E-5</v>
      </c>
      <c r="O458" s="39">
        <f t="shared" si="91"/>
        <v>3.8064003679550859E-5</v>
      </c>
      <c r="P458" s="39">
        <f t="shared" si="91"/>
        <v>1.265352871532016E-4</v>
      </c>
      <c r="Q458" s="39">
        <f t="shared" si="91"/>
        <v>3.8308833514897169E-4</v>
      </c>
      <c r="R458" s="39">
        <f t="shared" si="91"/>
        <v>1.0607020127565755E-3</v>
      </c>
      <c r="S458" s="39">
        <f t="shared" si="91"/>
        <v>2.695870153701551E-3</v>
      </c>
      <c r="T458" s="39">
        <f t="shared" si="91"/>
        <v>6.3103637852102044E-3</v>
      </c>
      <c r="U458" s="39">
        <f t="shared" si="91"/>
        <v>1.3645037996517192E-2</v>
      </c>
      <c r="V458" s="39">
        <f t="shared" si="91"/>
        <v>2.7333129772813335E-2</v>
      </c>
      <c r="W458" s="37">
        <v>0.54500000000000004</v>
      </c>
    </row>
    <row r="459" spans="2:23" x14ac:dyDescent="0.25">
      <c r="B459" s="39">
        <f t="shared" si="90"/>
        <v>6.9542514005536688E-18</v>
      </c>
      <c r="C459" s="39">
        <f t="shared" si="90"/>
        <v>4.2946545567838151E-16</v>
      </c>
      <c r="D459" s="39">
        <f t="shared" si="90"/>
        <v>1.2998887306923818E-14</v>
      </c>
      <c r="E459" s="39">
        <f t="shared" si="90"/>
        <v>2.5702676436317204E-13</v>
      </c>
      <c r="F459" s="39">
        <f t="shared" si="90"/>
        <v>3.7337863089032384E-12</v>
      </c>
      <c r="G459" s="39">
        <f t="shared" si="90"/>
        <v>4.2491044061374102E-11</v>
      </c>
      <c r="H459" s="39">
        <f t="shared" si="90"/>
        <v>3.9445492249048802E-10</v>
      </c>
      <c r="I459" s="39">
        <f t="shared" si="90"/>
        <v>3.0713402902181959E-9</v>
      </c>
      <c r="J459" s="39">
        <f t="shared" si="90"/>
        <v>2.0468508317897105E-8</v>
      </c>
      <c r="K459" s="39">
        <f t="shared" si="90"/>
        <v>1.1856397739514168E-7</v>
      </c>
      <c r="L459" s="39">
        <f t="shared" si="91"/>
        <v>6.041763331214535E-7</v>
      </c>
      <c r="M459" s="39">
        <f t="shared" si="91"/>
        <v>2.7348026744970104E-6</v>
      </c>
      <c r="N459" s="39">
        <f t="shared" si="91"/>
        <v>1.1083798909150007E-5</v>
      </c>
      <c r="O459" s="39">
        <f t="shared" si="91"/>
        <v>4.0488143019762587E-5</v>
      </c>
      <c r="P459" s="39">
        <f t="shared" si="91"/>
        <v>1.340536051318586E-4</v>
      </c>
      <c r="Q459" s="39">
        <f t="shared" si="91"/>
        <v>4.0423199272031352E-4</v>
      </c>
      <c r="R459" s="39">
        <f t="shared" si="91"/>
        <v>1.1148167693257791E-3</v>
      </c>
      <c r="S459" s="39">
        <f t="shared" si="91"/>
        <v>2.8223005275942199E-3</v>
      </c>
      <c r="T459" s="39">
        <f t="shared" si="91"/>
        <v>6.5806934130448174E-3</v>
      </c>
      <c r="U459" s="39">
        <f t="shared" si="91"/>
        <v>1.4175141368281312E-2</v>
      </c>
      <c r="V459" s="39">
        <f t="shared" si="91"/>
        <v>2.8288132801217801E-2</v>
      </c>
      <c r="W459" s="37">
        <v>0.54400000000000004</v>
      </c>
    </row>
    <row r="460" spans="2:23" x14ac:dyDescent="0.25">
      <c r="B460" s="39">
        <f t="shared" si="90"/>
        <v>7.8022292357474343E-18</v>
      </c>
      <c r="C460" s="39">
        <f t="shared" si="90"/>
        <v>4.7982804668845166E-16</v>
      </c>
      <c r="D460" s="39">
        <f t="shared" si="90"/>
        <v>1.4462885853532363E-14</v>
      </c>
      <c r="E460" s="39">
        <f t="shared" si="90"/>
        <v>2.8478759535585591E-13</v>
      </c>
      <c r="F460" s="39">
        <f t="shared" si="90"/>
        <v>4.1199215244308385E-12</v>
      </c>
      <c r="G460" s="39">
        <f t="shared" si="90"/>
        <v>4.6691388883854022E-11</v>
      </c>
      <c r="H460" s="39">
        <f t="shared" si="90"/>
        <v>4.3165838241194602E-10</v>
      </c>
      <c r="I460" s="39">
        <f t="shared" si="90"/>
        <v>3.3471722996673568E-9</v>
      </c>
      <c r="J460" s="39">
        <f t="shared" si="90"/>
        <v>2.2215089834177015E-8</v>
      </c>
      <c r="K460" s="39">
        <f t="shared" si="90"/>
        <v>1.2815376739172844E-7</v>
      </c>
      <c r="L460" s="39">
        <f t="shared" si="91"/>
        <v>6.5037633514363167E-7</v>
      </c>
      <c r="M460" s="39">
        <f t="shared" si="91"/>
        <v>2.9319454468094464E-6</v>
      </c>
      <c r="N460" s="39">
        <f t="shared" si="91"/>
        <v>1.1834633391771018E-5</v>
      </c>
      <c r="O460" s="39">
        <f t="shared" si="91"/>
        <v>4.3056513427565588E-5</v>
      </c>
      <c r="P460" s="39">
        <f t="shared" si="91"/>
        <v>1.4198557936190206E-4</v>
      </c>
      <c r="Q460" s="39">
        <f t="shared" si="91"/>
        <v>4.2644469356386606E-4</v>
      </c>
      <c r="R460" s="39">
        <f t="shared" si="91"/>
        <v>1.1714273650573195E-3</v>
      </c>
      <c r="S460" s="39">
        <f t="shared" si="91"/>
        <v>2.9540031193687551E-3</v>
      </c>
      <c r="T460" s="39">
        <f t="shared" si="91"/>
        <v>6.861106027653335E-3</v>
      </c>
      <c r="U460" s="39">
        <f t="shared" si="91"/>
        <v>1.4722693640345287E-2</v>
      </c>
      <c r="V460" s="39">
        <f t="shared" si="91"/>
        <v>2.9270403078725742E-2</v>
      </c>
      <c r="W460" s="37">
        <v>0.54300000000000004</v>
      </c>
    </row>
    <row r="461" spans="2:23" x14ac:dyDescent="0.25">
      <c r="B461" s="39">
        <f t="shared" si="90"/>
        <v>8.5856131134939452E-18</v>
      </c>
      <c r="C461" s="39">
        <f t="shared" si="90"/>
        <v>5.2617448549008507E-16</v>
      </c>
      <c r="D461" s="39">
        <f t="shared" si="90"/>
        <v>1.5804930730314898E-14</v>
      </c>
      <c r="E461" s="39">
        <f t="shared" si="90"/>
        <v>3.1013753078488283E-13</v>
      </c>
      <c r="F461" s="39">
        <f t="shared" si="90"/>
        <v>4.4711597073658793E-12</v>
      </c>
      <c r="G461" s="39">
        <f t="shared" si="90"/>
        <v>5.0497356453639444E-11</v>
      </c>
      <c r="H461" s="39">
        <f t="shared" si="90"/>
        <v>4.6523842247336416E-10</v>
      </c>
      <c r="I461" s="39">
        <f t="shared" si="90"/>
        <v>3.5951771610936632E-9</v>
      </c>
      <c r="J461" s="39">
        <f t="shared" si="90"/>
        <v>2.377939670863112E-8</v>
      </c>
      <c r="K461" s="39">
        <f t="shared" si="90"/>
        <v>1.367095485031387E-7</v>
      </c>
      <c r="L461" s="39">
        <f t="shared" si="91"/>
        <v>6.9143548451988683E-7</v>
      </c>
      <c r="M461" s="39">
        <f t="shared" si="91"/>
        <v>3.106473847046422E-6</v>
      </c>
      <c r="N461" s="39">
        <f t="shared" si="91"/>
        <v>1.2496768571593401E-5</v>
      </c>
      <c r="O461" s="39">
        <f t="shared" si="91"/>
        <v>4.5312711505664786E-5</v>
      </c>
      <c r="P461" s="39">
        <f t="shared" si="91"/>
        <v>1.4892651289122994E-4</v>
      </c>
      <c r="Q461" s="39">
        <f t="shared" si="91"/>
        <v>4.4580690196679675E-4</v>
      </c>
      <c r="R461" s="39">
        <f t="shared" si="91"/>
        <v>1.2205824089040935E-3</v>
      </c>
      <c r="S461" s="39">
        <f t="shared" si="91"/>
        <v>3.0679182551343587E-3</v>
      </c>
      <c r="T461" s="39">
        <f t="shared" si="91"/>
        <v>7.1027084658073867E-3</v>
      </c>
      <c r="U461" s="39">
        <f t="shared" si="91"/>
        <v>1.5192637428693173E-2</v>
      </c>
      <c r="V461" s="39">
        <f t="shared" si="91"/>
        <v>3.0110187473187097E-2</v>
      </c>
      <c r="W461" s="37">
        <v>0.54200000000000004</v>
      </c>
    </row>
    <row r="462" spans="2:23" x14ac:dyDescent="0.25">
      <c r="B462" s="39">
        <f t="shared" si="90"/>
        <v>9.6278587463258548E-18</v>
      </c>
      <c r="C462" s="39">
        <f t="shared" si="90"/>
        <v>5.8759596754578821E-16</v>
      </c>
      <c r="D462" s="39">
        <f t="shared" si="90"/>
        <v>1.7576588107897503E-14</v>
      </c>
      <c r="E462" s="39">
        <f t="shared" si="90"/>
        <v>3.4347239116652887E-13</v>
      </c>
      <c r="F462" s="39">
        <f t="shared" si="90"/>
        <v>4.931239222589539E-12</v>
      </c>
      <c r="G462" s="39">
        <f t="shared" si="90"/>
        <v>5.5463347796241881E-11</v>
      </c>
      <c r="H462" s="39">
        <f t="shared" si="90"/>
        <v>5.0888318058769001E-10</v>
      </c>
      <c r="I462" s="39">
        <f t="shared" si="90"/>
        <v>3.9162631742470655E-9</v>
      </c>
      <c r="J462" s="39">
        <f t="shared" si="90"/>
        <v>2.5796804835719594E-8</v>
      </c>
      <c r="K462" s="39">
        <f t="shared" si="90"/>
        <v>1.4770067994007145E-7</v>
      </c>
      <c r="L462" s="39">
        <f t="shared" si="91"/>
        <v>7.4397715943648808E-7</v>
      </c>
      <c r="M462" s="39">
        <f t="shared" si="91"/>
        <v>3.3289439248232166E-6</v>
      </c>
      <c r="N462" s="39">
        <f t="shared" si="91"/>
        <v>1.3337513002731056E-5</v>
      </c>
      <c r="O462" s="39">
        <f t="shared" si="91"/>
        <v>4.816640090930641E-5</v>
      </c>
      <c r="P462" s="39">
        <f t="shared" si="91"/>
        <v>1.5767151276335314E-4</v>
      </c>
      <c r="Q462" s="39">
        <f t="shared" si="91"/>
        <v>4.7010708582651657E-4</v>
      </c>
      <c r="R462" s="39">
        <f t="shared" si="91"/>
        <v>1.2820343784309429E-3</v>
      </c>
      <c r="S462" s="39">
        <f t="shared" si="91"/>
        <v>3.2097790869337769E-3</v>
      </c>
      <c r="T462" s="39">
        <f t="shared" si="91"/>
        <v>7.4024148782969841E-3</v>
      </c>
      <c r="U462" s="39">
        <f t="shared" si="91"/>
        <v>1.5773341123707669E-2</v>
      </c>
      <c r="V462" s="39">
        <f t="shared" si="91"/>
        <v>3.1143878460679213E-2</v>
      </c>
      <c r="W462" s="37">
        <v>0.54100000000000004</v>
      </c>
    </row>
    <row r="463" spans="2:23" x14ac:dyDescent="0.25">
      <c r="B463" s="39">
        <f t="shared" ref="B463:K472" si="92">_xlfn.HYPGEOM.DIST(B$2,comau,tongtheN*$W463,tongtheN,TRUE)</f>
        <v>1.0793799422885719E-17</v>
      </c>
      <c r="C463" s="39">
        <f t="shared" si="92"/>
        <v>6.5601669231608473E-16</v>
      </c>
      <c r="D463" s="39">
        <f t="shared" si="92"/>
        <v>1.9541794835508677E-14</v>
      </c>
      <c r="E463" s="39">
        <f t="shared" si="92"/>
        <v>3.8029278155537796E-13</v>
      </c>
      <c r="F463" s="39">
        <f t="shared" si="92"/>
        <v>5.4372782413085841E-12</v>
      </c>
      <c r="G463" s="39">
        <f t="shared" si="92"/>
        <v>6.0902341318408603E-11</v>
      </c>
      <c r="H463" s="39">
        <f t="shared" si="92"/>
        <v>5.5648310525787397E-10</v>
      </c>
      <c r="I463" s="39">
        <f t="shared" si="92"/>
        <v>4.2649674464407601E-9</v>
      </c>
      <c r="J463" s="39">
        <f t="shared" si="92"/>
        <v>2.7978486929823291E-8</v>
      </c>
      <c r="K463" s="39">
        <f t="shared" si="92"/>
        <v>1.5953660038186933E-7</v>
      </c>
      <c r="L463" s="39">
        <f t="shared" ref="L463:V472" si="93">_xlfn.HYPGEOM.DIST(L$2,comau,tongtheN*$W463,tongtheN,TRUE)</f>
        <v>8.0031829516401614E-7</v>
      </c>
      <c r="M463" s="39">
        <f t="shared" si="93"/>
        <v>3.5664941532362311E-6</v>
      </c>
      <c r="N463" s="39">
        <f t="shared" si="93"/>
        <v>1.4231456602209567E-5</v>
      </c>
      <c r="O463" s="39">
        <f t="shared" si="93"/>
        <v>5.1187849497901754E-5</v>
      </c>
      <c r="P463" s="39">
        <f t="shared" si="93"/>
        <v>1.6689151044697124E-4</v>
      </c>
      <c r="Q463" s="39">
        <f t="shared" si="93"/>
        <v>4.9561900753849997E-4</v>
      </c>
      <c r="R463" s="39">
        <f t="shared" si="93"/>
        <v>1.3462783144339338E-3</v>
      </c>
      <c r="S463" s="39">
        <f t="shared" si="93"/>
        <v>3.3574590812519784E-3</v>
      </c>
      <c r="T463" s="39">
        <f t="shared" si="93"/>
        <v>7.7130983437406217E-3</v>
      </c>
      <c r="U463" s="39">
        <f t="shared" si="93"/>
        <v>1.6372772877375267E-2</v>
      </c>
      <c r="V463" s="39">
        <f t="shared" si="93"/>
        <v>3.2206403184554949E-2</v>
      </c>
      <c r="W463" s="37">
        <v>0.54</v>
      </c>
    </row>
    <row r="464" spans="2:23" x14ac:dyDescent="0.25">
      <c r="B464" s="39">
        <f t="shared" si="92"/>
        <v>1.2097781430075825E-17</v>
      </c>
      <c r="C464" s="39">
        <f t="shared" si="92"/>
        <v>7.322148592724634E-16</v>
      </c>
      <c r="D464" s="39">
        <f t="shared" si="92"/>
        <v>2.1721144516040401E-14</v>
      </c>
      <c r="E464" s="39">
        <f t="shared" si="92"/>
        <v>4.2095293405021742E-13</v>
      </c>
      <c r="F464" s="39">
        <f t="shared" si="92"/>
        <v>5.9937289119841329E-12</v>
      </c>
      <c r="G464" s="39">
        <f t="shared" si="92"/>
        <v>6.685791183149072E-11</v>
      </c>
      <c r="H464" s="39">
        <f t="shared" si="92"/>
        <v>6.0838382393953595E-10</v>
      </c>
      <c r="I464" s="39">
        <f t="shared" si="92"/>
        <v>4.6435728111854477E-9</v>
      </c>
      <c r="J464" s="39">
        <f t="shared" si="92"/>
        <v>3.0337245349098029E-8</v>
      </c>
      <c r="K464" s="39">
        <f t="shared" si="92"/>
        <v>1.72279159158082E-7</v>
      </c>
      <c r="L464" s="39">
        <f t="shared" si="93"/>
        <v>8.6071912820786888E-7</v>
      </c>
      <c r="M464" s="39">
        <f t="shared" si="93"/>
        <v>3.820086192914239E-6</v>
      </c>
      <c r="N464" s="39">
        <f t="shared" si="93"/>
        <v>1.5181740186087972E-5</v>
      </c>
      <c r="O464" s="39">
        <f t="shared" si="93"/>
        <v>5.4386165487218341E-5</v>
      </c>
      <c r="P464" s="39">
        <f t="shared" si="93"/>
        <v>1.7661003047269035E-4</v>
      </c>
      <c r="Q464" s="39">
        <f t="shared" si="93"/>
        <v>5.2239686130920793E-4</v>
      </c>
      <c r="R464" s="39">
        <f t="shared" si="93"/>
        <v>1.4134255459044853E-3</v>
      </c>
      <c r="S464" s="39">
        <f t="shared" si="93"/>
        <v>3.5111616490659894E-3</v>
      </c>
      <c r="T464" s="39">
        <f t="shared" si="93"/>
        <v>8.0350874582385667E-3</v>
      </c>
      <c r="U464" s="39">
        <f t="shared" si="93"/>
        <v>1.6991396491139923E-2</v>
      </c>
      <c r="V464" s="39">
        <f t="shared" si="93"/>
        <v>3.3298320112174262E-2</v>
      </c>
      <c r="W464" s="37">
        <v>0.53900000000000003</v>
      </c>
    </row>
    <row r="465" spans="2:23" x14ac:dyDescent="0.25">
      <c r="B465" s="39">
        <f t="shared" si="92"/>
        <v>1.3301351167395431E-17</v>
      </c>
      <c r="C465" s="39">
        <f t="shared" si="92"/>
        <v>8.0227399787919182E-16</v>
      </c>
      <c r="D465" s="39">
        <f t="shared" si="92"/>
        <v>2.371717744635374E-14</v>
      </c>
      <c r="E465" s="39">
        <f t="shared" si="92"/>
        <v>4.58049200607351E-13</v>
      </c>
      <c r="F465" s="39">
        <f t="shared" si="92"/>
        <v>6.4994466561270446E-12</v>
      </c>
      <c r="G465" s="39">
        <f t="shared" si="92"/>
        <v>7.2249604357291089E-11</v>
      </c>
      <c r="H465" s="39">
        <f t="shared" si="92"/>
        <v>6.5518914686245754E-10</v>
      </c>
      <c r="I465" s="39">
        <f t="shared" si="92"/>
        <v>4.9836900682558428E-9</v>
      </c>
      <c r="J465" s="39">
        <f t="shared" si="92"/>
        <v>3.2448036671842888E-8</v>
      </c>
      <c r="K465" s="39">
        <f t="shared" si="92"/>
        <v>1.8363811252088114E-7</v>
      </c>
      <c r="L465" s="39">
        <f t="shared" si="93"/>
        <v>9.1435364037197235E-7</v>
      </c>
      <c r="M465" s="39">
        <f t="shared" si="93"/>
        <v>4.0444003374170566E-6</v>
      </c>
      <c r="N465" s="39">
        <f t="shared" si="93"/>
        <v>1.6019064701255198E-5</v>
      </c>
      <c r="O465" s="39">
        <f t="shared" si="93"/>
        <v>5.7193417397841259E-5</v>
      </c>
      <c r="P465" s="39">
        <f t="shared" si="93"/>
        <v>1.8510730183150117E-4</v>
      </c>
      <c r="Q465" s="39">
        <f t="shared" si="93"/>
        <v>5.4571932123488988E-4</v>
      </c>
      <c r="R465" s="39">
        <f t="shared" si="93"/>
        <v>1.4716822400195864E-3</v>
      </c>
      <c r="S465" s="39">
        <f t="shared" si="93"/>
        <v>3.643998289031627E-3</v>
      </c>
      <c r="T465" s="39">
        <f t="shared" si="93"/>
        <v>8.3122897907852589E-3</v>
      </c>
      <c r="U465" s="39">
        <f t="shared" si="93"/>
        <v>1.75219155785994E-2</v>
      </c>
      <c r="V465" s="39">
        <f t="shared" si="93"/>
        <v>3.423110788812004E-2</v>
      </c>
      <c r="W465" s="37">
        <v>0.53800000000000003</v>
      </c>
    </row>
    <row r="466" spans="2:23" x14ac:dyDescent="0.25">
      <c r="B466" s="39">
        <f t="shared" si="92"/>
        <v>1.4901187301691916E-17</v>
      </c>
      <c r="C466" s="39">
        <f t="shared" si="92"/>
        <v>8.9503810903329158E-16</v>
      </c>
      <c r="D466" s="39">
        <f t="shared" si="92"/>
        <v>2.6349833636702689E-14</v>
      </c>
      <c r="E466" s="39">
        <f t="shared" si="92"/>
        <v>5.0678725586145729E-13</v>
      </c>
      <c r="F466" s="39">
        <f t="shared" si="92"/>
        <v>7.1612943038399406E-12</v>
      </c>
      <c r="G466" s="39">
        <f t="shared" si="92"/>
        <v>7.9278500029744597E-11</v>
      </c>
      <c r="H466" s="39">
        <f t="shared" si="92"/>
        <v>7.1597040200987268E-10</v>
      </c>
      <c r="I466" s="39">
        <f t="shared" si="92"/>
        <v>5.4236527298050368E-9</v>
      </c>
      <c r="J466" s="39">
        <f t="shared" si="92"/>
        <v>3.5167889987796756E-8</v>
      </c>
      <c r="K466" s="39">
        <f t="shared" si="92"/>
        <v>1.9821792116687927E-7</v>
      </c>
      <c r="L466" s="39">
        <f t="shared" si="93"/>
        <v>9.8292953185400426E-7</v>
      </c>
      <c r="M466" s="39">
        <f t="shared" si="93"/>
        <v>4.3300920883279698E-6</v>
      </c>
      <c r="N466" s="39">
        <f t="shared" si="93"/>
        <v>1.7081369284655933E-5</v>
      </c>
      <c r="O466" s="39">
        <f t="shared" si="93"/>
        <v>6.0741152095580237E-5</v>
      </c>
      <c r="P466" s="39">
        <f t="shared" si="93"/>
        <v>1.9580435195074182E-4</v>
      </c>
      <c r="Q466" s="39">
        <f t="shared" si="93"/>
        <v>5.7496582689721496E-4</v>
      </c>
      <c r="R466" s="39">
        <f t="shared" si="93"/>
        <v>1.5444536589472502E-3</v>
      </c>
      <c r="S466" s="39">
        <f t="shared" si="93"/>
        <v>3.8092890420140689E-3</v>
      </c>
      <c r="T466" s="39">
        <f t="shared" si="93"/>
        <v>8.6558821655051757E-3</v>
      </c>
      <c r="U466" s="39">
        <f t="shared" si="93"/>
        <v>1.8176949667029926E-2</v>
      </c>
      <c r="V466" s="39">
        <f t="shared" si="93"/>
        <v>3.5378369005328605E-2</v>
      </c>
      <c r="W466" s="37">
        <v>0.53700000000000003</v>
      </c>
    </row>
    <row r="467" spans="2:23" x14ac:dyDescent="0.25">
      <c r="B467" s="39">
        <f t="shared" si="92"/>
        <v>1.6689149160702554E-17</v>
      </c>
      <c r="C467" s="39">
        <f t="shared" si="92"/>
        <v>9.9827296023097118E-16</v>
      </c>
      <c r="D467" s="39">
        <f t="shared" si="92"/>
        <v>2.9267288875850264E-14</v>
      </c>
      <c r="E467" s="39">
        <f t="shared" si="92"/>
        <v>5.6056988937214251E-13</v>
      </c>
      <c r="F467" s="39">
        <f t="shared" si="92"/>
        <v>7.8885645433455063E-12</v>
      </c>
      <c r="G467" s="39">
        <f t="shared" si="92"/>
        <v>8.6969607991661261E-11</v>
      </c>
      <c r="H467" s="39">
        <f t="shared" si="92"/>
        <v>7.8219748140844445E-10</v>
      </c>
      <c r="I467" s="39">
        <f t="shared" si="92"/>
        <v>5.9010126944312887E-9</v>
      </c>
      <c r="J467" s="39">
        <f t="shared" si="92"/>
        <v>3.8106486722206946E-8</v>
      </c>
      <c r="K467" s="39">
        <f t="shared" si="92"/>
        <v>2.1390386924739872E-7</v>
      </c>
      <c r="L467" s="39">
        <f t="shared" si="93"/>
        <v>1.056396979884258E-6</v>
      </c>
      <c r="M467" s="39">
        <f t="shared" si="93"/>
        <v>4.6348716490123373E-6</v>
      </c>
      <c r="N467" s="39">
        <f t="shared" si="93"/>
        <v>1.8209870265857999E-5</v>
      </c>
      <c r="O467" s="39">
        <f t="shared" si="93"/>
        <v>6.449406832596504E-5</v>
      </c>
      <c r="P467" s="39">
        <f t="shared" si="93"/>
        <v>2.0707234877897484E-4</v>
      </c>
      <c r="Q467" s="39">
        <f t="shared" si="93"/>
        <v>6.0564345095443634E-4</v>
      </c>
      <c r="R467" s="39">
        <f t="shared" si="93"/>
        <v>1.6204641837037936E-3</v>
      </c>
      <c r="S467" s="39">
        <f t="shared" si="93"/>
        <v>3.9812091585249999E-3</v>
      </c>
      <c r="T467" s="39">
        <f t="shared" si="93"/>
        <v>9.0117485827373306E-3</v>
      </c>
      <c r="U467" s="39">
        <f t="shared" si="93"/>
        <v>1.8852523530905725E-2</v>
      </c>
      <c r="V467" s="39">
        <f t="shared" si="93"/>
        <v>3.6556617138036242E-2</v>
      </c>
      <c r="W467" s="37">
        <v>0.53600000000000003</v>
      </c>
    </row>
    <row r="468" spans="2:23" x14ac:dyDescent="0.25">
      <c r="B468" s="39">
        <f t="shared" si="92"/>
        <v>1.8686855730510615E-17</v>
      </c>
      <c r="C468" s="39">
        <f t="shared" si="92"/>
        <v>1.1131316926827239E-15</v>
      </c>
      <c r="D468" s="39">
        <f t="shared" si="92"/>
        <v>3.2499548401161209E-14</v>
      </c>
      <c r="E468" s="39">
        <f t="shared" si="92"/>
        <v>6.1990455905460647E-13</v>
      </c>
      <c r="F468" s="39">
        <f t="shared" si="92"/>
        <v>8.6875278363024164E-12</v>
      </c>
      <c r="G468" s="39">
        <f t="shared" si="92"/>
        <v>9.5383260404566573E-11</v>
      </c>
      <c r="H468" s="39">
        <f t="shared" si="92"/>
        <v>8.5434078271718846E-10</v>
      </c>
      <c r="I468" s="39">
        <f t="shared" si="92"/>
        <v>6.4188236718572628E-9</v>
      </c>
      <c r="J468" s="39">
        <f t="shared" si="92"/>
        <v>4.1280656884285702E-8</v>
      </c>
      <c r="K468" s="39">
        <f t="shared" si="92"/>
        <v>2.3077584877759679E-7</v>
      </c>
      <c r="L468" s="39">
        <f t="shared" si="93"/>
        <v>1.1350862242066614E-6</v>
      </c>
      <c r="M468" s="39">
        <f t="shared" si="93"/>
        <v>4.9599376228627107E-6</v>
      </c>
      <c r="N468" s="39">
        <f t="shared" si="93"/>
        <v>1.9408411464777731E-5</v>
      </c>
      <c r="O468" s="39">
        <f t="shared" si="93"/>
        <v>6.8463107159058508E-5</v>
      </c>
      <c r="P468" s="39">
        <f t="shared" si="93"/>
        <v>2.1893901544729313E-4</v>
      </c>
      <c r="Q468" s="39">
        <f t="shared" si="93"/>
        <v>6.3781480913127457E-4</v>
      </c>
      <c r="R468" s="39">
        <f t="shared" si="93"/>
        <v>1.6998398073789552E-3</v>
      </c>
      <c r="S468" s="39">
        <f t="shared" si="93"/>
        <v>4.1599838176702266E-3</v>
      </c>
      <c r="T468" s="39">
        <f t="shared" si="93"/>
        <v>9.3802440977183085E-3</v>
      </c>
      <c r="U468" s="39">
        <f t="shared" si="93"/>
        <v>1.9549124500242748E-2</v>
      </c>
      <c r="V468" s="39">
        <f t="shared" si="93"/>
        <v>3.7766418656285689E-2</v>
      </c>
      <c r="W468" s="37">
        <v>0.53500000000000003</v>
      </c>
    </row>
    <row r="469" spans="2:23" x14ac:dyDescent="0.25">
      <c r="B469" s="39">
        <f t="shared" si="92"/>
        <v>2.0918352891096708E-17</v>
      </c>
      <c r="C469" s="39">
        <f t="shared" si="92"/>
        <v>1.2408912840113385E-15</v>
      </c>
      <c r="D469" s="39">
        <f t="shared" si="92"/>
        <v>3.6079693874039197E-14</v>
      </c>
      <c r="E469" s="39">
        <f t="shared" si="92"/>
        <v>6.8534828759728604E-13</v>
      </c>
      <c r="F469" s="39">
        <f t="shared" si="92"/>
        <v>9.5650366522269236E-12</v>
      </c>
      <c r="G469" s="39">
        <f t="shared" si="92"/>
        <v>1.0458509629244758E-10</v>
      </c>
      <c r="H469" s="39">
        <f t="shared" si="92"/>
        <v>9.3290979326962362E-10</v>
      </c>
      <c r="I469" s="39">
        <f t="shared" si="92"/>
        <v>6.9803782584924434E-9</v>
      </c>
      <c r="J469" s="39">
        <f t="shared" si="92"/>
        <v>4.4708464841388182E-8</v>
      </c>
      <c r="K469" s="39">
        <f t="shared" si="92"/>
        <v>2.4891921920277377E-7</v>
      </c>
      <c r="L469" s="39">
        <f t="shared" si="93"/>
        <v>1.2193484738159181E-6</v>
      </c>
      <c r="M469" s="39">
        <f t="shared" si="93"/>
        <v>5.3065587510729161E-6</v>
      </c>
      <c r="N469" s="39">
        <f t="shared" si="93"/>
        <v>2.0681042257198795E-5</v>
      </c>
      <c r="O469" s="39">
        <f t="shared" si="93"/>
        <v>7.2659738743657037E-5</v>
      </c>
      <c r="P469" s="39">
        <f t="shared" si="93"/>
        <v>2.3143327065282214E-4</v>
      </c>
      <c r="Q469" s="39">
        <f t="shared" si="93"/>
        <v>6.715448799177727E-4</v>
      </c>
      <c r="R469" s="39">
        <f t="shared" si="93"/>
        <v>1.7827105688765969E-3</v>
      </c>
      <c r="S469" s="39">
        <f t="shared" si="93"/>
        <v>4.3458440834983165E-3</v>
      </c>
      <c r="T469" s="39">
        <f t="shared" si="93"/>
        <v>9.7617307189136488E-3</v>
      </c>
      <c r="U469" s="39">
        <f t="shared" si="93"/>
        <v>2.0267245758695169E-2</v>
      </c>
      <c r="V469" s="39">
        <f t="shared" si="93"/>
        <v>3.9008341256271624E-2</v>
      </c>
      <c r="W469" s="37">
        <v>0.53400000000000003</v>
      </c>
    </row>
    <row r="470" spans="2:23" x14ac:dyDescent="0.25">
      <c r="B470" s="39">
        <f t="shared" si="92"/>
        <v>2.297572700618969E-17</v>
      </c>
      <c r="C470" s="39">
        <f t="shared" si="92"/>
        <v>1.3582279661854337E-15</v>
      </c>
      <c r="D470" s="39">
        <f t="shared" si="92"/>
        <v>3.9355092886656404E-14</v>
      </c>
      <c r="E470" s="39">
        <f t="shared" si="92"/>
        <v>7.4499063348913046E-13</v>
      </c>
      <c r="F470" s="39">
        <f t="shared" si="92"/>
        <v>1.0361674995084283E-11</v>
      </c>
      <c r="G470" s="39">
        <f t="shared" si="92"/>
        <v>1.129067018619678E-10</v>
      </c>
      <c r="H470" s="39">
        <f t="shared" si="92"/>
        <v>1.0036891718413811E-9</v>
      </c>
      <c r="I470" s="39">
        <f t="shared" si="92"/>
        <v>7.4843081833337599E-9</v>
      </c>
      <c r="J470" s="39">
        <f t="shared" si="92"/>
        <v>4.7772665854071516E-8</v>
      </c>
      <c r="K470" s="39">
        <f t="shared" si="92"/>
        <v>2.6507549379874137E-7</v>
      </c>
      <c r="L470" s="39">
        <f t="shared" si="93"/>
        <v>1.2940928784810792E-6</v>
      </c>
      <c r="M470" s="39">
        <f t="shared" si="93"/>
        <v>5.6128417828395367E-6</v>
      </c>
      <c r="N470" s="39">
        <f t="shared" si="93"/>
        <v>2.1801234317799284E-5</v>
      </c>
      <c r="O470" s="39">
        <f t="shared" si="93"/>
        <v>7.6339443327364689E-5</v>
      </c>
      <c r="P470" s="39">
        <f t="shared" si="93"/>
        <v>2.4234627718949835E-4</v>
      </c>
      <c r="Q470" s="39">
        <f t="shared" si="93"/>
        <v>7.0089251545859307E-4</v>
      </c>
      <c r="R470" s="39">
        <f t="shared" si="93"/>
        <v>1.8545361094108358E-3</v>
      </c>
      <c r="S470" s="39">
        <f t="shared" si="93"/>
        <v>4.5063110797892601E-3</v>
      </c>
      <c r="T470" s="39">
        <f t="shared" si="93"/>
        <v>1.0089825984524009E-2</v>
      </c>
      <c r="U470" s="39">
        <f t="shared" si="93"/>
        <v>2.0882479015832112E-2</v>
      </c>
      <c r="V470" s="39">
        <f t="shared" si="93"/>
        <v>4.0068223960274763E-2</v>
      </c>
      <c r="W470" s="37">
        <v>0.53300000000000003</v>
      </c>
    </row>
    <row r="471" spans="2:23" x14ac:dyDescent="0.25">
      <c r="B471" s="39">
        <f t="shared" si="92"/>
        <v>2.5707432497774919E-17</v>
      </c>
      <c r="C471" s="39">
        <f t="shared" si="92"/>
        <v>1.5134195509986704E-15</v>
      </c>
      <c r="D471" s="39">
        <f t="shared" si="92"/>
        <v>4.3670409082518613E-14</v>
      </c>
      <c r="E471" s="39">
        <f t="shared" si="92"/>
        <v>8.2326462062277559E-13</v>
      </c>
      <c r="F471" s="39">
        <f t="shared" si="92"/>
        <v>1.1403125318920984E-11</v>
      </c>
      <c r="G471" s="39">
        <f t="shared" si="92"/>
        <v>1.2374345996473314E-10</v>
      </c>
      <c r="H471" s="39">
        <f t="shared" si="92"/>
        <v>1.0955042861257121E-9</v>
      </c>
      <c r="I471" s="39">
        <f t="shared" si="92"/>
        <v>8.1354761792822749E-9</v>
      </c>
      <c r="J471" s="39">
        <f t="shared" si="92"/>
        <v>5.1716838326784398E-8</v>
      </c>
      <c r="K471" s="39">
        <f t="shared" si="92"/>
        <v>2.8579101675594609E-7</v>
      </c>
      <c r="L471" s="39">
        <f t="shared" si="93"/>
        <v>1.3895590868001965E-6</v>
      </c>
      <c r="M471" s="39">
        <f t="shared" si="93"/>
        <v>6.0025239362723289E-6</v>
      </c>
      <c r="N471" s="39">
        <f t="shared" si="93"/>
        <v>2.3220935496120305E-5</v>
      </c>
      <c r="O471" s="39">
        <f t="shared" si="93"/>
        <v>8.0984965743380796E-5</v>
      </c>
      <c r="P471" s="39">
        <f t="shared" si="93"/>
        <v>2.5607036396064104E-4</v>
      </c>
      <c r="Q471" s="39">
        <f t="shared" si="93"/>
        <v>7.3765711757002583E-4</v>
      </c>
      <c r="R471" s="39">
        <f t="shared" si="93"/>
        <v>1.944166161399267E-3</v>
      </c>
      <c r="S471" s="39">
        <f t="shared" si="93"/>
        <v>4.7057816088132811E-3</v>
      </c>
      <c r="T471" s="39">
        <f t="shared" si="93"/>
        <v>1.0496092967329139E-2</v>
      </c>
      <c r="U471" s="39">
        <f t="shared" si="93"/>
        <v>2.164135392808143E-2</v>
      </c>
      <c r="V471" s="39">
        <f t="shared" si="93"/>
        <v>4.1370512746855416E-2</v>
      </c>
      <c r="W471" s="37">
        <v>0.53200000000000003</v>
      </c>
    </row>
    <row r="472" spans="2:23" x14ac:dyDescent="0.25">
      <c r="B472" s="39">
        <f t="shared" si="92"/>
        <v>2.8756681441943858E-17</v>
      </c>
      <c r="C472" s="39">
        <f t="shared" si="92"/>
        <v>1.6859213747064942E-15</v>
      </c>
      <c r="D472" s="39">
        <f t="shared" si="92"/>
        <v>4.8446853799050479E-14</v>
      </c>
      <c r="E472" s="39">
        <f t="shared" si="92"/>
        <v>9.0953789695234934E-13</v>
      </c>
      <c r="F472" s="39">
        <f t="shared" si="92"/>
        <v>1.2546172583673788E-11</v>
      </c>
      <c r="G472" s="39">
        <f t="shared" si="92"/>
        <v>1.3558728260402454E-10</v>
      </c>
      <c r="H472" s="39">
        <f t="shared" si="92"/>
        <v>1.1954291748375841E-9</v>
      </c>
      <c r="I472" s="39">
        <f t="shared" si="92"/>
        <v>8.841175355692121E-9</v>
      </c>
      <c r="J472" s="39">
        <f t="shared" si="92"/>
        <v>5.5973308755222556E-8</v>
      </c>
      <c r="K472" s="39">
        <f t="shared" si="92"/>
        <v>3.0805264232577391E-7</v>
      </c>
      <c r="L472" s="39">
        <f t="shared" si="93"/>
        <v>1.4917184049261489E-6</v>
      </c>
      <c r="M472" s="39">
        <f t="shared" si="93"/>
        <v>6.4177707002441071E-6</v>
      </c>
      <c r="N472" s="39">
        <f t="shared" si="93"/>
        <v>2.4727404498960889E-5</v>
      </c>
      <c r="O472" s="39">
        <f t="shared" si="93"/>
        <v>8.5893653672696686E-5</v>
      </c>
      <c r="P472" s="39">
        <f t="shared" si="93"/>
        <v>2.7051085664972225E-4</v>
      </c>
      <c r="Q472" s="39">
        <f t="shared" si="93"/>
        <v>7.7617799814212946E-4</v>
      </c>
      <c r="R472" s="39">
        <f t="shared" si="93"/>
        <v>2.037682576900385E-3</v>
      </c>
      <c r="S472" s="39">
        <f t="shared" si="93"/>
        <v>4.9130250986077267E-3</v>
      </c>
      <c r="T472" s="39">
        <f t="shared" si="93"/>
        <v>1.0916414583956403E-2</v>
      </c>
      <c r="U472" s="39">
        <f t="shared" si="93"/>
        <v>2.242317706375976E-2</v>
      </c>
      <c r="V472" s="39">
        <f t="shared" si="93"/>
        <v>4.2706535435741336E-2</v>
      </c>
      <c r="W472" s="37">
        <v>0.53100000000000003</v>
      </c>
    </row>
    <row r="473" spans="2:23" x14ac:dyDescent="0.25">
      <c r="B473" s="39">
        <f t="shared" ref="B473:K482" si="94">_xlfn.HYPGEOM.DIST(B$2,comau,tongtheN*$W473,tongtheN,TRUE)</f>
        <v>3.2159548193943068E-17</v>
      </c>
      <c r="C473" s="39">
        <f t="shared" si="94"/>
        <v>1.8776172743176054E-15</v>
      </c>
      <c r="D473" s="39">
        <f t="shared" si="94"/>
        <v>5.3732414316940276E-14</v>
      </c>
      <c r="E473" s="39">
        <f t="shared" si="94"/>
        <v>1.0046049074394762E-12</v>
      </c>
      <c r="F473" s="39">
        <f t="shared" si="94"/>
        <v>1.3800425374433986E-11</v>
      </c>
      <c r="G473" s="39">
        <f t="shared" si="94"/>
        <v>1.4852865137963618E-10</v>
      </c>
      <c r="H473" s="39">
        <f t="shared" si="94"/>
        <v>1.3041541983316094E-9</v>
      </c>
      <c r="I473" s="39">
        <f t="shared" si="94"/>
        <v>9.605790780517188E-9</v>
      </c>
      <c r="J473" s="39">
        <f t="shared" si="94"/>
        <v>6.0565719876962738E-8</v>
      </c>
      <c r="K473" s="39">
        <f t="shared" si="94"/>
        <v>3.3197014305528575E-7</v>
      </c>
      <c r="L473" s="39">
        <f t="shared" ref="L473:V482" si="95">_xlfn.HYPGEOM.DIST(L$2,comau,tongtheN*$W473,tongtheN,TRUE)</f>
        <v>1.6010145330065189E-6</v>
      </c>
      <c r="M473" s="39">
        <f t="shared" si="95"/>
        <v>6.860156322614163E-6</v>
      </c>
      <c r="N473" s="39">
        <f t="shared" si="95"/>
        <v>2.6325574553816195E-5</v>
      </c>
      <c r="O473" s="39">
        <f t="shared" si="95"/>
        <v>9.1079221733707743E-5</v>
      </c>
      <c r="P473" s="39">
        <f t="shared" si="95"/>
        <v>2.8570167391182079E-4</v>
      </c>
      <c r="Q473" s="39">
        <f t="shared" si="95"/>
        <v>8.1652986497407183E-4</v>
      </c>
      <c r="R473" s="39">
        <f t="shared" si="95"/>
        <v>2.1352317647857183E-3</v>
      </c>
      <c r="S473" s="39">
        <f t="shared" si="95"/>
        <v>5.1282959199054831E-3</v>
      </c>
      <c r="T473" s="39">
        <f t="shared" si="95"/>
        <v>1.1351179553841659E-2</v>
      </c>
      <c r="U473" s="39">
        <f t="shared" si="95"/>
        <v>2.3228462727142109E-2</v>
      </c>
      <c r="V473" s="39">
        <f t="shared" si="95"/>
        <v>4.4076861745051883E-2</v>
      </c>
      <c r="W473" s="37">
        <v>0.53</v>
      </c>
    </row>
    <row r="474" spans="2:23" x14ac:dyDescent="0.25">
      <c r="B474" s="39">
        <f t="shared" si="94"/>
        <v>3.5294179211706984E-17</v>
      </c>
      <c r="C474" s="39">
        <f t="shared" si="94"/>
        <v>2.0535228441872293E-15</v>
      </c>
      <c r="D474" s="39">
        <f t="shared" si="94"/>
        <v>5.8563925463500411E-14</v>
      </c>
      <c r="E474" s="39">
        <f t="shared" si="94"/>
        <v>1.0911708027111731E-12</v>
      </c>
      <c r="F474" s="39">
        <f t="shared" si="94"/>
        <v>1.493812338425215E-11</v>
      </c>
      <c r="G474" s="39">
        <f t="shared" si="94"/>
        <v>1.6022221687462196E-10</v>
      </c>
      <c r="H474" s="39">
        <f t="shared" si="94"/>
        <v>1.4020177445366174E-9</v>
      </c>
      <c r="I474" s="39">
        <f t="shared" si="94"/>
        <v>1.0291372256390777E-8</v>
      </c>
      <c r="J474" s="39">
        <f t="shared" si="94"/>
        <v>6.46675837358889E-8</v>
      </c>
      <c r="K474" s="39">
        <f t="shared" si="94"/>
        <v>3.5325058392638205E-7</v>
      </c>
      <c r="L474" s="39">
        <f t="shared" si="95"/>
        <v>1.6978855425709836E-6</v>
      </c>
      <c r="M474" s="39">
        <f t="shared" si="95"/>
        <v>7.2507400599251781E-6</v>
      </c>
      <c r="N474" s="39">
        <f t="shared" si="95"/>
        <v>2.7731169300529067E-5</v>
      </c>
      <c r="O474" s="39">
        <f t="shared" si="95"/>
        <v>9.5622374474916869E-5</v>
      </c>
      <c r="P474" s="39">
        <f t="shared" si="95"/>
        <v>2.9895930349025876E-4</v>
      </c>
      <c r="Q474" s="39">
        <f t="shared" si="95"/>
        <v>8.5161086727672519E-4</v>
      </c>
      <c r="R474" s="39">
        <f t="shared" si="95"/>
        <v>2.2197120785431503E-3</v>
      </c>
      <c r="S474" s="39">
        <f t="shared" si="95"/>
        <v>5.3140081067095269E-3</v>
      </c>
      <c r="T474" s="39">
        <f t="shared" si="95"/>
        <v>1.1724802064431323E-2</v>
      </c>
      <c r="U474" s="39">
        <f t="shared" si="95"/>
        <v>2.3917831469626536E-2</v>
      </c>
      <c r="V474" s="39">
        <f t="shared" si="95"/>
        <v>4.5245415306312022E-2</v>
      </c>
      <c r="W474" s="37">
        <v>0.52900000000000003</v>
      </c>
    </row>
    <row r="475" spans="2:23" x14ac:dyDescent="0.25">
      <c r="B475" s="39">
        <f t="shared" si="94"/>
        <v>3.9452623427606342E-17</v>
      </c>
      <c r="C475" s="39">
        <f t="shared" si="94"/>
        <v>2.2859783174808757E-15</v>
      </c>
      <c r="D475" s="39">
        <f t="shared" si="94"/>
        <v>6.4923955665814208E-14</v>
      </c>
      <c r="E475" s="39">
        <f t="shared" si="94"/>
        <v>1.204682155314478E-12</v>
      </c>
      <c r="F475" s="39">
        <f t="shared" si="94"/>
        <v>1.6424182301650911E-11</v>
      </c>
      <c r="G475" s="39">
        <f t="shared" si="94"/>
        <v>1.7543724683505591E-10</v>
      </c>
      <c r="H475" s="39">
        <f t="shared" si="94"/>
        <v>1.5288599869895682E-9</v>
      </c>
      <c r="I475" s="39">
        <f t="shared" si="94"/>
        <v>1.1176527431850768E-8</v>
      </c>
      <c r="J475" s="39">
        <f t="shared" si="94"/>
        <v>6.9943030305672217E-8</v>
      </c>
      <c r="K475" s="39">
        <f t="shared" si="94"/>
        <v>3.8051376502067582E-7</v>
      </c>
      <c r="L475" s="39">
        <f t="shared" si="95"/>
        <v>1.8215110038919471E-6</v>
      </c>
      <c r="M475" s="39">
        <f t="shared" si="95"/>
        <v>7.74727146148345E-6</v>
      </c>
      <c r="N475" s="39">
        <f t="shared" si="95"/>
        <v>2.9511134133531812E-5</v>
      </c>
      <c r="O475" s="39">
        <f t="shared" si="95"/>
        <v>1.0135333792927808E-4</v>
      </c>
      <c r="P475" s="39">
        <f t="shared" si="95"/>
        <v>3.1561855387876494E-4</v>
      </c>
      <c r="Q475" s="39">
        <f t="shared" si="95"/>
        <v>8.9552265435024093E-4</v>
      </c>
      <c r="R475" s="39">
        <f t="shared" si="95"/>
        <v>2.3250499284469608E-3</v>
      </c>
      <c r="S475" s="39">
        <f t="shared" si="95"/>
        <v>5.5446772042586209E-3</v>
      </c>
      <c r="T475" s="39">
        <f t="shared" si="95"/>
        <v>1.2187079181614862E-2</v>
      </c>
      <c r="U475" s="39">
        <f t="shared" si="95"/>
        <v>2.4767484413625918E-2</v>
      </c>
      <c r="V475" s="39">
        <f t="shared" si="95"/>
        <v>4.6680109981623849E-2</v>
      </c>
      <c r="W475" s="37">
        <v>0.52800000000000002</v>
      </c>
    </row>
    <row r="476" spans="2:23" x14ac:dyDescent="0.25">
      <c r="B476" s="39">
        <f t="shared" si="94"/>
        <v>4.409010839871122E-17</v>
      </c>
      <c r="C476" s="39">
        <f t="shared" si="94"/>
        <v>2.5441210868693083E-15</v>
      </c>
      <c r="D476" s="39">
        <f t="shared" si="94"/>
        <v>7.195707526402409E-14</v>
      </c>
      <c r="E476" s="39">
        <f t="shared" si="94"/>
        <v>1.3296783643844228E-12</v>
      </c>
      <c r="F476" s="39">
        <f t="shared" si="94"/>
        <v>1.8053712342936486E-11</v>
      </c>
      <c r="G476" s="39">
        <f t="shared" si="94"/>
        <v>1.9205101082314751E-10</v>
      </c>
      <c r="H476" s="39">
        <f t="shared" si="94"/>
        <v>1.66678025698042E-9</v>
      </c>
      <c r="I476" s="39">
        <f t="shared" si="94"/>
        <v>1.213494031576892E-8</v>
      </c>
      <c r="J476" s="39">
        <f t="shared" si="94"/>
        <v>7.5631056426549251E-8</v>
      </c>
      <c r="K476" s="39">
        <f t="shared" si="94"/>
        <v>4.0978547437067275E-7</v>
      </c>
      <c r="L476" s="39">
        <f t="shared" si="95"/>
        <v>1.9536858345838002E-6</v>
      </c>
      <c r="M476" s="39">
        <f t="shared" si="95"/>
        <v>8.2759076830216517E-6</v>
      </c>
      <c r="N476" s="39">
        <f t="shared" si="95"/>
        <v>3.1398217377503001E-5</v>
      </c>
      <c r="O476" s="39">
        <f t="shared" si="95"/>
        <v>1.0740363629030395E-4</v>
      </c>
      <c r="P476" s="39">
        <f t="shared" si="95"/>
        <v>3.331321044995603E-4</v>
      </c>
      <c r="Q476" s="39">
        <f t="shared" si="95"/>
        <v>9.4149212773573989E-4</v>
      </c>
      <c r="R476" s="39">
        <f t="shared" si="95"/>
        <v>2.4348601108793119E-3</v>
      </c>
      <c r="S476" s="39">
        <f t="shared" si="95"/>
        <v>5.7841286165042066E-3</v>
      </c>
      <c r="T476" s="39">
        <f t="shared" si="95"/>
        <v>1.2664938743706443E-2</v>
      </c>
      <c r="U476" s="39">
        <f t="shared" si="95"/>
        <v>2.5642084315484228E-2</v>
      </c>
      <c r="V476" s="39">
        <f t="shared" si="95"/>
        <v>4.8150719565843755E-2</v>
      </c>
      <c r="W476" s="37">
        <v>0.52700000000000002</v>
      </c>
    </row>
    <row r="477" spans="2:23" x14ac:dyDescent="0.25">
      <c r="B477" s="39">
        <f t="shared" si="94"/>
        <v>4.9260566463302135E-17</v>
      </c>
      <c r="C477" s="39">
        <f t="shared" si="94"/>
        <v>2.8307206437782851E-15</v>
      </c>
      <c r="D477" s="39">
        <f t="shared" si="94"/>
        <v>7.9732653172448806E-14</v>
      </c>
      <c r="E477" s="39">
        <f t="shared" si="94"/>
        <v>1.4672885943747933E-12</v>
      </c>
      <c r="F477" s="39">
        <f t="shared" si="94"/>
        <v>1.9840140411284953E-11</v>
      </c>
      <c r="G477" s="39">
        <f t="shared" si="94"/>
        <v>2.1018780653406887E-10</v>
      </c>
      <c r="H477" s="39">
        <f t="shared" si="94"/>
        <v>1.8167107826056768E-9</v>
      </c>
      <c r="I477" s="39">
        <f t="shared" si="94"/>
        <v>1.3172430809962603E-8</v>
      </c>
      <c r="J477" s="39">
        <f t="shared" si="94"/>
        <v>8.1762498935068517E-8</v>
      </c>
      <c r="K477" s="39">
        <f t="shared" si="94"/>
        <v>4.4120638987002581E-7</v>
      </c>
      <c r="L477" s="39">
        <f t="shared" si="95"/>
        <v>2.0949686243528984E-6</v>
      </c>
      <c r="M477" s="39">
        <f t="shared" si="95"/>
        <v>8.8385951484438014E-6</v>
      </c>
      <c r="N477" s="39">
        <f t="shared" si="95"/>
        <v>3.3398407517257042E-5</v>
      </c>
      <c r="O477" s="39">
        <f t="shared" si="95"/>
        <v>1.1378960800159254E-4</v>
      </c>
      <c r="P477" s="39">
        <f t="shared" si="95"/>
        <v>3.5153958928460239E-4</v>
      </c>
      <c r="Q477" s="39">
        <f t="shared" si="95"/>
        <v>9.8960484668787069E-4</v>
      </c>
      <c r="R477" s="39">
        <f t="shared" si="95"/>
        <v>2.549306786561172E-3</v>
      </c>
      <c r="S477" s="39">
        <f t="shared" si="95"/>
        <v>6.032641118944861E-3</v>
      </c>
      <c r="T477" s="39">
        <f t="shared" si="95"/>
        <v>1.3158796027981647E-2</v>
      </c>
      <c r="U477" s="39">
        <f t="shared" si="95"/>
        <v>2.6542164131719351E-2</v>
      </c>
      <c r="V477" s="39">
        <f t="shared" si="95"/>
        <v>4.9657810572381403E-2</v>
      </c>
      <c r="W477" s="37">
        <v>0.52600000000000002</v>
      </c>
    </row>
    <row r="478" spans="2:23" x14ac:dyDescent="0.25">
      <c r="B478" s="39">
        <f t="shared" si="94"/>
        <v>5.4019409948979086E-17</v>
      </c>
      <c r="C478" s="39">
        <f t="shared" si="94"/>
        <v>3.0934901147762223E-15</v>
      </c>
      <c r="D478" s="39">
        <f t="shared" si="94"/>
        <v>8.6834297777046985E-14</v>
      </c>
      <c r="E478" s="39">
        <f t="shared" si="94"/>
        <v>1.5924884181528597E-12</v>
      </c>
      <c r="F478" s="39">
        <f t="shared" si="94"/>
        <v>2.1459208614764726E-11</v>
      </c>
      <c r="G478" s="39">
        <f t="shared" si="94"/>
        <v>2.2656225413807835E-10</v>
      </c>
      <c r="H478" s="39">
        <f t="shared" si="94"/>
        <v>1.9515519549340858E-9</v>
      </c>
      <c r="I478" s="39">
        <f t="shared" si="94"/>
        <v>1.4101916727887979E-8</v>
      </c>
      <c r="J478" s="39">
        <f t="shared" si="94"/>
        <v>8.7234516121923131E-8</v>
      </c>
      <c r="K478" s="39">
        <f t="shared" si="94"/>
        <v>4.6914016308727958E-7</v>
      </c>
      <c r="L478" s="39">
        <f t="shared" si="95"/>
        <v>2.2200883770485433E-6</v>
      </c>
      <c r="M478" s="39">
        <f t="shared" si="95"/>
        <v>9.3349926356051373E-6</v>
      </c>
      <c r="N478" s="39">
        <f t="shared" si="95"/>
        <v>3.5156166007283448E-5</v>
      </c>
      <c r="O478" s="39">
        <f t="shared" si="95"/>
        <v>1.1937997566766772E-4</v>
      </c>
      <c r="P478" s="39">
        <f t="shared" si="95"/>
        <v>3.6759173745124716E-4</v>
      </c>
      <c r="Q478" s="39">
        <f t="shared" si="95"/>
        <v>1.0313997964897835E-3</v>
      </c>
      <c r="R478" s="39">
        <f t="shared" si="95"/>
        <v>2.6483425734353818E-3</v>
      </c>
      <c r="S478" s="39">
        <f t="shared" si="95"/>
        <v>6.2468621731442773E-3</v>
      </c>
      <c r="T478" s="39">
        <f t="shared" si="95"/>
        <v>1.3582868592876161E-2</v>
      </c>
      <c r="U478" s="39">
        <f t="shared" si="95"/>
        <v>2.731208201495321E-2</v>
      </c>
      <c r="V478" s="39">
        <f t="shared" si="95"/>
        <v>5.0941995005459026E-2</v>
      </c>
      <c r="W478" s="37">
        <v>0.52500000000000002</v>
      </c>
    </row>
    <row r="479" spans="2:23" x14ac:dyDescent="0.25">
      <c r="B479" s="39">
        <f t="shared" si="94"/>
        <v>6.0327183725128831E-17</v>
      </c>
      <c r="C479" s="39">
        <f t="shared" si="94"/>
        <v>3.4404402607175095E-15</v>
      </c>
      <c r="D479" s="39">
        <f t="shared" si="94"/>
        <v>9.6174770303847595E-14</v>
      </c>
      <c r="E479" s="39">
        <f t="shared" si="94"/>
        <v>1.756521573834705E-12</v>
      </c>
      <c r="F479" s="39">
        <f t="shared" si="94"/>
        <v>2.3572266235979703E-11</v>
      </c>
      <c r="G479" s="39">
        <f t="shared" si="94"/>
        <v>2.4785008405349542E-10</v>
      </c>
      <c r="H479" s="39">
        <f t="shared" si="94"/>
        <v>2.1261768082751843E-9</v>
      </c>
      <c r="I479" s="39">
        <f t="shared" si="94"/>
        <v>1.5300989145472197E-8</v>
      </c>
      <c r="J479" s="39">
        <f t="shared" si="94"/>
        <v>9.4266362553821913E-8</v>
      </c>
      <c r="K479" s="39">
        <f t="shared" si="94"/>
        <v>5.0489798986709718E-7</v>
      </c>
      <c r="L479" s="39">
        <f t="shared" si="95"/>
        <v>2.3796348620361341E-6</v>
      </c>
      <c r="M479" s="39">
        <f t="shared" si="95"/>
        <v>9.9655303219303843E-6</v>
      </c>
      <c r="N479" s="39">
        <f t="shared" si="95"/>
        <v>3.7380300527462607E-5</v>
      </c>
      <c r="O479" s="39">
        <f t="shared" si="95"/>
        <v>1.2642630358430005E-4</v>
      </c>
      <c r="P479" s="39">
        <f t="shared" si="95"/>
        <v>3.8774644639134279E-4</v>
      </c>
      <c r="Q479" s="39">
        <f t="shared" si="95"/>
        <v>1.0836741090960843E-3</v>
      </c>
      <c r="R479" s="39">
        <f t="shared" si="95"/>
        <v>2.7717320409450458E-3</v>
      </c>
      <c r="S479" s="39">
        <f t="shared" si="95"/>
        <v>6.512732429933765E-3</v>
      </c>
      <c r="T479" s="39">
        <f t="shared" si="95"/>
        <v>1.4107156339070198E-2</v>
      </c>
      <c r="U479" s="39">
        <f t="shared" si="95"/>
        <v>2.826027365738672E-2</v>
      </c>
      <c r="V479" s="39">
        <f t="shared" si="95"/>
        <v>5.2517433886574663E-2</v>
      </c>
      <c r="W479" s="37">
        <v>0.52400000000000002</v>
      </c>
    </row>
    <row r="480" spans="2:23" x14ac:dyDescent="0.25">
      <c r="B480" s="39">
        <f t="shared" si="94"/>
        <v>6.7355111087764768E-17</v>
      </c>
      <c r="C480" s="39">
        <f t="shared" si="94"/>
        <v>3.8253763035817272E-15</v>
      </c>
      <c r="D480" s="39">
        <f t="shared" si="94"/>
        <v>1.0649432056639139E-13</v>
      </c>
      <c r="E480" s="39">
        <f t="shared" si="94"/>
        <v>1.9369870182775889E-12</v>
      </c>
      <c r="F480" s="39">
        <f t="shared" si="94"/>
        <v>2.5887230648269615E-11</v>
      </c>
      <c r="G480" s="39">
        <f t="shared" si="94"/>
        <v>2.7107397615723126E-10</v>
      </c>
      <c r="H480" s="39">
        <f t="shared" si="94"/>
        <v>2.3158825050831242E-9</v>
      </c>
      <c r="I480" s="39">
        <f t="shared" si="94"/>
        <v>1.6598140060648213E-8</v>
      </c>
      <c r="J480" s="39">
        <f t="shared" si="94"/>
        <v>1.0184140927187893E-7</v>
      </c>
      <c r="K480" s="39">
        <f t="shared" si="94"/>
        <v>5.4325616766802214E-7</v>
      </c>
      <c r="L480" s="39">
        <f t="shared" si="95"/>
        <v>2.5500644816236193E-6</v>
      </c>
      <c r="M480" s="39">
        <f t="shared" si="95"/>
        <v>1.0636248278441532E-5</v>
      </c>
      <c r="N480" s="39">
        <f t="shared" si="95"/>
        <v>3.9736223319368295E-5</v>
      </c>
      <c r="O480" s="39">
        <f t="shared" si="95"/>
        <v>1.3385878854006478E-4</v>
      </c>
      <c r="P480" s="39">
        <f t="shared" si="95"/>
        <v>4.0891635445254446E-4</v>
      </c>
      <c r="Q480" s="39">
        <f t="shared" si="95"/>
        <v>1.1383507833917111E-3</v>
      </c>
      <c r="R480" s="39">
        <f t="shared" si="95"/>
        <v>2.9002498268747606E-3</v>
      </c>
      <c r="S480" s="39">
        <f t="shared" si="95"/>
        <v>6.7884893059783243E-3</v>
      </c>
      <c r="T480" s="39">
        <f t="shared" si="95"/>
        <v>1.4648655537742356E-2</v>
      </c>
      <c r="U480" s="39">
        <f t="shared" si="95"/>
        <v>2.9235478420994176E-2</v>
      </c>
      <c r="V480" s="39">
        <f t="shared" si="95"/>
        <v>5.4130948468705878E-2</v>
      </c>
      <c r="W480" s="37">
        <v>0.52300000000000002</v>
      </c>
    </row>
    <row r="481" spans="2:23" x14ac:dyDescent="0.25">
      <c r="B481" s="39">
        <f t="shared" si="94"/>
        <v>7.5183548028418734E-17</v>
      </c>
      <c r="C481" s="39">
        <f t="shared" si="94"/>
        <v>4.2523559246350212E-15</v>
      </c>
      <c r="D481" s="39">
        <f t="shared" si="94"/>
        <v>1.1789288574116824E-13</v>
      </c>
      <c r="E481" s="39">
        <f t="shared" si="94"/>
        <v>2.1354842190951976E-12</v>
      </c>
      <c r="F481" s="39">
        <f t="shared" si="94"/>
        <v>2.8422800821148134E-11</v>
      </c>
      <c r="G481" s="39">
        <f t="shared" si="94"/>
        <v>2.9640410346504919E-10</v>
      </c>
      <c r="H481" s="39">
        <f t="shared" si="94"/>
        <v>2.5219236052339616E-9</v>
      </c>
      <c r="I481" s="39">
        <f t="shared" si="94"/>
        <v>1.8001067407543039E-8</v>
      </c>
      <c r="J481" s="39">
        <f t="shared" si="94"/>
        <v>1.0999973881880816E-7</v>
      </c>
      <c r="K481" s="39">
        <f t="shared" si="94"/>
        <v>5.8439436119733416E-7</v>
      </c>
      <c r="L481" s="39">
        <f t="shared" si="95"/>
        <v>2.732078027362332E-6</v>
      </c>
      <c r="M481" s="39">
        <f t="shared" si="95"/>
        <v>1.1349544659895199E-5</v>
      </c>
      <c r="N481" s="39">
        <f t="shared" si="95"/>
        <v>4.2231177981281022E-5</v>
      </c>
      <c r="O481" s="39">
        <f t="shared" si="95"/>
        <v>1.4169682401554627E-4</v>
      </c>
      <c r="P481" s="39">
        <f t="shared" si="95"/>
        <v>4.311476004148944E-4</v>
      </c>
      <c r="Q481" s="39">
        <f t="shared" si="95"/>
        <v>1.1955274236031075E-3</v>
      </c>
      <c r="R481" s="39">
        <f t="shared" si="95"/>
        <v>3.0340792324312026E-3</v>
      </c>
      <c r="S481" s="39">
        <f t="shared" si="95"/>
        <v>7.0744369349752152E-3</v>
      </c>
      <c r="T481" s="39">
        <f t="shared" si="95"/>
        <v>1.5207807515702118E-2</v>
      </c>
      <c r="U481" s="39">
        <f t="shared" si="95"/>
        <v>3.0238244930747022E-2</v>
      </c>
      <c r="V481" s="39">
        <f t="shared" si="95"/>
        <v>5.5783096369497159E-2</v>
      </c>
      <c r="W481" s="37">
        <v>0.52200000000000002</v>
      </c>
    </row>
    <row r="482" spans="2:23" x14ac:dyDescent="0.25">
      <c r="B482" s="39">
        <f t="shared" si="94"/>
        <v>8.2382753756247967E-17</v>
      </c>
      <c r="C482" s="39">
        <f t="shared" si="94"/>
        <v>4.6435075607255233E-15</v>
      </c>
      <c r="D482" s="39">
        <f t="shared" si="94"/>
        <v>1.2829487815703337E-13</v>
      </c>
      <c r="E482" s="39">
        <f t="shared" si="94"/>
        <v>2.3159309174172611E-12</v>
      </c>
      <c r="F482" s="39">
        <f t="shared" si="94"/>
        <v>3.0718940266928463E-11</v>
      </c>
      <c r="G482" s="39">
        <f t="shared" si="94"/>
        <v>3.1925419444973457E-10</v>
      </c>
      <c r="H482" s="39">
        <f t="shared" si="94"/>
        <v>2.7070772309975107E-9</v>
      </c>
      <c r="I482" s="39">
        <f t="shared" si="94"/>
        <v>1.9256927340504748E-8</v>
      </c>
      <c r="J482" s="39">
        <f t="shared" si="94"/>
        <v>1.1727476891404259E-7</v>
      </c>
      <c r="K482" s="39">
        <f t="shared" si="94"/>
        <v>6.20937525921205E-7</v>
      </c>
      <c r="L482" s="39">
        <f t="shared" si="95"/>
        <v>2.8931395866950876E-6</v>
      </c>
      <c r="M482" s="39">
        <f t="shared" si="95"/>
        <v>1.1978305264199922E-5</v>
      </c>
      <c r="N482" s="39">
        <f t="shared" si="95"/>
        <v>4.4421989086475524E-5</v>
      </c>
      <c r="O482" s="39">
        <f t="shared" si="95"/>
        <v>1.4855291125614144E-4</v>
      </c>
      <c r="P482" s="39">
        <f t="shared" si="95"/>
        <v>4.5051893798301576E-4</v>
      </c>
      <c r="Q482" s="39">
        <f t="shared" si="95"/>
        <v>1.2451570485215015E-3</v>
      </c>
      <c r="R482" s="39">
        <f t="shared" si="95"/>
        <v>3.1497970741933162E-3</v>
      </c>
      <c r="S482" s="39">
        <f t="shared" si="95"/>
        <v>7.320735312229815E-3</v>
      </c>
      <c r="T482" s="39">
        <f t="shared" si="95"/>
        <v>1.5687575263771784E-2</v>
      </c>
      <c r="U482" s="39">
        <f t="shared" si="95"/>
        <v>3.1095336053655477E-2</v>
      </c>
      <c r="V482" s="39">
        <f t="shared" si="95"/>
        <v>5.7189797864483825E-2</v>
      </c>
      <c r="W482" s="37">
        <v>0.52100000000000002</v>
      </c>
    </row>
    <row r="483" spans="2:23" x14ac:dyDescent="0.25">
      <c r="B483" s="39">
        <f t="shared" ref="B483:K492" si="96">_xlfn.HYPGEOM.DIST(B$2,comau,tongtheN*$W483,tongtheN,TRUE)</f>
        <v>9.1917205633610006E-17</v>
      </c>
      <c r="C483" s="39">
        <f t="shared" si="96"/>
        <v>5.1595379798045027E-15</v>
      </c>
      <c r="D483" s="39">
        <f t="shared" si="96"/>
        <v>1.4196479729046762E-13</v>
      </c>
      <c r="E483" s="39">
        <f t="shared" si="96"/>
        <v>2.5521515716165682E-12</v>
      </c>
      <c r="F483" s="39">
        <f t="shared" si="96"/>
        <v>3.3713182673198835E-11</v>
      </c>
      <c r="G483" s="39">
        <f t="shared" si="96"/>
        <v>3.489364332245317E-10</v>
      </c>
      <c r="H483" s="39">
        <f t="shared" si="96"/>
        <v>2.9466631105553693E-9</v>
      </c>
      <c r="I483" s="39">
        <f t="shared" si="96"/>
        <v>2.0875718157935613E-8</v>
      </c>
      <c r="J483" s="39">
        <f t="shared" si="96"/>
        <v>1.2661602125159144E-7</v>
      </c>
      <c r="K483" s="39">
        <f t="shared" si="96"/>
        <v>6.6767847212675067E-7</v>
      </c>
      <c r="L483" s="39">
        <f t="shared" ref="L483:V492" si="97">_xlfn.HYPGEOM.DIST(L$2,comau,tongtheN*$W483,tongtheN,TRUE)</f>
        <v>3.0983524263553594E-6</v>
      </c>
      <c r="M483" s="39">
        <f t="shared" si="97"/>
        <v>1.27763357658395E-5</v>
      </c>
      <c r="N483" s="39">
        <f t="shared" si="97"/>
        <v>4.719186867826972E-5</v>
      </c>
      <c r="O483" s="39">
        <f t="shared" si="97"/>
        <v>1.5718775197657911E-4</v>
      </c>
      <c r="P483" s="39">
        <f t="shared" si="97"/>
        <v>4.7482193838657168E-4</v>
      </c>
      <c r="Q483" s="39">
        <f t="shared" si="97"/>
        <v>1.3071816262879067E-3</v>
      </c>
      <c r="R483" s="39">
        <f t="shared" si="97"/>
        <v>3.2938579121061578E-3</v>
      </c>
      <c r="S483" s="39">
        <f t="shared" si="97"/>
        <v>7.6261783276323014E-3</v>
      </c>
      <c r="T483" s="39">
        <f t="shared" si="97"/>
        <v>1.6280258962668805E-2</v>
      </c>
      <c r="U483" s="39">
        <f t="shared" si="97"/>
        <v>3.215006888065803E-2</v>
      </c>
      <c r="V483" s="39">
        <f t="shared" si="97"/>
        <v>5.8914210495728161E-2</v>
      </c>
      <c r="W483" s="37">
        <v>0.52</v>
      </c>
    </row>
    <row r="484" spans="2:23" x14ac:dyDescent="0.25">
      <c r="B484" s="39">
        <f t="shared" si="96"/>
        <v>1.0253057119523269E-16</v>
      </c>
      <c r="C484" s="39">
        <f t="shared" si="96"/>
        <v>5.7315492651185295E-15</v>
      </c>
      <c r="D484" s="39">
        <f t="shared" si="96"/>
        <v>1.5705403162231307E-13</v>
      </c>
      <c r="E484" s="39">
        <f t="shared" si="96"/>
        <v>2.8118032598873226E-12</v>
      </c>
      <c r="F484" s="39">
        <f t="shared" si="96"/>
        <v>3.6990604380223216E-11</v>
      </c>
      <c r="G484" s="39">
        <f t="shared" si="96"/>
        <v>3.8128940434624E-10</v>
      </c>
      <c r="H484" s="39">
        <f t="shared" si="96"/>
        <v>3.206709567497178E-9</v>
      </c>
      <c r="I484" s="39">
        <f t="shared" si="96"/>
        <v>2.2625374362276801E-8</v>
      </c>
      <c r="J484" s="39">
        <f t="shared" si="96"/>
        <v>1.3667003369712596E-7</v>
      </c>
      <c r="K484" s="39">
        <f t="shared" si="96"/>
        <v>7.1777460460268419E-7</v>
      </c>
      <c r="L484" s="39">
        <f t="shared" si="97"/>
        <v>3.3173723743815364E-6</v>
      </c>
      <c r="M484" s="39">
        <f t="shared" si="97"/>
        <v>1.3624482771017528E-5</v>
      </c>
      <c r="N484" s="39">
        <f t="shared" si="97"/>
        <v>5.0123336223090237E-5</v>
      </c>
      <c r="O484" s="39">
        <f t="shared" si="97"/>
        <v>1.6628795634459175E-4</v>
      </c>
      <c r="P484" s="39">
        <f t="shared" si="97"/>
        <v>5.0032717636410416E-4</v>
      </c>
      <c r="Q484" s="39">
        <f t="shared" si="97"/>
        <v>1.3720011789920901E-3</v>
      </c>
      <c r="R484" s="39">
        <f t="shared" si="97"/>
        <v>3.4437783812951545E-3</v>
      </c>
      <c r="S484" s="39">
        <f t="shared" si="97"/>
        <v>7.9427106271722989E-3</v>
      </c>
      <c r="T484" s="39">
        <f t="shared" si="97"/>
        <v>1.6891881823306695E-2</v>
      </c>
      <c r="U484" s="39">
        <f t="shared" si="97"/>
        <v>3.3233936238359664E-2</v>
      </c>
      <c r="V484" s="39">
        <f t="shared" si="97"/>
        <v>6.0678816977835712E-2</v>
      </c>
      <c r="W484" s="37">
        <v>0.51900000000000002</v>
      </c>
    </row>
    <row r="485" spans="2:23" x14ac:dyDescent="0.25">
      <c r="B485" s="39">
        <f t="shared" si="96"/>
        <v>1.14342175195309E-16</v>
      </c>
      <c r="C485" s="39">
        <f t="shared" si="96"/>
        <v>6.3654665883454142E-15</v>
      </c>
      <c r="D485" s="39">
        <f t="shared" si="96"/>
        <v>1.7370607574124946E-13</v>
      </c>
      <c r="E485" s="39">
        <f t="shared" si="96"/>
        <v>3.0971440675603475E-12</v>
      </c>
      <c r="F485" s="39">
        <f t="shared" si="96"/>
        <v>4.0577159463225911E-11</v>
      </c>
      <c r="G485" s="39">
        <f t="shared" si="96"/>
        <v>4.1654530804742783E-10</v>
      </c>
      <c r="H485" s="39">
        <f t="shared" si="96"/>
        <v>3.4888992827665919E-9</v>
      </c>
      <c r="I485" s="39">
        <f t="shared" si="96"/>
        <v>2.4516043684932659E-8</v>
      </c>
      <c r="J485" s="39">
        <f t="shared" si="96"/>
        <v>1.4748873044392923E-7</v>
      </c>
      <c r="K485" s="39">
        <f t="shared" si="96"/>
        <v>7.7145459832090277E-7</v>
      </c>
      <c r="L485" s="39">
        <f t="shared" si="97"/>
        <v>3.5510756036103151E-6</v>
      </c>
      <c r="M485" s="39">
        <f t="shared" si="97"/>
        <v>1.452569072071183E-5</v>
      </c>
      <c r="N485" s="39">
        <f t="shared" si="97"/>
        <v>5.3225122466185751E-5</v>
      </c>
      <c r="O485" s="39">
        <f t="shared" si="97"/>
        <v>1.758764606812223E-4</v>
      </c>
      <c r="P485" s="39">
        <f t="shared" si="97"/>
        <v>5.2708816203735846E-4</v>
      </c>
      <c r="Q485" s="39">
        <f t="shared" si="97"/>
        <v>1.4397266151531679E-3</v>
      </c>
      <c r="R485" s="39">
        <f t="shared" si="97"/>
        <v>3.5997622982448592E-3</v>
      </c>
      <c r="S485" s="39">
        <f t="shared" si="97"/>
        <v>8.27066247530194E-3</v>
      </c>
      <c r="T485" s="39">
        <f t="shared" si="97"/>
        <v>1.7522910320257587E-2</v>
      </c>
      <c r="U485" s="39">
        <f t="shared" si="97"/>
        <v>3.4347498908924121E-2</v>
      </c>
      <c r="V485" s="39">
        <f t="shared" si="97"/>
        <v>6.2484159919719874E-2</v>
      </c>
      <c r="W485" s="37">
        <v>0.51800000000000002</v>
      </c>
    </row>
    <row r="486" spans="2:23" x14ac:dyDescent="0.25">
      <c r="B486" s="39">
        <f t="shared" si="96"/>
        <v>1.2748423500190175E-16</v>
      </c>
      <c r="C486" s="39">
        <f t="shared" si="96"/>
        <v>7.0678266339541228E-15</v>
      </c>
      <c r="D486" s="39">
        <f t="shared" si="96"/>
        <v>1.920785397395266E-13</v>
      </c>
      <c r="E486" s="39">
        <f t="shared" si="96"/>
        <v>3.4106432901576049E-12</v>
      </c>
      <c r="F486" s="39">
        <f t="shared" si="96"/>
        <v>4.4501104112581303E-11</v>
      </c>
      <c r="G486" s="39">
        <f t="shared" si="96"/>
        <v>4.5495581678036841E-10</v>
      </c>
      <c r="H486" s="39">
        <f t="shared" si="96"/>
        <v>3.795047887577542E-9</v>
      </c>
      <c r="I486" s="39">
        <f t="shared" si="96"/>
        <v>2.6558626295680104E-8</v>
      </c>
      <c r="J486" s="39">
        <f t="shared" si="96"/>
        <v>1.5912763223087239E-7</v>
      </c>
      <c r="K486" s="39">
        <f t="shared" si="96"/>
        <v>8.2896184419252974E-7</v>
      </c>
      <c r="L486" s="39">
        <f t="shared" si="97"/>
        <v>3.8003903320093577E-6</v>
      </c>
      <c r="M486" s="39">
        <f t="shared" si="97"/>
        <v>1.5483064211805629E-5</v>
      </c>
      <c r="N486" s="39">
        <f t="shared" si="97"/>
        <v>5.6506388654657588E-5</v>
      </c>
      <c r="O486" s="39">
        <f t="shared" si="97"/>
        <v>1.8597721324411536E-4</v>
      </c>
      <c r="P486" s="39">
        <f t="shared" si="97"/>
        <v>5.5516048072050818E-4</v>
      </c>
      <c r="Q486" s="39">
        <f t="shared" si="97"/>
        <v>1.5104725284884948E-3</v>
      </c>
      <c r="R486" s="39">
        <f t="shared" si="97"/>
        <v>3.762019053285165E-3</v>
      </c>
      <c r="S486" s="39">
        <f t="shared" si="97"/>
        <v>8.6103710539919987E-3</v>
      </c>
      <c r="T486" s="39">
        <f t="shared" si="97"/>
        <v>1.8173817287617768E-2</v>
      </c>
      <c r="U486" s="39">
        <f t="shared" si="97"/>
        <v>3.5491320202583561E-2</v>
      </c>
      <c r="V486" s="39">
        <f t="shared" si="97"/>
        <v>6.4330776962606931E-2</v>
      </c>
      <c r="W486" s="37">
        <v>0.51700000000000002</v>
      </c>
    </row>
    <row r="487" spans="2:23" x14ac:dyDescent="0.25">
      <c r="B487" s="39">
        <f t="shared" si="96"/>
        <v>1.3955748061017282E-16</v>
      </c>
      <c r="C487" s="39">
        <f t="shared" si="96"/>
        <v>7.7105889898157954E-15</v>
      </c>
      <c r="D487" s="39">
        <f t="shared" si="96"/>
        <v>2.0882750313396934E-13</v>
      </c>
      <c r="E487" s="39">
        <f t="shared" si="96"/>
        <v>3.6953428153406169E-12</v>
      </c>
      <c r="F487" s="39">
        <f t="shared" si="96"/>
        <v>4.8050894806101961E-11</v>
      </c>
      <c r="G487" s="39">
        <f t="shared" si="96"/>
        <v>4.8957042216332536E-10</v>
      </c>
      <c r="H487" s="39">
        <f t="shared" si="96"/>
        <v>4.0698821757783814E-9</v>
      </c>
      <c r="I487" s="39">
        <f t="shared" si="96"/>
        <v>2.8385242960431687E-8</v>
      </c>
      <c r="J487" s="39">
        <f t="shared" si="96"/>
        <v>1.6949596185903259E-7</v>
      </c>
      <c r="K487" s="39">
        <f t="shared" si="96"/>
        <v>8.7999450575929793E-7</v>
      </c>
      <c r="L487" s="39">
        <f t="shared" si="97"/>
        <v>4.0207856144587711E-6</v>
      </c>
      <c r="M487" s="39">
        <f t="shared" si="97"/>
        <v>1.6326135531758738E-5</v>
      </c>
      <c r="N487" s="39">
        <f t="shared" si="97"/>
        <v>5.938479954560938E-5</v>
      </c>
      <c r="O487" s="39">
        <f t="shared" si="97"/>
        <v>1.9480381060328237E-4</v>
      </c>
      <c r="P487" s="39">
        <f t="shared" si="97"/>
        <v>5.7959737306944703E-4</v>
      </c>
      <c r="Q487" s="39">
        <f t="shared" si="97"/>
        <v>1.5718200473923629E-3</v>
      </c>
      <c r="R487" s="39">
        <f t="shared" si="97"/>
        <v>3.9021797459194707E-3</v>
      </c>
      <c r="S487" s="39">
        <f t="shared" si="97"/>
        <v>8.902690437427101E-3</v>
      </c>
      <c r="T487" s="39">
        <f t="shared" si="97"/>
        <v>1.8731770160817725E-2</v>
      </c>
      <c r="U487" s="39">
        <f t="shared" si="97"/>
        <v>3.6468026798328716E-2</v>
      </c>
      <c r="V487" s="39">
        <f t="shared" si="97"/>
        <v>6.5901537473676747E-2</v>
      </c>
      <c r="W487" s="37">
        <v>0.51600000000000001</v>
      </c>
    </row>
    <row r="488" spans="2:23" x14ac:dyDescent="0.25">
      <c r="B488" s="39">
        <f t="shared" si="96"/>
        <v>1.5553044176260865E-16</v>
      </c>
      <c r="C488" s="39">
        <f t="shared" si="96"/>
        <v>8.5576846309038916E-15</v>
      </c>
      <c r="D488" s="39">
        <f t="shared" si="96"/>
        <v>2.3081576004573851E-13</v>
      </c>
      <c r="E488" s="39">
        <f t="shared" si="96"/>
        <v>4.0676579669887959E-12</v>
      </c>
      <c r="F488" s="39">
        <f t="shared" si="96"/>
        <v>5.2675216671401795E-11</v>
      </c>
      <c r="G488" s="39">
        <f t="shared" si="96"/>
        <v>5.3448902866664317E-10</v>
      </c>
      <c r="H488" s="39">
        <f t="shared" si="96"/>
        <v>4.4251530682975469E-9</v>
      </c>
      <c r="I488" s="39">
        <f t="shared" si="96"/>
        <v>3.0737356013500898E-8</v>
      </c>
      <c r="J488" s="39">
        <f t="shared" si="96"/>
        <v>1.8279566282142292E-7</v>
      </c>
      <c r="K488" s="39">
        <f t="shared" si="96"/>
        <v>9.4520295067626388E-7</v>
      </c>
      <c r="L488" s="39">
        <f t="shared" si="97"/>
        <v>4.3013165121879502E-6</v>
      </c>
      <c r="M488" s="39">
        <f t="shared" si="97"/>
        <v>1.7395106092366109E-5</v>
      </c>
      <c r="N488" s="39">
        <f t="shared" si="97"/>
        <v>6.302041113692968E-5</v>
      </c>
      <c r="O488" s="39">
        <f t="shared" si="97"/>
        <v>2.0590939725357584E-4</v>
      </c>
      <c r="P488" s="39">
        <f t="shared" si="97"/>
        <v>6.1022532109062592E-4</v>
      </c>
      <c r="Q488" s="39">
        <f t="shared" si="97"/>
        <v>1.6484137215379757E-3</v>
      </c>
      <c r="R488" s="39">
        <f t="shared" si="97"/>
        <v>4.0764993960545103E-3</v>
      </c>
      <c r="S488" s="39">
        <f t="shared" si="97"/>
        <v>9.2648518471387126E-3</v>
      </c>
      <c r="T488" s="39">
        <f t="shared" si="97"/>
        <v>1.9420369750819708E-2</v>
      </c>
      <c r="U488" s="39">
        <f t="shared" si="97"/>
        <v>3.7668792518640602E-2</v>
      </c>
      <c r="V488" s="39">
        <f t="shared" si="97"/>
        <v>6.7825201792166598E-2</v>
      </c>
      <c r="W488" s="37">
        <v>0.51500000000000001</v>
      </c>
    </row>
    <row r="489" spans="2:23" x14ac:dyDescent="0.25">
      <c r="B489" s="39">
        <f t="shared" si="96"/>
        <v>1.7329096103285953E-16</v>
      </c>
      <c r="C489" s="39">
        <f t="shared" si="96"/>
        <v>9.4956270776206967E-15</v>
      </c>
      <c r="D489" s="39">
        <f t="shared" si="96"/>
        <v>2.5505997435786941E-13</v>
      </c>
      <c r="E489" s="39">
        <f t="shared" si="96"/>
        <v>4.4764492619050741E-12</v>
      </c>
      <c r="F489" s="39">
        <f t="shared" si="96"/>
        <v>5.7731281662762174E-11</v>
      </c>
      <c r="G489" s="39">
        <f t="shared" si="96"/>
        <v>5.8339530307153484E-10</v>
      </c>
      <c r="H489" s="39">
        <f t="shared" si="96"/>
        <v>4.8103401307702095E-9</v>
      </c>
      <c r="I489" s="39">
        <f t="shared" si="96"/>
        <v>3.3276831720362899E-8</v>
      </c>
      <c r="J489" s="39">
        <f t="shared" si="96"/>
        <v>1.9709452890476524E-7</v>
      </c>
      <c r="K489" s="39">
        <f t="shared" si="96"/>
        <v>1.0150161375922046E-6</v>
      </c>
      <c r="L489" s="39">
        <f t="shared" si="97"/>
        <v>4.6003971270424079E-6</v>
      </c>
      <c r="M489" s="39">
        <f t="shared" si="97"/>
        <v>1.8529979176668508E-5</v>
      </c>
      <c r="N489" s="39">
        <f t="shared" si="97"/>
        <v>6.6863965805630105E-5</v>
      </c>
      <c r="O489" s="39">
        <f t="shared" si="97"/>
        <v>2.176009222976775E-4</v>
      </c>
      <c r="P489" s="39">
        <f t="shared" si="97"/>
        <v>6.4233394403398242E-4</v>
      </c>
      <c r="Q489" s="39">
        <f t="shared" si="97"/>
        <v>1.7283733641238637E-3</v>
      </c>
      <c r="R489" s="39">
        <f t="shared" si="97"/>
        <v>4.2577162106098255E-3</v>
      </c>
      <c r="S489" s="39">
        <f t="shared" si="97"/>
        <v>9.6397631775637441E-3</v>
      </c>
      <c r="T489" s="39">
        <f t="shared" si="97"/>
        <v>2.0130221149553731E-2</v>
      </c>
      <c r="U489" s="39">
        <f t="shared" si="97"/>
        <v>3.8901424109253062E-2</v>
      </c>
      <c r="V489" s="39">
        <f t="shared" si="97"/>
        <v>6.9791632616148416E-2</v>
      </c>
      <c r="W489" s="37">
        <v>0.51400000000000001</v>
      </c>
    </row>
    <row r="490" spans="2:23" x14ac:dyDescent="0.25">
      <c r="B490" s="39">
        <f t="shared" si="96"/>
        <v>1.9303456176222138E-16</v>
      </c>
      <c r="C490" s="39">
        <f t="shared" si="96"/>
        <v>1.0533921922565661E-14</v>
      </c>
      <c r="D490" s="39">
        <f t="shared" si="96"/>
        <v>2.8178551348190195E-13</v>
      </c>
      <c r="E490" s="39">
        <f t="shared" si="96"/>
        <v>4.9251883470423008E-12</v>
      </c>
      <c r="F490" s="39">
        <f t="shared" si="96"/>
        <v>6.3258146590406378E-11</v>
      </c>
      <c r="G490" s="39">
        <f t="shared" si="96"/>
        <v>6.3663122409911788E-10</v>
      </c>
      <c r="H490" s="39">
        <f t="shared" si="96"/>
        <v>5.2278684303080622E-9</v>
      </c>
      <c r="I490" s="39">
        <f t="shared" si="96"/>
        <v>3.6017978963293187E-8</v>
      </c>
      <c r="J490" s="39">
        <f t="shared" si="96"/>
        <v>2.1246418044360053E-7</v>
      </c>
      <c r="K490" s="39">
        <f t="shared" si="96"/>
        <v>1.0897425357616592E-6</v>
      </c>
      <c r="L490" s="39">
        <f t="shared" si="97"/>
        <v>4.9191829923373499E-6</v>
      </c>
      <c r="M490" s="39">
        <f t="shared" si="97"/>
        <v>1.973454999069191E-5</v>
      </c>
      <c r="N490" s="39">
        <f t="shared" si="97"/>
        <v>7.0926456627154184E-5</v>
      </c>
      <c r="O490" s="39">
        <f t="shared" si="97"/>
        <v>2.2990657986048668E-4</v>
      </c>
      <c r="P490" s="39">
        <f t="shared" si="97"/>
        <v>6.759874033762757E-4</v>
      </c>
      <c r="Q490" s="39">
        <f t="shared" si="97"/>
        <v>1.8118285424604085E-3</v>
      </c>
      <c r="R490" s="39">
        <f t="shared" si="97"/>
        <v>4.44606177181387E-3</v>
      </c>
      <c r="S490" s="39">
        <f t="shared" si="97"/>
        <v>1.0027788398335824E-2</v>
      </c>
      <c r="T490" s="39">
        <f t="shared" si="97"/>
        <v>2.0861820585465429E-2</v>
      </c>
      <c r="U490" s="39">
        <f t="shared" si="97"/>
        <v>4.0166491853307625E-2</v>
      </c>
      <c r="V490" s="39">
        <f t="shared" si="97"/>
        <v>7.1801344353725802E-2</v>
      </c>
      <c r="W490" s="37">
        <v>0.51300000000000001</v>
      </c>
    </row>
    <row r="491" spans="2:23" x14ac:dyDescent="0.25">
      <c r="B491" s="39">
        <f t="shared" si="96"/>
        <v>2.1115787308325563E-16</v>
      </c>
      <c r="C491" s="39">
        <f t="shared" si="96"/>
        <v>1.1483351857683306E-14</v>
      </c>
      <c r="D491" s="39">
        <f t="shared" si="96"/>
        <v>3.0612994145514072E-13</v>
      </c>
      <c r="E491" s="39">
        <f t="shared" si="96"/>
        <v>5.3323789232217395E-12</v>
      </c>
      <c r="F491" s="39">
        <f t="shared" si="96"/>
        <v>6.8254040823985902E-11</v>
      </c>
      <c r="G491" s="39">
        <f t="shared" si="96"/>
        <v>6.8456808205168158E-10</v>
      </c>
      <c r="H491" s="39">
        <f t="shared" si="96"/>
        <v>5.6023935572867937E-9</v>
      </c>
      <c r="I491" s="39">
        <f t="shared" si="96"/>
        <v>3.846736648565002E-8</v>
      </c>
      <c r="J491" s="39">
        <f t="shared" si="96"/>
        <v>2.2614521983044197E-7</v>
      </c>
      <c r="K491" s="39">
        <f t="shared" si="96"/>
        <v>1.156003675038728E-6</v>
      </c>
      <c r="L491" s="39">
        <f t="shared" si="97"/>
        <v>5.2007705911632893E-6</v>
      </c>
      <c r="M491" s="39">
        <f t="shared" si="97"/>
        <v>2.0794477742402029E-5</v>
      </c>
      <c r="N491" s="39">
        <f t="shared" si="97"/>
        <v>7.448740452801801E-5</v>
      </c>
      <c r="O491" s="39">
        <f t="shared" si="97"/>
        <v>2.4065159897689915E-4</v>
      </c>
      <c r="P491" s="39">
        <f t="shared" si="97"/>
        <v>7.0525998731374212E-4</v>
      </c>
      <c r="Q491" s="39">
        <f t="shared" si="97"/>
        <v>1.8841410556034335E-3</v>
      </c>
      <c r="R491" s="39">
        <f t="shared" si="97"/>
        <v>4.6086331970537978E-3</v>
      </c>
      <c r="S491" s="39">
        <f t="shared" si="97"/>
        <v>1.0361427754720567E-2</v>
      </c>
      <c r="T491" s="39">
        <f t="shared" si="97"/>
        <v>2.1488461888373799E-2</v>
      </c>
      <c r="U491" s="39">
        <f t="shared" si="97"/>
        <v>4.1245904766427234E-2</v>
      </c>
      <c r="V491" s="39">
        <f t="shared" si="97"/>
        <v>7.3509532112313841E-2</v>
      </c>
      <c r="W491" s="37">
        <v>0.51200000000000001</v>
      </c>
    </row>
    <row r="492" spans="2:23" x14ac:dyDescent="0.25">
      <c r="B492" s="39">
        <f t="shared" si="96"/>
        <v>2.351157823303872E-16</v>
      </c>
      <c r="C492" s="39">
        <f t="shared" si="96"/>
        <v>1.2733599157113465E-14</v>
      </c>
      <c r="D492" s="39">
        <f t="shared" si="96"/>
        <v>3.3806402458343886E-13</v>
      </c>
      <c r="E492" s="39">
        <f t="shared" si="96"/>
        <v>5.864456186370928E-12</v>
      </c>
      <c r="F492" s="39">
        <f t="shared" si="96"/>
        <v>7.4757022881195942E-11</v>
      </c>
      <c r="G492" s="39">
        <f t="shared" si="96"/>
        <v>7.4672528372302147E-10</v>
      </c>
      <c r="H492" s="39">
        <f t="shared" si="96"/>
        <v>6.0861487617635035E-9</v>
      </c>
      <c r="I492" s="39">
        <f t="shared" si="96"/>
        <v>4.1618923900003564E-8</v>
      </c>
      <c r="J492" s="39">
        <f t="shared" si="96"/>
        <v>2.4368039375571212E-7</v>
      </c>
      <c r="K492" s="39">
        <f t="shared" si="96"/>
        <v>1.2406042619494993E-6</v>
      </c>
      <c r="L492" s="39">
        <f t="shared" si="97"/>
        <v>5.5589096796427628E-6</v>
      </c>
      <c r="M492" s="39">
        <f t="shared" si="97"/>
        <v>2.2137361479420044E-5</v>
      </c>
      <c r="N492" s="39">
        <f t="shared" si="97"/>
        <v>7.8981599932054361E-5</v>
      </c>
      <c r="O492" s="39">
        <f t="shared" si="97"/>
        <v>2.5416043509491373E-4</v>
      </c>
      <c r="P492" s="39">
        <f t="shared" si="97"/>
        <v>7.4192032303206689E-4</v>
      </c>
      <c r="Q492" s="39">
        <f t="shared" si="97"/>
        <v>1.9743550053974231E-3</v>
      </c>
      <c r="R492" s="39">
        <f t="shared" si="97"/>
        <v>4.8106695627709731E-3</v>
      </c>
      <c r="S492" s="39">
        <f t="shared" si="97"/>
        <v>1.0774463775654792E-2</v>
      </c>
      <c r="T492" s="39">
        <f t="shared" si="97"/>
        <v>2.2261240716724254E-2</v>
      </c>
      <c r="U492" s="39">
        <f t="shared" si="97"/>
        <v>4.257192325482597E-2</v>
      </c>
      <c r="V492" s="39">
        <f t="shared" si="97"/>
        <v>7.5599904077720687E-2</v>
      </c>
      <c r="W492" s="37">
        <v>0.51100000000000001</v>
      </c>
    </row>
    <row r="493" spans="2:23" x14ac:dyDescent="0.25">
      <c r="B493" s="39">
        <f t="shared" ref="B493:K502" si="98">_xlfn.HYPGEOM.DIST(B$2,comau,tongtheN*$W493,tongtheN,TRUE)</f>
        <v>2.6173160867709404E-16</v>
      </c>
      <c r="C493" s="39">
        <f t="shared" si="98"/>
        <v>1.4116724366277456E-14</v>
      </c>
      <c r="D493" s="39">
        <f t="shared" si="98"/>
        <v>3.7324392410874614E-13</v>
      </c>
      <c r="E493" s="39">
        <f t="shared" si="98"/>
        <v>6.4481558644608768E-12</v>
      </c>
      <c r="F493" s="39">
        <f t="shared" si="98"/>
        <v>8.1861006572725149E-11</v>
      </c>
      <c r="G493" s="39">
        <f t="shared" si="98"/>
        <v>8.1434222773263395E-10</v>
      </c>
      <c r="H493" s="39">
        <f t="shared" si="98"/>
        <v>6.6101887835125061E-9</v>
      </c>
      <c r="I493" s="39">
        <f t="shared" si="98"/>
        <v>4.5018609740506575E-8</v>
      </c>
      <c r="J493" s="39">
        <f t="shared" si="98"/>
        <v>2.6251681673718192E-7</v>
      </c>
      <c r="K493" s="39">
        <f t="shared" si="98"/>
        <v>1.3311017575778884E-6</v>
      </c>
      <c r="L493" s="39">
        <f t="shared" ref="L493:V502" si="99">_xlfn.HYPGEOM.DIST(L$2,comau,tongtheN*$W493,tongtheN,TRUE)</f>
        <v>5.9404054898290037E-6</v>
      </c>
      <c r="M493" s="39">
        <f t="shared" si="99"/>
        <v>2.3561825096647168E-5</v>
      </c>
      <c r="N493" s="39">
        <f t="shared" si="99"/>
        <v>8.3728825088924967E-5</v>
      </c>
      <c r="O493" s="39">
        <f t="shared" si="99"/>
        <v>2.6836999993555381E-4</v>
      </c>
      <c r="P493" s="39">
        <f t="shared" si="99"/>
        <v>7.8032059337010135E-4</v>
      </c>
      <c r="Q493" s="39">
        <f t="shared" si="99"/>
        <v>2.0684543445925363E-3</v>
      </c>
      <c r="R493" s="39">
        <f t="shared" si="99"/>
        <v>5.020523676823394E-3</v>
      </c>
      <c r="S493" s="39">
        <f t="shared" si="99"/>
        <v>1.1201683174037452E-2</v>
      </c>
      <c r="T493" s="39">
        <f t="shared" si="99"/>
        <v>2.3057204630026126E-2</v>
      </c>
      <c r="U493" s="39">
        <f t="shared" si="99"/>
        <v>4.3931998389852685E-2</v>
      </c>
      <c r="V493" s="39">
        <f t="shared" si="99"/>
        <v>7.7734973902187629E-2</v>
      </c>
      <c r="W493" s="37">
        <v>0.51</v>
      </c>
    </row>
    <row r="494" spans="2:23" x14ac:dyDescent="0.25">
      <c r="B494" s="39">
        <f t="shared" si="98"/>
        <v>2.9129356015040491E-16</v>
      </c>
      <c r="C494" s="39">
        <f t="shared" si="98"/>
        <v>1.5646505852047098E-14</v>
      </c>
      <c r="D494" s="39">
        <f t="shared" si="98"/>
        <v>4.1199085359768579E-13</v>
      </c>
      <c r="E494" s="39">
        <f t="shared" si="98"/>
        <v>7.0883430561406534E-12</v>
      </c>
      <c r="F494" s="39">
        <f t="shared" si="98"/>
        <v>8.9619802823841567E-11</v>
      </c>
      <c r="G494" s="39">
        <f t="shared" si="98"/>
        <v>8.8788209286988643E-10</v>
      </c>
      <c r="H494" s="39">
        <f t="shared" si="98"/>
        <v>7.1777421177751894E-9</v>
      </c>
      <c r="I494" s="39">
        <f t="shared" si="98"/>
        <v>4.8685145934515488E-8</v>
      </c>
      <c r="J494" s="39">
        <f t="shared" si="98"/>
        <v>2.8274657177776711E-7</v>
      </c>
      <c r="K494" s="39">
        <f t="shared" si="98"/>
        <v>1.4278858057420548E-6</v>
      </c>
      <c r="L494" s="39">
        <f t="shared" si="99"/>
        <v>6.3466916790697749E-6</v>
      </c>
      <c r="M494" s="39">
        <f t="shared" si="99"/>
        <v>2.5072492105921747E-5</v>
      </c>
      <c r="N494" s="39">
        <f t="shared" si="99"/>
        <v>8.8742224921388574E-5</v>
      </c>
      <c r="O494" s="39">
        <f t="shared" si="99"/>
        <v>2.833133664623611E-4</v>
      </c>
      <c r="P494" s="39">
        <f t="shared" si="99"/>
        <v>8.2053458118473721E-4</v>
      </c>
      <c r="Q494" s="39">
        <f t="shared" si="99"/>
        <v>2.1665849895749659E-3</v>
      </c>
      <c r="R494" s="39">
        <f t="shared" si="99"/>
        <v>5.2384505644966183E-3</v>
      </c>
      <c r="S494" s="39">
        <f t="shared" si="99"/>
        <v>1.1643476927646291E-2</v>
      </c>
      <c r="T494" s="39">
        <f t="shared" si="99"/>
        <v>2.3876871331861525E-2</v>
      </c>
      <c r="U494" s="39">
        <f t="shared" si="99"/>
        <v>4.5326702723312462E-2</v>
      </c>
      <c r="V494" s="39">
        <f t="shared" si="99"/>
        <v>7.9915225909948151E-2</v>
      </c>
      <c r="W494" s="37">
        <v>0.50900000000000001</v>
      </c>
    </row>
    <row r="495" spans="2:23" x14ac:dyDescent="0.25">
      <c r="B495" s="39">
        <f t="shared" si="98"/>
        <v>3.1840799799589586E-16</v>
      </c>
      <c r="C495" s="39">
        <f t="shared" si="98"/>
        <v>1.7044253317909566E-14</v>
      </c>
      <c r="D495" s="39">
        <f t="shared" si="98"/>
        <v>4.4725783174652381E-13</v>
      </c>
      <c r="E495" s="39">
        <f t="shared" si="98"/>
        <v>7.668799204179003E-12</v>
      </c>
      <c r="F495" s="39">
        <f t="shared" si="98"/>
        <v>9.6627706029909766E-11</v>
      </c>
      <c r="G495" s="39">
        <f t="shared" si="98"/>
        <v>9.5405004954033557E-10</v>
      </c>
      <c r="H495" s="39">
        <f t="shared" si="98"/>
        <v>7.686443074471336E-9</v>
      </c>
      <c r="I495" s="39">
        <f t="shared" si="98"/>
        <v>5.195887448101468E-8</v>
      </c>
      <c r="J495" s="39">
        <f t="shared" si="98"/>
        <v>3.0073975323710462E-7</v>
      </c>
      <c r="K495" s="39">
        <f t="shared" si="98"/>
        <v>1.5136392551510931E-6</v>
      </c>
      <c r="L495" s="39">
        <f t="shared" si="99"/>
        <v>6.7052915974102391E-6</v>
      </c>
      <c r="M495" s="39">
        <f t="shared" si="99"/>
        <v>2.6400733512074815E-5</v>
      </c>
      <c r="N495" s="39">
        <f t="shared" si="99"/>
        <v>9.3133297204533368E-5</v>
      </c>
      <c r="O495" s="39">
        <f t="shared" si="99"/>
        <v>2.9635153222346672E-4</v>
      </c>
      <c r="P495" s="39">
        <f t="shared" si="99"/>
        <v>8.5548680615120333E-4</v>
      </c>
      <c r="Q495" s="39">
        <f t="shared" si="99"/>
        <v>2.2515483740701706E-3</v>
      </c>
      <c r="R495" s="39">
        <f t="shared" si="99"/>
        <v>5.4264113549136522E-3</v>
      </c>
      <c r="S495" s="39">
        <f t="shared" si="99"/>
        <v>1.2023058518821175E-2</v>
      </c>
      <c r="T495" s="39">
        <f t="shared" si="99"/>
        <v>2.4578410327872668E-2</v>
      </c>
      <c r="U495" s="39">
        <f t="shared" si="99"/>
        <v>4.651582210118848E-2</v>
      </c>
      <c r="V495" s="39">
        <f t="shared" si="99"/>
        <v>8.1766959954108126E-2</v>
      </c>
      <c r="W495" s="37">
        <v>0.50800000000000001</v>
      </c>
    </row>
    <row r="496" spans="2:23" x14ac:dyDescent="0.25">
      <c r="B496" s="39">
        <f t="shared" si="98"/>
        <v>3.5422322178884917E-16</v>
      </c>
      <c r="C496" s="39">
        <f t="shared" si="98"/>
        <v>1.8883407863160561E-14</v>
      </c>
      <c r="D496" s="39">
        <f t="shared" si="98"/>
        <v>4.9348320538192763E-13</v>
      </c>
      <c r="E496" s="39">
        <f t="shared" si="98"/>
        <v>8.426686260865604E-12</v>
      </c>
      <c r="F496" s="39">
        <f t="shared" si="98"/>
        <v>1.0574248801256181E-10</v>
      </c>
      <c r="G496" s="39">
        <f t="shared" si="98"/>
        <v>1.0397793444678033E-9</v>
      </c>
      <c r="H496" s="39">
        <f t="shared" si="98"/>
        <v>8.3429928280631098E-9</v>
      </c>
      <c r="I496" s="39">
        <f t="shared" si="98"/>
        <v>5.6167802852011575E-8</v>
      </c>
      <c r="J496" s="39">
        <f t="shared" si="98"/>
        <v>3.2378391055075205E-7</v>
      </c>
      <c r="K496" s="39">
        <f t="shared" si="98"/>
        <v>1.6230421194853979E-6</v>
      </c>
      <c r="L496" s="39">
        <f t="shared" si="99"/>
        <v>7.1610259049133765E-6</v>
      </c>
      <c r="M496" s="39">
        <f t="shared" si="99"/>
        <v>2.8082258069368565E-5</v>
      </c>
      <c r="N496" s="39">
        <f t="shared" si="99"/>
        <v>9.867089829756787E-5</v>
      </c>
      <c r="O496" s="39">
        <f t="shared" si="99"/>
        <v>3.1273073201302685E-4</v>
      </c>
      <c r="P496" s="39">
        <f t="shared" si="99"/>
        <v>8.9922655938030579E-4</v>
      </c>
      <c r="Q496" s="39">
        <f t="shared" si="99"/>
        <v>2.3574637087788643E-3</v>
      </c>
      <c r="R496" s="39">
        <f t="shared" si="99"/>
        <v>5.6598216763169397E-3</v>
      </c>
      <c r="S496" s="39">
        <f t="shared" si="99"/>
        <v>1.2492610749770792E-2</v>
      </c>
      <c r="T496" s="39">
        <f t="shared" si="99"/>
        <v>2.5442893955121667E-2</v>
      </c>
      <c r="U496" s="39">
        <f t="shared" si="99"/>
        <v>4.7975499278322765E-2</v>
      </c>
      <c r="V496" s="39">
        <f t="shared" si="99"/>
        <v>8.4031273653338193E-2</v>
      </c>
      <c r="W496" s="37">
        <v>0.50700000000000001</v>
      </c>
    </row>
    <row r="497" spans="2:23" x14ac:dyDescent="0.25">
      <c r="B497" s="39">
        <f t="shared" si="98"/>
        <v>3.9397766855409869E-16</v>
      </c>
      <c r="C497" s="39">
        <f t="shared" si="98"/>
        <v>2.09162870916294E-14</v>
      </c>
      <c r="D497" s="39">
        <f t="shared" si="98"/>
        <v>5.4436344181394054E-13</v>
      </c>
      <c r="E497" s="39">
        <f t="shared" si="98"/>
        <v>9.2573945527646547E-12</v>
      </c>
      <c r="F497" s="39">
        <f t="shared" si="98"/>
        <v>1.1569117421295204E-10</v>
      </c>
      <c r="G497" s="39">
        <f t="shared" si="98"/>
        <v>1.1329596474945393E-9</v>
      </c>
      <c r="H497" s="39">
        <f t="shared" si="98"/>
        <v>9.0536136927585272E-9</v>
      </c>
      <c r="I497" s="39">
        <f t="shared" si="98"/>
        <v>6.0704265282042682E-8</v>
      </c>
      <c r="J497" s="39">
        <f t="shared" si="98"/>
        <v>3.4851721322167445E-7</v>
      </c>
      <c r="K497" s="39">
        <f t="shared" si="98"/>
        <v>1.7399719972756118E-6</v>
      </c>
      <c r="L497" s="39">
        <f t="shared" si="99"/>
        <v>7.6460731848481278E-6</v>
      </c>
      <c r="M497" s="39">
        <f t="shared" si="99"/>
        <v>2.9864436304801303E-5</v>
      </c>
      <c r="N497" s="39">
        <f t="shared" si="99"/>
        <v>1.0451536897606708E-4</v>
      </c>
      <c r="O497" s="39">
        <f t="shared" si="99"/>
        <v>3.2994512904337543E-4</v>
      </c>
      <c r="P497" s="39">
        <f t="shared" si="99"/>
        <v>9.4500395749768718E-4</v>
      </c>
      <c r="Q497" s="39">
        <f t="shared" si="99"/>
        <v>2.4678485107926104E-3</v>
      </c>
      <c r="R497" s="39">
        <f t="shared" si="99"/>
        <v>5.9020618574254918E-3</v>
      </c>
      <c r="S497" s="39">
        <f t="shared" si="99"/>
        <v>1.2977883317628247E-2</v>
      </c>
      <c r="T497" s="39">
        <f t="shared" si="99"/>
        <v>2.6332574992841702E-2</v>
      </c>
      <c r="U497" s="39">
        <f t="shared" si="99"/>
        <v>4.9471425341151516E-2</v>
      </c>
      <c r="V497" s="39">
        <f t="shared" si="99"/>
        <v>8.6342091296273307E-2</v>
      </c>
      <c r="W497" s="37">
        <v>0.50600000000000001</v>
      </c>
    </row>
    <row r="498" spans="2:23" x14ac:dyDescent="0.25">
      <c r="B498" s="39">
        <f t="shared" si="98"/>
        <v>4.3809481922552023E-16</v>
      </c>
      <c r="C498" s="39">
        <f t="shared" si="98"/>
        <v>2.3162799345897016E-14</v>
      </c>
      <c r="D498" s="39">
        <f t="shared" si="98"/>
        <v>6.0035490696105106E-13</v>
      </c>
      <c r="E498" s="39">
        <f t="shared" si="98"/>
        <v>1.016772020198E-11</v>
      </c>
      <c r="F498" s="39">
        <f t="shared" si="98"/>
        <v>1.2654766615044247E-10</v>
      </c>
      <c r="G498" s="39">
        <f t="shared" si="98"/>
        <v>1.2342162780839919E-9</v>
      </c>
      <c r="H498" s="39">
        <f t="shared" si="98"/>
        <v>9.8225899017502394E-9</v>
      </c>
      <c r="I498" s="39">
        <f t="shared" si="98"/>
        <v>6.559267823521473E-8</v>
      </c>
      <c r="J498" s="39">
        <f t="shared" si="98"/>
        <v>3.7505766563644226E-7</v>
      </c>
      <c r="K498" s="39">
        <f t="shared" si="98"/>
        <v>1.8649194393225658E-6</v>
      </c>
      <c r="L498" s="39">
        <f t="shared" si="99"/>
        <v>8.1622061921300399E-6</v>
      </c>
      <c r="M498" s="39">
        <f t="shared" si="99"/>
        <v>3.175288157807131E-5</v>
      </c>
      <c r="N498" s="39">
        <f t="shared" si="99"/>
        <v>1.1068237228030452E-4</v>
      </c>
      <c r="O498" s="39">
        <f t="shared" si="99"/>
        <v>3.4803337946450911E-4</v>
      </c>
      <c r="P498" s="39">
        <f t="shared" si="99"/>
        <v>9.929035282292796E-4</v>
      </c>
      <c r="Q498" s="39">
        <f t="shared" si="99"/>
        <v>2.5828664519521021E-3</v>
      </c>
      <c r="R498" s="39">
        <f t="shared" si="99"/>
        <v>6.1534115150331248E-3</v>
      </c>
      <c r="S498" s="39">
        <f t="shared" si="99"/>
        <v>1.3479294118759741E-2</v>
      </c>
      <c r="T498" s="39">
        <f t="shared" si="99"/>
        <v>2.7247990203002372E-2</v>
      </c>
      <c r="U498" s="39">
        <f t="shared" si="99"/>
        <v>5.1004169900228588E-2</v>
      </c>
      <c r="V498" s="39">
        <f t="shared" si="99"/>
        <v>8.8699860067458031E-2</v>
      </c>
      <c r="W498" s="37">
        <v>0.505</v>
      </c>
    </row>
    <row r="499" spans="2:23" x14ac:dyDescent="0.25">
      <c r="B499" s="39">
        <f t="shared" si="98"/>
        <v>4.7852790198866814E-16</v>
      </c>
      <c r="C499" s="39">
        <f t="shared" si="98"/>
        <v>2.5213822479872659E-14</v>
      </c>
      <c r="D499" s="39">
        <f t="shared" si="98"/>
        <v>6.5127811939459387E-13</v>
      </c>
      <c r="E499" s="39">
        <f t="shared" si="98"/>
        <v>1.0992471029456912E-11</v>
      </c>
      <c r="F499" s="39">
        <f t="shared" si="98"/>
        <v>1.3634588960171385E-10</v>
      </c>
      <c r="G499" s="39">
        <f t="shared" si="98"/>
        <v>1.3252522360689023E-9</v>
      </c>
      <c r="H499" s="39">
        <f t="shared" si="98"/>
        <v>1.0511295943231077E-8</v>
      </c>
      <c r="I499" s="39">
        <f t="shared" si="98"/>
        <v>6.9954020735782275E-8</v>
      </c>
      <c r="J499" s="39">
        <f t="shared" si="98"/>
        <v>3.9864570103836467E-7</v>
      </c>
      <c r="K499" s="39">
        <f t="shared" si="98"/>
        <v>1.9755415100887826E-6</v>
      </c>
      <c r="L499" s="39">
        <f t="shared" si="99"/>
        <v>8.6174109951334687E-6</v>
      </c>
      <c r="M499" s="39">
        <f t="shared" si="99"/>
        <v>3.3412010813578871E-5</v>
      </c>
      <c r="N499" s="39">
        <f t="shared" si="99"/>
        <v>1.1607972034650579E-4</v>
      </c>
      <c r="O499" s="39">
        <f t="shared" si="99"/>
        <v>3.6380342911259702E-4</v>
      </c>
      <c r="P499" s="39">
        <f t="shared" si="99"/>
        <v>1.0345039941853876E-3</v>
      </c>
      <c r="Q499" s="39">
        <f t="shared" si="99"/>
        <v>2.6823753825356124E-3</v>
      </c>
      <c r="R499" s="39">
        <f t="shared" si="99"/>
        <v>6.3700344739432589E-3</v>
      </c>
      <c r="S499" s="39">
        <f t="shared" si="99"/>
        <v>1.3909770578031439E-2</v>
      </c>
      <c r="T499" s="39">
        <f t="shared" si="99"/>
        <v>2.8030884630305786E-2</v>
      </c>
      <c r="U499" s="39">
        <f t="shared" si="99"/>
        <v>5.2309992063591201E-2</v>
      </c>
      <c r="V499" s="39">
        <f t="shared" si="99"/>
        <v>9.0700847942458668E-2</v>
      </c>
      <c r="W499" s="37">
        <v>0.504</v>
      </c>
    </row>
    <row r="500" spans="2:23" x14ac:dyDescent="0.25">
      <c r="B500" s="39">
        <f t="shared" si="98"/>
        <v>5.3189397106246136E-16</v>
      </c>
      <c r="C500" s="39">
        <f t="shared" si="98"/>
        <v>2.7910456153414354E-14</v>
      </c>
      <c r="D500" s="39">
        <f t="shared" si="98"/>
        <v>7.1797268317122103E-13</v>
      </c>
      <c r="E500" s="39">
        <f t="shared" si="98"/>
        <v>1.206849232360056E-11</v>
      </c>
      <c r="F500" s="39">
        <f t="shared" si="98"/>
        <v>1.4908001496444055E-10</v>
      </c>
      <c r="G500" s="39">
        <f t="shared" si="98"/>
        <v>1.4431101192254687E-9</v>
      </c>
      <c r="H500" s="39">
        <f t="shared" si="98"/>
        <v>1.1399481410606354E-8</v>
      </c>
      <c r="I500" s="39">
        <f t="shared" si="98"/>
        <v>7.5556938858336979E-8</v>
      </c>
      <c r="J500" s="39">
        <f t="shared" si="98"/>
        <v>4.2883203531467579E-7</v>
      </c>
      <c r="K500" s="39">
        <f t="shared" si="98"/>
        <v>2.116562943479663E-6</v>
      </c>
      <c r="L500" s="39">
        <f t="shared" si="99"/>
        <v>9.1954739278503341E-6</v>
      </c>
      <c r="M500" s="39">
        <f t="shared" si="99"/>
        <v>3.5510823389147538E-5</v>
      </c>
      <c r="N500" s="39">
        <f t="shared" si="99"/>
        <v>1.2288113468866357E-4</v>
      </c>
      <c r="O500" s="39">
        <f t="shared" si="99"/>
        <v>3.8359942898266779E-4</v>
      </c>
      <c r="P500" s="39">
        <f t="shared" si="99"/>
        <v>1.0865237561376981E-3</v>
      </c>
      <c r="Q500" s="39">
        <f t="shared" si="99"/>
        <v>2.8063287177000529E-3</v>
      </c>
      <c r="R500" s="39">
        <f t="shared" si="99"/>
        <v>6.6388329745902868E-3</v>
      </c>
      <c r="S500" s="39">
        <f t="shared" si="99"/>
        <v>1.4441876599318155E-2</v>
      </c>
      <c r="T500" s="39">
        <f t="shared" si="99"/>
        <v>2.8994888070734012E-2</v>
      </c>
      <c r="U500" s="39">
        <f t="shared" si="99"/>
        <v>5.3911710742292791E-2</v>
      </c>
      <c r="V500" s="39">
        <f t="shared" si="99"/>
        <v>9.3145818821953996E-2</v>
      </c>
      <c r="W500" s="37">
        <v>0.503</v>
      </c>
    </row>
    <row r="501" spans="2:23" x14ac:dyDescent="0.25">
      <c r="B501" s="39">
        <f t="shared" si="98"/>
        <v>5.9107960522639529E-16</v>
      </c>
      <c r="C501" s="39">
        <f t="shared" si="98"/>
        <v>3.0888622091405941E-14</v>
      </c>
      <c r="D501" s="39">
        <f t="shared" si="98"/>
        <v>7.9132152160105547E-13</v>
      </c>
      <c r="E501" s="39">
        <f t="shared" si="98"/>
        <v>1.3246910827450312E-11</v>
      </c>
      <c r="F501" s="39">
        <f t="shared" si="98"/>
        <v>1.6296750334192076E-10</v>
      </c>
      <c r="G501" s="39">
        <f t="shared" si="98"/>
        <v>1.5711039804557215E-9</v>
      </c>
      <c r="H501" s="39">
        <f t="shared" si="98"/>
        <v>1.2360009567397686E-8</v>
      </c>
      <c r="I501" s="39">
        <f t="shared" si="98"/>
        <v>8.1590818766128364E-8</v>
      </c>
      <c r="J501" s="39">
        <f t="shared" si="98"/>
        <v>4.6120397535609344E-7</v>
      </c>
      <c r="K501" s="39">
        <f t="shared" si="98"/>
        <v>2.2671610300873579E-6</v>
      </c>
      <c r="L501" s="39">
        <f t="shared" si="99"/>
        <v>9.8102053953168139E-6</v>
      </c>
      <c r="M501" s="39">
        <f t="shared" si="99"/>
        <v>3.7733416624074893E-5</v>
      </c>
      <c r="N501" s="39">
        <f t="shared" si="99"/>
        <v>1.3005348650552915E-4</v>
      </c>
      <c r="O501" s="39">
        <f t="shared" si="99"/>
        <v>4.0438757831601268E-4</v>
      </c>
      <c r="P501" s="39">
        <f t="shared" si="99"/>
        <v>1.1409217386416624E-3</v>
      </c>
      <c r="Q501" s="39">
        <f t="shared" si="99"/>
        <v>2.9354056717115183E-3</v>
      </c>
      <c r="R501" s="39">
        <f t="shared" si="99"/>
        <v>6.9175691934361414E-3</v>
      </c>
      <c r="S501" s="39">
        <f t="shared" si="99"/>
        <v>1.4991342591605214E-2</v>
      </c>
      <c r="T501" s="39">
        <f t="shared" si="99"/>
        <v>2.9986170302329522E-2</v>
      </c>
      <c r="U501" s="39">
        <f t="shared" si="99"/>
        <v>5.5551851351006577E-2</v>
      </c>
      <c r="V501" s="39">
        <f t="shared" si="99"/>
        <v>9.5638947221313816E-2</v>
      </c>
      <c r="W501" s="37">
        <v>0.502</v>
      </c>
    </row>
    <row r="502" spans="2:23" x14ac:dyDescent="0.25">
      <c r="B502" s="39">
        <f t="shared" si="98"/>
        <v>6.5670510820374742E-16</v>
      </c>
      <c r="C502" s="39">
        <f t="shared" si="98"/>
        <v>3.4176995903539626E-14</v>
      </c>
      <c r="D502" s="39">
        <f t="shared" si="98"/>
        <v>8.7197098716046582E-13</v>
      </c>
      <c r="E502" s="39">
        <f t="shared" si="98"/>
        <v>1.4537190293315839E-11</v>
      </c>
      <c r="F502" s="39">
        <f t="shared" si="98"/>
        <v>1.7810952749843304E-10</v>
      </c>
      <c r="G502" s="39">
        <f t="shared" si="98"/>
        <v>1.7100753619241466E-9</v>
      </c>
      <c r="H502" s="39">
        <f t="shared" si="98"/>
        <v>1.3398547480212825E-8</v>
      </c>
      <c r="I502" s="39">
        <f t="shared" si="98"/>
        <v>8.808740117528047E-8</v>
      </c>
      <c r="J502" s="39">
        <f t="shared" si="98"/>
        <v>4.9591225309755921E-7</v>
      </c>
      <c r="K502" s="39">
        <f t="shared" si="98"/>
        <v>2.4279513317975125E-6</v>
      </c>
      <c r="L502" s="39">
        <f t="shared" si="99"/>
        <v>1.0463790147745223E-5</v>
      </c>
      <c r="M502" s="39">
        <f t="shared" si="99"/>
        <v>4.0086582477147138E-5</v>
      </c>
      <c r="N502" s="39">
        <f t="shared" si="99"/>
        <v>1.376153742710597E-4</v>
      </c>
      <c r="O502" s="39">
        <f t="shared" si="99"/>
        <v>4.2621289603392553E-4</v>
      </c>
      <c r="P502" s="39">
        <f t="shared" si="99"/>
        <v>1.1977944133371814E-3</v>
      </c>
      <c r="Q502" s="39">
        <f t="shared" si="99"/>
        <v>3.0697890924748748E-3</v>
      </c>
      <c r="R502" s="39">
        <f t="shared" si="99"/>
        <v>7.2065483508929806E-3</v>
      </c>
      <c r="S502" s="39">
        <f t="shared" si="99"/>
        <v>1.5558612929597818E-2</v>
      </c>
      <c r="T502" s="39">
        <f t="shared" si="99"/>
        <v>3.1005284209604543E-2</v>
      </c>
      <c r="U502" s="39">
        <f t="shared" si="99"/>
        <v>5.7230974871934771E-2</v>
      </c>
      <c r="V502" s="39">
        <f t="shared" si="99"/>
        <v>9.8180636013600484E-2</v>
      </c>
      <c r="W502" s="37">
        <v>0.501</v>
      </c>
    </row>
    <row r="503" spans="2:23" x14ac:dyDescent="0.25">
      <c r="B503" s="39">
        <f t="shared" ref="B503:K512" si="100">_xlfn.HYPGEOM.DIST(B$2,comau,tongtheN*$W503,tongtheN,TRUE)</f>
        <v>7.1680440407160383E-16</v>
      </c>
      <c r="C503" s="39">
        <f t="shared" si="100"/>
        <v>3.717692252151545E-14</v>
      </c>
      <c r="D503" s="39">
        <f t="shared" si="100"/>
        <v>9.4526415161844927E-13</v>
      </c>
      <c r="E503" s="39">
        <f t="shared" si="100"/>
        <v>1.5705285145193923E-11</v>
      </c>
      <c r="F503" s="39">
        <f t="shared" si="100"/>
        <v>1.917651159547573E-10</v>
      </c>
      <c r="G503" s="39">
        <f t="shared" si="100"/>
        <v>1.8349240078276177E-9</v>
      </c>
      <c r="H503" s="39">
        <f t="shared" si="100"/>
        <v>1.4327968753911684E-8</v>
      </c>
      <c r="I503" s="39">
        <f t="shared" si="100"/>
        <v>9.3879111226032934E-8</v>
      </c>
      <c r="J503" s="39">
        <f t="shared" si="100"/>
        <v>5.2673606492832136E-7</v>
      </c>
      <c r="K503" s="39">
        <f t="shared" si="100"/>
        <v>2.5701987411180683E-6</v>
      </c>
      <c r="L503" s="39">
        <f t="shared" ref="L503:V512" si="101">_xlfn.HYPGEOM.DIST(L$2,comau,tongtheN*$W503,tongtheN,TRUE)</f>
        <v>1.1039783505946294E-5</v>
      </c>
      <c r="M503" s="39">
        <f t="shared" si="101"/>
        <v>4.2152433324750877E-5</v>
      </c>
      <c r="N503" s="39">
        <f t="shared" si="101"/>
        <v>1.4422850832362851E-4</v>
      </c>
      <c r="O503" s="39">
        <f t="shared" si="101"/>
        <v>4.4522666269371599E-4</v>
      </c>
      <c r="P503" s="39">
        <f t="shared" si="101"/>
        <v>1.2471505930432758E-3</v>
      </c>
      <c r="Q503" s="39">
        <f t="shared" si="101"/>
        <v>3.185964361003248E-3</v>
      </c>
      <c r="R503" s="39">
        <f t="shared" si="101"/>
        <v>7.4554137014602347E-3</v>
      </c>
      <c r="S503" s="39">
        <f t="shared" si="101"/>
        <v>1.6045264041754898E-2</v>
      </c>
      <c r="T503" s="39">
        <f t="shared" si="101"/>
        <v>3.1876207519789271E-2</v>
      </c>
      <c r="U503" s="39">
        <f t="shared" si="101"/>
        <v>5.8660425575778309E-2</v>
      </c>
      <c r="V503" s="39">
        <f t="shared" si="101"/>
        <v>0.10033608660528805</v>
      </c>
      <c r="W503" s="37">
        <v>0.5</v>
      </c>
    </row>
    <row r="504" spans="2:23" x14ac:dyDescent="0.25">
      <c r="B504" s="39">
        <f t="shared" si="100"/>
        <v>7.9606630752512257E-16</v>
      </c>
      <c r="C504" s="39">
        <f t="shared" si="100"/>
        <v>4.111812866121042E-14</v>
      </c>
      <c r="D504" s="39">
        <f t="shared" si="100"/>
        <v>1.0411833635336366E-12</v>
      </c>
      <c r="E504" s="39">
        <f t="shared" si="100"/>
        <v>1.7228089298195131E-11</v>
      </c>
      <c r="F504" s="39">
        <f t="shared" si="100"/>
        <v>2.0949885770629675E-10</v>
      </c>
      <c r="G504" s="39">
        <f t="shared" si="100"/>
        <v>1.9964334870366651E-9</v>
      </c>
      <c r="H504" s="39">
        <f t="shared" si="100"/>
        <v>1.5525677476507833E-8</v>
      </c>
      <c r="I504" s="39">
        <f t="shared" si="100"/>
        <v>1.0131392407406889E-7</v>
      </c>
      <c r="J504" s="39">
        <f t="shared" si="100"/>
        <v>5.6615223301649917E-7</v>
      </c>
      <c r="K504" s="39">
        <f t="shared" si="100"/>
        <v>2.7513984314307827E-6</v>
      </c>
      <c r="L504" s="39">
        <f t="shared" si="101"/>
        <v>1.1770679852954826E-5</v>
      </c>
      <c r="M504" s="39">
        <f t="shared" si="101"/>
        <v>4.4763769044171157E-5</v>
      </c>
      <c r="N504" s="39">
        <f t="shared" si="101"/>
        <v>1.5255566438863058E-4</v>
      </c>
      <c r="O504" s="39">
        <f t="shared" si="101"/>
        <v>4.6907638732331515E-4</v>
      </c>
      <c r="P504" s="39">
        <f t="shared" si="101"/>
        <v>1.3088218466800127E-3</v>
      </c>
      <c r="Q504" s="39">
        <f t="shared" si="101"/>
        <v>3.3305686434656223E-3</v>
      </c>
      <c r="R504" s="39">
        <f t="shared" si="101"/>
        <v>7.7639869926273775E-3</v>
      </c>
      <c r="S504" s="39">
        <f t="shared" si="101"/>
        <v>1.6646352301631043E-2</v>
      </c>
      <c r="T504" s="39">
        <f t="shared" si="101"/>
        <v>3.2947794096849212E-2</v>
      </c>
      <c r="U504" s="39">
        <f t="shared" si="101"/>
        <v>6.0412463713920041E-2</v>
      </c>
      <c r="V504" s="39">
        <f t="shared" si="101"/>
        <v>0.10296780650564712</v>
      </c>
      <c r="W504" s="37">
        <v>0.499</v>
      </c>
    </row>
    <row r="505" spans="2:23" x14ac:dyDescent="0.25">
      <c r="B505" s="39">
        <f t="shared" si="100"/>
        <v>8.8389866313831693E-16</v>
      </c>
      <c r="C505" s="39">
        <f t="shared" si="100"/>
        <v>4.5467187998937747E-14</v>
      </c>
      <c r="D505" s="39">
        <f t="shared" si="100"/>
        <v>1.1465851426925462E-12</v>
      </c>
      <c r="E505" s="39">
        <f t="shared" si="100"/>
        <v>1.8894425221716067E-11</v>
      </c>
      <c r="F505" s="39">
        <f t="shared" si="100"/>
        <v>2.2882276992048471E-10</v>
      </c>
      <c r="G505" s="39">
        <f t="shared" si="100"/>
        <v>2.1716878630553872E-9</v>
      </c>
      <c r="H505" s="39">
        <f t="shared" si="100"/>
        <v>1.6819868104717296E-8</v>
      </c>
      <c r="I505" s="39">
        <f t="shared" si="100"/>
        <v>1.0931398452167666E-7</v>
      </c>
      <c r="J505" s="39">
        <f t="shared" si="100"/>
        <v>6.0838736188735973E-7</v>
      </c>
      <c r="K505" s="39">
        <f t="shared" si="100"/>
        <v>2.9447434881039993E-6</v>
      </c>
      <c r="L505" s="39">
        <f t="shared" si="101"/>
        <v>1.2547298146875473E-5</v>
      </c>
      <c r="M505" s="39">
        <f t="shared" si="101"/>
        <v>4.7526831755009836E-5</v>
      </c>
      <c r="N505" s="39">
        <f t="shared" si="101"/>
        <v>1.6132973140605387E-4</v>
      </c>
      <c r="O505" s="39">
        <f t="shared" si="101"/>
        <v>4.9410079609741718E-4</v>
      </c>
      <c r="P505" s="39">
        <f t="shared" si="101"/>
        <v>1.3732594604346114E-3</v>
      </c>
      <c r="Q505" s="39">
        <f t="shared" si="101"/>
        <v>3.4810262141361948E-3</v>
      </c>
      <c r="R505" s="39">
        <f t="shared" si="101"/>
        <v>8.0837052539882038E-3</v>
      </c>
      <c r="S505" s="39">
        <f t="shared" si="101"/>
        <v>1.7266540612071269E-2</v>
      </c>
      <c r="T505" s="39">
        <f t="shared" si="101"/>
        <v>3.4048797893850957E-2</v>
      </c>
      <c r="U505" s="39">
        <f t="shared" si="101"/>
        <v>6.2205055197825522E-2</v>
      </c>
      <c r="V505" s="39">
        <f t="shared" si="101"/>
        <v>0.10564915744612639</v>
      </c>
      <c r="W505" s="37">
        <v>0.498</v>
      </c>
    </row>
    <row r="506" spans="2:23" x14ac:dyDescent="0.25">
      <c r="B506" s="39">
        <f t="shared" si="100"/>
        <v>9.8120728592915047E-16</v>
      </c>
      <c r="C506" s="39">
        <f t="shared" si="100"/>
        <v>5.026527720702843E-14</v>
      </c>
      <c r="D506" s="39">
        <f t="shared" si="100"/>
        <v>1.2623820929540963E-12</v>
      </c>
      <c r="E506" s="39">
        <f t="shared" si="100"/>
        <v>2.0717430542547438E-11</v>
      </c>
      <c r="F506" s="39">
        <f t="shared" si="100"/>
        <v>2.4987492877936232E-10</v>
      </c>
      <c r="G506" s="39">
        <f t="shared" si="100"/>
        <v>2.3618161174333182E-9</v>
      </c>
      <c r="H506" s="39">
        <f t="shared" si="100"/>
        <v>1.8218013224475479E-8</v>
      </c>
      <c r="I506" s="39">
        <f t="shared" si="100"/>
        <v>1.1792042327521592E-7</v>
      </c>
      <c r="J506" s="39">
        <f t="shared" si="100"/>
        <v>6.5363336839171547E-7</v>
      </c>
      <c r="K506" s="39">
        <f t="shared" si="100"/>
        <v>3.1510038239749938E-6</v>
      </c>
      <c r="L506" s="39">
        <f t="shared" si="101"/>
        <v>1.3372321959579983E-5</v>
      </c>
      <c r="M506" s="39">
        <f t="shared" si="101"/>
        <v>5.0449811659960438E-5</v>
      </c>
      <c r="N506" s="39">
        <f t="shared" si="101"/>
        <v>1.7057271657762343E-4</v>
      </c>
      <c r="O506" s="39">
        <f t="shared" si="101"/>
        <v>5.2035212879602351E-4</v>
      </c>
      <c r="P506" s="39">
        <f t="shared" si="101"/>
        <v>1.4405731198345972E-3</v>
      </c>
      <c r="Q506" s="39">
        <f t="shared" si="101"/>
        <v>3.6375405120523357E-3</v>
      </c>
      <c r="R506" s="39">
        <f t="shared" si="101"/>
        <v>8.4149001490679796E-3</v>
      </c>
      <c r="S506" s="39">
        <f t="shared" si="101"/>
        <v>1.7906298995402584E-2</v>
      </c>
      <c r="T506" s="39">
        <f t="shared" si="101"/>
        <v>3.5179784448137456E-2</v>
      </c>
      <c r="U506" s="39">
        <f t="shared" si="101"/>
        <v>6.4038746256789958E-2</v>
      </c>
      <c r="V506" s="39">
        <f t="shared" si="101"/>
        <v>0.10838049079884805</v>
      </c>
      <c r="W506" s="37">
        <v>0.497</v>
      </c>
    </row>
    <row r="507" spans="2:23" x14ac:dyDescent="0.25">
      <c r="B507" s="39">
        <f t="shared" si="100"/>
        <v>1.0889915283287212E-15</v>
      </c>
      <c r="C507" s="39">
        <f t="shared" si="100"/>
        <v>5.5557626249425478E-14</v>
      </c>
      <c r="D507" s="39">
        <f t="shared" si="100"/>
        <v>1.3895722484521104E-12</v>
      </c>
      <c r="E507" s="39">
        <f t="shared" si="100"/>
        <v>2.2711409316018887E-11</v>
      </c>
      <c r="F507" s="39">
        <f t="shared" si="100"/>
        <v>2.7280500257751016E-10</v>
      </c>
      <c r="G507" s="39">
        <f t="shared" si="100"/>
        <v>2.5680365508292882E-9</v>
      </c>
      <c r="H507" s="39">
        <f t="shared" si="100"/>
        <v>1.9728140343183321E-8</v>
      </c>
      <c r="I507" s="39">
        <f t="shared" si="100"/>
        <v>1.2717722495447685E-7</v>
      </c>
      <c r="J507" s="39">
        <f t="shared" si="100"/>
        <v>7.0209454468877525E-7</v>
      </c>
      <c r="K507" s="39">
        <f t="shared" si="100"/>
        <v>3.3709951912738284E-6</v>
      </c>
      <c r="L507" s="39">
        <f t="shared" si="101"/>
        <v>1.4248581221523404E-5</v>
      </c>
      <c r="M507" s="39">
        <f t="shared" si="101"/>
        <v>5.354130407296913E-5</v>
      </c>
      <c r="N507" s="39">
        <f t="shared" si="101"/>
        <v>1.8030760161959143E-4</v>
      </c>
      <c r="O507" s="39">
        <f t="shared" si="101"/>
        <v>5.47884660017642E-4</v>
      </c>
      <c r="P507" s="39">
        <f t="shared" si="101"/>
        <v>1.5108761745092033E-3</v>
      </c>
      <c r="Q507" s="39">
        <f t="shared" si="101"/>
        <v>3.8003205776139097E-3</v>
      </c>
      <c r="R507" s="39">
        <f t="shared" si="101"/>
        <v>8.7579103523991383E-3</v>
      </c>
      <c r="S507" s="39">
        <f t="shared" si="101"/>
        <v>1.8566103975747324E-2</v>
      </c>
      <c r="T507" s="39">
        <f t="shared" si="101"/>
        <v>3.6341321960162633E-2</v>
      </c>
      <c r="U507" s="39">
        <f t="shared" si="101"/>
        <v>6.5914078215057639E-2</v>
      </c>
      <c r="V507" s="39">
        <f t="shared" si="101"/>
        <v>0.11116214332696797</v>
      </c>
      <c r="W507" s="37">
        <v>0.496</v>
      </c>
    </row>
    <row r="508" spans="2:23" x14ac:dyDescent="0.25">
      <c r="B508" s="39">
        <f t="shared" si="100"/>
        <v>1.1876058814994912E-15</v>
      </c>
      <c r="C508" s="39">
        <f t="shared" si="100"/>
        <v>6.0381169471961446E-14</v>
      </c>
      <c r="D508" s="39">
        <f t="shared" si="100"/>
        <v>1.5050514671736456E-12</v>
      </c>
      <c r="E508" s="39">
        <f t="shared" si="100"/>
        <v>2.4514856041181968E-11</v>
      </c>
      <c r="F508" s="39">
        <f t="shared" si="100"/>
        <v>2.9346453515884952E-10</v>
      </c>
      <c r="G508" s="39">
        <f t="shared" si="100"/>
        <v>2.7531247757091862E-9</v>
      </c>
      <c r="H508" s="39">
        <f t="shared" si="100"/>
        <v>2.1078322800876761E-8</v>
      </c>
      <c r="I508" s="39">
        <f t="shared" si="100"/>
        <v>1.3542186266024607E-7</v>
      </c>
      <c r="J508" s="39">
        <f t="shared" si="100"/>
        <v>7.4509133464133172E-7</v>
      </c>
      <c r="K508" s="39">
        <f t="shared" si="100"/>
        <v>3.5654322253505934E-6</v>
      </c>
      <c r="L508" s="39">
        <f t="shared" si="101"/>
        <v>1.5020083190876868E-5</v>
      </c>
      <c r="M508" s="39">
        <f t="shared" si="101"/>
        <v>5.6252765762403584E-5</v>
      </c>
      <c r="N508" s="39">
        <f t="shared" si="101"/>
        <v>1.8881304163149444E-4</v>
      </c>
      <c r="O508" s="39">
        <f t="shared" si="101"/>
        <v>5.7184773630189532E-4</v>
      </c>
      <c r="P508" s="39">
        <f t="shared" si="101"/>
        <v>1.5718299901147086E-3</v>
      </c>
      <c r="Q508" s="39">
        <f t="shared" si="101"/>
        <v>3.9409117302325655E-3</v>
      </c>
      <c r="R508" s="39">
        <f t="shared" si="101"/>
        <v>9.05302698149053E-3</v>
      </c>
      <c r="S508" s="39">
        <f t="shared" si="101"/>
        <v>1.9131603053637029E-2</v>
      </c>
      <c r="T508" s="39">
        <f t="shared" si="101"/>
        <v>3.7333019005164489E-2</v>
      </c>
      <c r="U508" s="39">
        <f t="shared" si="101"/>
        <v>6.7509050714275404E-2</v>
      </c>
      <c r="V508" s="39">
        <f t="shared" si="101"/>
        <v>0.11351885789532806</v>
      </c>
      <c r="W508" s="37">
        <v>0.495</v>
      </c>
    </row>
    <row r="509" spans="2:23" x14ac:dyDescent="0.25">
      <c r="B509" s="39">
        <f t="shared" si="100"/>
        <v>1.3175398325573681E-15</v>
      </c>
      <c r="C509" s="39">
        <f t="shared" si="100"/>
        <v>6.6712168551017059E-14</v>
      </c>
      <c r="D509" s="39">
        <f t="shared" si="100"/>
        <v>1.6560364197368047E-12</v>
      </c>
      <c r="E509" s="39">
        <f t="shared" si="100"/>
        <v>2.6863715832272243E-11</v>
      </c>
      <c r="F509" s="39">
        <f t="shared" si="100"/>
        <v>3.2026846084401114E-10</v>
      </c>
      <c r="G509" s="39">
        <f t="shared" si="100"/>
        <v>2.9923357131521505E-9</v>
      </c>
      <c r="H509" s="39">
        <f t="shared" si="100"/>
        <v>2.2816600761167682E-8</v>
      </c>
      <c r="I509" s="39">
        <f t="shared" si="100"/>
        <v>1.4599546685432434E-7</v>
      </c>
      <c r="J509" s="39">
        <f t="shared" si="100"/>
        <v>8.0002168978024808E-7</v>
      </c>
      <c r="K509" s="39">
        <f t="shared" si="100"/>
        <v>3.8128782331754414E-6</v>
      </c>
      <c r="L509" s="39">
        <f t="shared" si="101"/>
        <v>1.5998139327244927E-5</v>
      </c>
      <c r="M509" s="39">
        <f t="shared" si="101"/>
        <v>5.9676938649849127E-5</v>
      </c>
      <c r="N509" s="39">
        <f t="shared" si="101"/>
        <v>1.995128168563246E-4</v>
      </c>
      <c r="O509" s="39">
        <f t="shared" si="101"/>
        <v>6.0187711063793676E-4</v>
      </c>
      <c r="P509" s="39">
        <f t="shared" si="101"/>
        <v>1.6479205260530284E-3</v>
      </c>
      <c r="Q509" s="39">
        <f t="shared" si="101"/>
        <v>4.1157409251128072E-3</v>
      </c>
      <c r="R509" s="39">
        <f t="shared" si="101"/>
        <v>9.4186016161205317E-3</v>
      </c>
      <c r="S509" s="39">
        <f t="shared" si="101"/>
        <v>1.9829418964416669E-2</v>
      </c>
      <c r="T509" s="39">
        <f t="shared" si="101"/>
        <v>3.8552050047747477E-2</v>
      </c>
      <c r="U509" s="39">
        <f t="shared" si="101"/>
        <v>6.9462112175474322E-2</v>
      </c>
      <c r="V509" s="39">
        <f t="shared" si="101"/>
        <v>0.11639358648468098</v>
      </c>
      <c r="W509" s="37">
        <v>0.49399999999999999</v>
      </c>
    </row>
    <row r="510" spans="2:23" x14ac:dyDescent="0.25">
      <c r="B510" s="39">
        <f t="shared" si="100"/>
        <v>1.4613751758873677E-15</v>
      </c>
      <c r="C510" s="39">
        <f t="shared" si="100"/>
        <v>7.3691139871363566E-14</v>
      </c>
      <c r="D510" s="39">
        <f t="shared" si="100"/>
        <v>1.8217770624839821E-12</v>
      </c>
      <c r="E510" s="39">
        <f t="shared" si="100"/>
        <v>2.9431323289450274E-11</v>
      </c>
      <c r="F510" s="39">
        <f t="shared" si="100"/>
        <v>3.4944582911410647E-10</v>
      </c>
      <c r="G510" s="39">
        <f t="shared" si="100"/>
        <v>3.2516371452453903E-9</v>
      </c>
      <c r="H510" s="39">
        <f t="shared" si="100"/>
        <v>2.469297416994566E-8</v>
      </c>
      <c r="I510" s="39">
        <f t="shared" si="100"/>
        <v>1.5736124701027861E-7</v>
      </c>
      <c r="J510" s="39">
        <f t="shared" si="100"/>
        <v>8.5881998811010615E-7</v>
      </c>
      <c r="K510" s="39">
        <f t="shared" si="100"/>
        <v>4.0766382381102567E-6</v>
      </c>
      <c r="L510" s="39">
        <f t="shared" si="101"/>
        <v>1.7036309158818396E-5</v>
      </c>
      <c r="M510" s="39">
        <f t="shared" si="101"/>
        <v>6.3296337372820244E-5</v>
      </c>
      <c r="N510" s="39">
        <f t="shared" si="101"/>
        <v>2.1077523147967672E-4</v>
      </c>
      <c r="O510" s="39">
        <f t="shared" si="101"/>
        <v>6.3335308942187455E-4</v>
      </c>
      <c r="P510" s="39">
        <f t="shared" si="101"/>
        <v>1.7273423205476073E-3</v>
      </c>
      <c r="Q510" s="39">
        <f t="shared" si="101"/>
        <v>4.2974594034221976E-3</v>
      </c>
      <c r="R510" s="39">
        <f t="shared" si="101"/>
        <v>9.7969895320809998E-3</v>
      </c>
      <c r="S510" s="39">
        <f t="shared" si="101"/>
        <v>2.0548666081189118E-2</v>
      </c>
      <c r="T510" s="39">
        <f t="shared" si="101"/>
        <v>3.9803253900945391E-2</v>
      </c>
      <c r="U510" s="39">
        <f t="shared" si="101"/>
        <v>7.1458317693722642E-2</v>
      </c>
      <c r="V510" s="39">
        <f t="shared" si="101"/>
        <v>0.11931950488210309</v>
      </c>
      <c r="W510" s="37">
        <v>0.49299999999999999</v>
      </c>
    </row>
    <row r="511" spans="2:23" x14ac:dyDescent="0.25">
      <c r="B511" s="39">
        <f t="shared" si="100"/>
        <v>1.6205656972069968E-15</v>
      </c>
      <c r="C511" s="39">
        <f t="shared" si="100"/>
        <v>8.1382783606613109E-14</v>
      </c>
      <c r="D511" s="39">
        <f t="shared" si="100"/>
        <v>2.0036771522646442E-12</v>
      </c>
      <c r="E511" s="39">
        <f t="shared" si="100"/>
        <v>3.2237458950505813E-11</v>
      </c>
      <c r="F511" s="39">
        <f t="shared" si="100"/>
        <v>3.8120011004945879E-10</v>
      </c>
      <c r="G511" s="39">
        <f t="shared" si="100"/>
        <v>3.5326571282194879E-9</v>
      </c>
      <c r="H511" s="39">
        <f t="shared" si="100"/>
        <v>2.6717986490666298E-8</v>
      </c>
      <c r="I511" s="39">
        <f t="shared" si="100"/>
        <v>1.6957597370578969E-7</v>
      </c>
      <c r="J511" s="39">
        <f t="shared" si="100"/>
        <v>9.2174529641569231E-7</v>
      </c>
      <c r="K511" s="39">
        <f t="shared" si="100"/>
        <v>4.357728382081945E-6</v>
      </c>
      <c r="L511" s="39">
        <f t="shared" si="101"/>
        <v>1.8138054315062503E-5</v>
      </c>
      <c r="M511" s="39">
        <f t="shared" si="101"/>
        <v>6.7121282702190809E-5</v>
      </c>
      <c r="N511" s="39">
        <f t="shared" si="101"/>
        <v>2.2262736023144001E-4</v>
      </c>
      <c r="O511" s="39">
        <f t="shared" si="101"/>
        <v>6.6633836568076165E-4</v>
      </c>
      <c r="P511" s="39">
        <f t="shared" si="101"/>
        <v>1.8102236287044578E-3</v>
      </c>
      <c r="Q511" s="39">
        <f t="shared" si="101"/>
        <v>4.4862985370581849E-3</v>
      </c>
      <c r="R511" s="39">
        <f t="shared" si="101"/>
        <v>1.0188556599547562E-2</v>
      </c>
      <c r="S511" s="39">
        <f t="shared" si="101"/>
        <v>2.128984491319233E-2</v>
      </c>
      <c r="T511" s="39">
        <f t="shared" si="101"/>
        <v>4.108720627243552E-2</v>
      </c>
      <c r="U511" s="39">
        <f t="shared" si="101"/>
        <v>7.3498185575177691E-2</v>
      </c>
      <c r="V511" s="39">
        <f t="shared" si="101"/>
        <v>0.12229688942499155</v>
      </c>
      <c r="W511" s="37">
        <v>0.49199999999999999</v>
      </c>
    </row>
    <row r="512" spans="2:23" x14ac:dyDescent="0.25">
      <c r="B512" s="39">
        <f t="shared" si="100"/>
        <v>1.7661053176784465E-15</v>
      </c>
      <c r="C512" s="39">
        <f t="shared" si="100"/>
        <v>8.838790859376148E-14</v>
      </c>
      <c r="D512" s="39">
        <f t="shared" si="100"/>
        <v>2.1687068607652538E-12</v>
      </c>
      <c r="E512" s="39">
        <f t="shared" si="100"/>
        <v>3.4773581106645332E-11</v>
      </c>
      <c r="F512" s="39">
        <f t="shared" si="100"/>
        <v>4.0978890626036799E-10</v>
      </c>
      <c r="G512" s="39">
        <f t="shared" si="100"/>
        <v>3.7846931782357013E-9</v>
      </c>
      <c r="H512" s="39">
        <f t="shared" si="100"/>
        <v>2.8527179082207068E-8</v>
      </c>
      <c r="I512" s="39">
        <f t="shared" si="100"/>
        <v>1.8044704509415952E-7</v>
      </c>
      <c r="J512" s="39">
        <f t="shared" si="100"/>
        <v>9.7753386283814522E-7</v>
      </c>
      <c r="K512" s="39">
        <f t="shared" si="100"/>
        <v>4.6059825315130282E-6</v>
      </c>
      <c r="L512" s="39">
        <f t="shared" si="101"/>
        <v>1.9107364752231977E-5</v>
      </c>
      <c r="M512" s="39">
        <f t="shared" si="101"/>
        <v>7.0473542001317187E-5</v>
      </c>
      <c r="N512" s="39">
        <f t="shared" si="101"/>
        <v>2.3297494891146763E-4</v>
      </c>
      <c r="O512" s="39">
        <f t="shared" si="101"/>
        <v>6.9502589438733638E-4</v>
      </c>
      <c r="P512" s="39">
        <f t="shared" si="101"/>
        <v>1.8820294435346531E-3</v>
      </c>
      <c r="Q512" s="39">
        <f t="shared" si="101"/>
        <v>4.6492749718399949E-3</v>
      </c>
      <c r="R512" s="39">
        <f t="shared" si="101"/>
        <v>1.0525198801070142E-2</v>
      </c>
      <c r="S512" s="39">
        <f t="shared" si="101"/>
        <v>2.1924612558708114E-2</v>
      </c>
      <c r="T512" s="39">
        <f t="shared" si="101"/>
        <v>4.2182598999242996E-2</v>
      </c>
      <c r="U512" s="39">
        <f t="shared" si="101"/>
        <v>7.5231797684179924E-2</v>
      </c>
      <c r="V512" s="39">
        <f t="shared" si="101"/>
        <v>0.12481754531854841</v>
      </c>
      <c r="W512" s="37">
        <v>0.49099999999999999</v>
      </c>
    </row>
    <row r="513" spans="2:23" x14ac:dyDescent="0.25">
      <c r="B513" s="39">
        <f t="shared" ref="B513:K522" si="102">_xlfn.HYPGEOM.DIST(B$2,comau,tongtheN*$W513,tongtheN,TRUE)</f>
        <v>1.9577259965571581E-15</v>
      </c>
      <c r="C513" s="39">
        <f t="shared" si="102"/>
        <v>9.7575474427503534E-14</v>
      </c>
      <c r="D513" s="39">
        <f t="shared" si="102"/>
        <v>2.3843175711093131E-12</v>
      </c>
      <c r="E513" s="39">
        <f t="shared" si="102"/>
        <v>3.8074251601312402E-11</v>
      </c>
      <c r="F513" s="39">
        <f t="shared" si="102"/>
        <v>4.4685286971314351E-10</v>
      </c>
      <c r="G513" s="39">
        <f t="shared" si="102"/>
        <v>4.1101870556521029E-9</v>
      </c>
      <c r="H513" s="39">
        <f t="shared" si="102"/>
        <v>3.0854677050891851E-8</v>
      </c>
      <c r="I513" s="39">
        <f t="shared" si="102"/>
        <v>1.9437865769538969E-7</v>
      </c>
      <c r="J513" s="39">
        <f t="shared" si="102"/>
        <v>1.0487533686792025E-6</v>
      </c>
      <c r="K513" s="39">
        <f t="shared" si="102"/>
        <v>4.921682954263365E-6</v>
      </c>
      <c r="L513" s="39">
        <f t="shared" ref="L513:V522" si="103">_xlfn.HYPGEOM.DIST(L$2,comau,tongtheN*$W513,tongtheN,TRUE)</f>
        <v>2.0335274958408273E-5</v>
      </c>
      <c r="M513" s="39">
        <f t="shared" si="103"/>
        <v>7.4703797285710643E-5</v>
      </c>
      <c r="N513" s="39">
        <f t="shared" si="103"/>
        <v>2.4598244072016127E-4</v>
      </c>
      <c r="O513" s="39">
        <f t="shared" si="103"/>
        <v>7.3094894017250195E-4</v>
      </c>
      <c r="P513" s="39">
        <f t="shared" si="103"/>
        <v>1.9716000300126018E-3</v>
      </c>
      <c r="Q513" s="39">
        <f t="shared" si="103"/>
        <v>4.8517896857377943E-3</v>
      </c>
      <c r="R513" s="39">
        <f t="shared" si="103"/>
        <v>1.0941901652414959E-2</v>
      </c>
      <c r="S513" s="39">
        <f t="shared" si="103"/>
        <v>2.2707319197946083E-2</v>
      </c>
      <c r="T513" s="39">
        <f t="shared" si="103"/>
        <v>4.3528089346579868E-2</v>
      </c>
      <c r="U513" s="39">
        <f t="shared" si="103"/>
        <v>7.7353035397603326E-2</v>
      </c>
      <c r="V513" s="39">
        <f t="shared" si="103"/>
        <v>0.12788994577332133</v>
      </c>
      <c r="W513" s="37">
        <v>0.49</v>
      </c>
    </row>
    <row r="514" spans="2:23" x14ac:dyDescent="0.25">
      <c r="B514" s="39">
        <f t="shared" si="102"/>
        <v>2.1696777924266712E-15</v>
      </c>
      <c r="C514" s="39">
        <f t="shared" si="102"/>
        <v>1.0769525630568824E-13</v>
      </c>
      <c r="D514" s="39">
        <f t="shared" si="102"/>
        <v>2.6208098489421434E-12</v>
      </c>
      <c r="E514" s="39">
        <f t="shared" si="102"/>
        <v>4.1679413190034957E-11</v>
      </c>
      <c r="F514" s="39">
        <f t="shared" si="102"/>
        <v>4.8716635414204535E-10</v>
      </c>
      <c r="G514" s="39">
        <f t="shared" si="102"/>
        <v>4.4627341986503138E-9</v>
      </c>
      <c r="H514" s="39">
        <f t="shared" si="102"/>
        <v>3.3365057630598139E-8</v>
      </c>
      <c r="I514" s="39">
        <f t="shared" si="102"/>
        <v>2.0934196199495077E-7</v>
      </c>
      <c r="J514" s="39">
        <f t="shared" si="102"/>
        <v>1.124926343935049E-6</v>
      </c>
      <c r="K514" s="39">
        <f t="shared" si="102"/>
        <v>5.2579257226526135E-6</v>
      </c>
      <c r="L514" s="39">
        <f t="shared" si="103"/>
        <v>2.163760244142503E-5</v>
      </c>
      <c r="M514" s="39">
        <f t="shared" si="103"/>
        <v>7.9171620299652102E-5</v>
      </c>
      <c r="N514" s="39">
        <f t="shared" si="103"/>
        <v>2.5966283811813091E-4</v>
      </c>
      <c r="O514" s="39">
        <f t="shared" si="103"/>
        <v>7.6857199467599479E-4</v>
      </c>
      <c r="P514" s="39">
        <f t="shared" si="103"/>
        <v>2.0650161972621045E-3</v>
      </c>
      <c r="Q514" s="39">
        <f t="shared" si="103"/>
        <v>5.0621137258514259E-3</v>
      </c>
      <c r="R514" s="39">
        <f t="shared" si="103"/>
        <v>1.1372859198083811E-2</v>
      </c>
      <c r="S514" s="39">
        <f t="shared" si="103"/>
        <v>2.3513407645179844E-2</v>
      </c>
      <c r="T514" s="39">
        <f t="shared" si="103"/>
        <v>4.4907964851967491E-2</v>
      </c>
      <c r="U514" s="39">
        <f t="shared" si="103"/>
        <v>7.951936370956697E-2</v>
      </c>
      <c r="V514" s="39">
        <f t="shared" si="103"/>
        <v>0.13101450204075821</v>
      </c>
      <c r="W514" s="37">
        <v>0.48899999999999999</v>
      </c>
    </row>
    <row r="515" spans="2:23" x14ac:dyDescent="0.25">
      <c r="B515" s="39">
        <f t="shared" si="102"/>
        <v>2.4040693055536385E-15</v>
      </c>
      <c r="C515" s="39">
        <f t="shared" si="102"/>
        <v>1.1883953067683965E-13</v>
      </c>
      <c r="D515" s="39">
        <f t="shared" si="102"/>
        <v>2.8801522052325544E-12</v>
      </c>
      <c r="E515" s="39">
        <f t="shared" si="102"/>
        <v>4.5616337350852462E-11</v>
      </c>
      <c r="F515" s="39">
        <f t="shared" si="102"/>
        <v>5.3100513393379702E-10</v>
      </c>
      <c r="G515" s="39">
        <f t="shared" si="102"/>
        <v>4.8445035912454822E-9</v>
      </c>
      <c r="H515" s="39">
        <f t="shared" si="102"/>
        <v>3.607212610587896E-8</v>
      </c>
      <c r="I515" s="39">
        <f t="shared" si="102"/>
        <v>2.2541000294852201E-7</v>
      </c>
      <c r="J515" s="39">
        <f t="shared" si="102"/>
        <v>1.2063802785230588E-6</v>
      </c>
      <c r="K515" s="39">
        <f t="shared" si="102"/>
        <v>5.6159725306648008E-6</v>
      </c>
      <c r="L515" s="39">
        <f t="shared" si="103"/>
        <v>2.3018567667783157E-5</v>
      </c>
      <c r="M515" s="39">
        <f t="shared" si="103"/>
        <v>8.3889362005649276E-5</v>
      </c>
      <c r="N515" s="39">
        <f t="shared" si="103"/>
        <v>2.7404792705581398E-4</v>
      </c>
      <c r="O515" s="39">
        <f t="shared" si="103"/>
        <v>8.079672124849561E-4</v>
      </c>
      <c r="P515" s="39">
        <f t="shared" si="103"/>
        <v>2.1624225073335508E-3</v>
      </c>
      <c r="Q515" s="39">
        <f t="shared" si="103"/>
        <v>5.2805021082821943E-3</v>
      </c>
      <c r="R515" s="39">
        <f t="shared" si="103"/>
        <v>1.1818464808223674E-2</v>
      </c>
      <c r="S515" s="39">
        <f t="shared" si="103"/>
        <v>2.4343400545829969E-2</v>
      </c>
      <c r="T515" s="39">
        <f t="shared" si="103"/>
        <v>4.6322804041988748E-2</v>
      </c>
      <c r="U515" s="39">
        <f t="shared" si="103"/>
        <v>8.1731271001475897E-2</v>
      </c>
      <c r="V515" s="39">
        <f t="shared" si="103"/>
        <v>0.13419142320464678</v>
      </c>
      <c r="W515" s="37">
        <v>0.48799999999999999</v>
      </c>
    </row>
    <row r="516" spans="2:23" x14ac:dyDescent="0.25">
      <c r="B516" s="39">
        <f t="shared" si="102"/>
        <v>2.6182055228640495E-15</v>
      </c>
      <c r="C516" s="39">
        <f t="shared" si="102"/>
        <v>1.2898173548640315E-13</v>
      </c>
      <c r="D516" s="39">
        <f t="shared" si="102"/>
        <v>3.1152703550819502E-12</v>
      </c>
      <c r="E516" s="39">
        <f t="shared" si="102"/>
        <v>4.9171845354204879E-11</v>
      </c>
      <c r="F516" s="39">
        <f t="shared" si="102"/>
        <v>5.7044493930683519E-10</v>
      </c>
      <c r="G516" s="39">
        <f t="shared" si="102"/>
        <v>5.1866475621134535E-9</v>
      </c>
      <c r="H516" s="39">
        <f t="shared" si="102"/>
        <v>3.8488912621598549E-8</v>
      </c>
      <c r="I516" s="39">
        <f t="shared" si="102"/>
        <v>2.3970002915219997E-7</v>
      </c>
      <c r="J516" s="39">
        <f t="shared" si="102"/>
        <v>1.2785430150134566E-6</v>
      </c>
      <c r="K516" s="39">
        <f t="shared" si="102"/>
        <v>5.9319610813096226E-6</v>
      </c>
      <c r="L516" s="39">
        <f t="shared" si="103"/>
        <v>2.4232640331545011E-5</v>
      </c>
      <c r="M516" s="39">
        <f t="shared" si="103"/>
        <v>8.8021038191734473E-5</v>
      </c>
      <c r="N516" s="39">
        <f t="shared" si="103"/>
        <v>2.8659766421281375E-4</v>
      </c>
      <c r="O516" s="39">
        <f t="shared" si="103"/>
        <v>8.4220418290878083E-4</v>
      </c>
      <c r="P516" s="39">
        <f t="shared" si="103"/>
        <v>2.2467498543948749E-3</v>
      </c>
      <c r="Q516" s="39">
        <f t="shared" si="103"/>
        <v>5.468841074485746E-3</v>
      </c>
      <c r="R516" s="39">
        <f t="shared" si="103"/>
        <v>1.22012810767796E-2</v>
      </c>
      <c r="S516" s="39">
        <f t="shared" si="103"/>
        <v>2.5053702449147688E-2</v>
      </c>
      <c r="T516" s="39">
        <f t="shared" si="103"/>
        <v>4.7528962387493941E-2</v>
      </c>
      <c r="U516" s="39">
        <f t="shared" si="103"/>
        <v>8.3609690505231773E-2</v>
      </c>
      <c r="V516" s="39">
        <f t="shared" si="103"/>
        <v>0.13687899644578339</v>
      </c>
      <c r="W516" s="37">
        <v>0.48699999999999999</v>
      </c>
    </row>
    <row r="517" spans="2:23" x14ac:dyDescent="0.25">
      <c r="B517" s="39">
        <f t="shared" si="102"/>
        <v>2.8999367149706833E-15</v>
      </c>
      <c r="C517" s="39">
        <f t="shared" si="102"/>
        <v>1.4227403998595324E-13</v>
      </c>
      <c r="D517" s="39">
        <f t="shared" si="102"/>
        <v>3.4222272078725267E-12</v>
      </c>
      <c r="E517" s="39">
        <f t="shared" si="102"/>
        <v>5.3795828946772382E-11</v>
      </c>
      <c r="F517" s="39">
        <f t="shared" si="102"/>
        <v>6.2153930428752205E-10</v>
      </c>
      <c r="G517" s="39">
        <f t="shared" si="102"/>
        <v>5.6281884492012385E-9</v>
      </c>
      <c r="H517" s="39">
        <f t="shared" si="102"/>
        <v>4.1595791247707824E-8</v>
      </c>
      <c r="I517" s="39">
        <f t="shared" si="102"/>
        <v>2.5799969497375051E-7</v>
      </c>
      <c r="J517" s="39">
        <f t="shared" si="102"/>
        <v>1.3705980260869946E-6</v>
      </c>
      <c r="K517" s="39">
        <f t="shared" si="102"/>
        <v>6.3335024229829488E-6</v>
      </c>
      <c r="L517" s="39">
        <f t="shared" si="103"/>
        <v>2.5769478889677256E-5</v>
      </c>
      <c r="M517" s="39">
        <f t="shared" si="103"/>
        <v>9.3231001484558667E-5</v>
      </c>
      <c r="N517" s="39">
        <f t="shared" si="103"/>
        <v>3.0236172152868848E-4</v>
      </c>
      <c r="O517" s="39">
        <f t="shared" si="103"/>
        <v>8.8504461683646719E-4</v>
      </c>
      <c r="P517" s="39">
        <f t="shared" si="103"/>
        <v>2.3518618540947309E-3</v>
      </c>
      <c r="Q517" s="39">
        <f t="shared" si="103"/>
        <v>5.7026976247822386E-3</v>
      </c>
      <c r="R517" s="39">
        <f t="shared" si="103"/>
        <v>1.2674786989747548E-2</v>
      </c>
      <c r="S517" s="39">
        <f t="shared" si="103"/>
        <v>2.5928895441234719E-2</v>
      </c>
      <c r="T517" s="39">
        <f t="shared" si="103"/>
        <v>4.900940364198185E-2</v>
      </c>
      <c r="U517" s="39">
        <f t="shared" si="103"/>
        <v>8.5906397580478217E-2</v>
      </c>
      <c r="V517" s="39">
        <f t="shared" si="103"/>
        <v>0.14015240084068636</v>
      </c>
      <c r="W517" s="37">
        <v>0.48599999999999999</v>
      </c>
    </row>
    <row r="518" spans="2:23" x14ac:dyDescent="0.25">
      <c r="B518" s="39">
        <f t="shared" si="102"/>
        <v>3.2113139568653245E-15</v>
      </c>
      <c r="C518" s="39">
        <f t="shared" si="102"/>
        <v>1.5690348021437468E-13</v>
      </c>
      <c r="D518" s="39">
        <f t="shared" si="102"/>
        <v>3.7586459851186206E-12</v>
      </c>
      <c r="E518" s="39">
        <f t="shared" si="102"/>
        <v>5.8842379407145132E-11</v>
      </c>
      <c r="F518" s="39">
        <f t="shared" si="102"/>
        <v>6.7706918701678928E-10</v>
      </c>
      <c r="G518" s="39">
        <f t="shared" si="102"/>
        <v>6.106047772637339E-9</v>
      </c>
      <c r="H518" s="39">
        <f t="shared" si="102"/>
        <v>4.4944125346691855E-8</v>
      </c>
      <c r="I518" s="39">
        <f t="shared" si="102"/>
        <v>2.7763885865289625E-7</v>
      </c>
      <c r="J518" s="39">
        <f t="shared" si="102"/>
        <v>1.4689770636273193E-6</v>
      </c>
      <c r="K518" s="39">
        <f t="shared" si="102"/>
        <v>6.7608297596304422E-6</v>
      </c>
      <c r="L518" s="39">
        <f t="shared" si="103"/>
        <v>2.7398151919195462E-5</v>
      </c>
      <c r="M518" s="39">
        <f t="shared" si="103"/>
        <v>9.8729138223122275E-5</v>
      </c>
      <c r="N518" s="39">
        <f t="shared" si="103"/>
        <v>3.1892796595356338E-4</v>
      </c>
      <c r="O518" s="39">
        <f t="shared" si="103"/>
        <v>9.2987630333957432E-4</v>
      </c>
      <c r="P518" s="39">
        <f t="shared" si="103"/>
        <v>2.461398298383453E-3</v>
      </c>
      <c r="Q518" s="39">
        <f t="shared" si="103"/>
        <v>5.9453759410967501E-3</v>
      </c>
      <c r="R518" s="39">
        <f t="shared" si="103"/>
        <v>1.316409452363515E-2</v>
      </c>
      <c r="S518" s="39">
        <f t="shared" si="103"/>
        <v>2.6829502521505757E-2</v>
      </c>
      <c r="T518" s="39">
        <f t="shared" si="103"/>
        <v>5.0526445978487766E-2</v>
      </c>
      <c r="U518" s="39">
        <f t="shared" si="103"/>
        <v>8.8250017032216119E-2</v>
      </c>
      <c r="V518" s="39">
        <f t="shared" si="103"/>
        <v>0.14347865994816816</v>
      </c>
      <c r="W518" s="37">
        <v>0.48499999999999999</v>
      </c>
    </row>
    <row r="519" spans="2:23" x14ac:dyDescent="0.25">
      <c r="B519" s="39">
        <f t="shared" si="102"/>
        <v>3.5553866911884728E-15</v>
      </c>
      <c r="C519" s="39">
        <f t="shared" si="102"/>
        <v>1.7300127667281123E-13</v>
      </c>
      <c r="D519" s="39">
        <f t="shared" si="102"/>
        <v>4.1272790221749722E-12</v>
      </c>
      <c r="E519" s="39">
        <f t="shared" si="102"/>
        <v>6.4348984359412404E-11</v>
      </c>
      <c r="F519" s="39">
        <f t="shared" si="102"/>
        <v>7.3740724146667462E-10</v>
      </c>
      <c r="G519" s="39">
        <f t="shared" si="102"/>
        <v>6.6231064440612072E-9</v>
      </c>
      <c r="H519" s="39">
        <f t="shared" si="102"/>
        <v>4.8551935973291605E-8</v>
      </c>
      <c r="I519" s="39">
        <f t="shared" si="102"/>
        <v>2.9871121455024098E-7</v>
      </c>
      <c r="J519" s="39">
        <f t="shared" si="102"/>
        <v>1.5740928144073113E-6</v>
      </c>
      <c r="K519" s="39">
        <f t="shared" si="102"/>
        <v>7.215504676351762E-6</v>
      </c>
      <c r="L519" s="39">
        <f t="shared" si="103"/>
        <v>2.9123788288768586E-5</v>
      </c>
      <c r="M519" s="39">
        <f t="shared" si="103"/>
        <v>1.0453017936990104E-4</v>
      </c>
      <c r="N519" s="39">
        <f t="shared" si="103"/>
        <v>3.3633358484351538E-4</v>
      </c>
      <c r="O519" s="39">
        <f t="shared" si="103"/>
        <v>9.7678198422583118E-4</v>
      </c>
      <c r="P519" s="39">
        <f t="shared" si="103"/>
        <v>2.5755214971154854E-3</v>
      </c>
      <c r="Q519" s="39">
        <f t="shared" si="103"/>
        <v>6.1971559038654653E-3</v>
      </c>
      <c r="R519" s="39">
        <f t="shared" si="103"/>
        <v>1.3669624548700446E-2</v>
      </c>
      <c r="S519" s="39">
        <f t="shared" si="103"/>
        <v>2.775606612050709E-2</v>
      </c>
      <c r="T519" s="39">
        <f t="shared" si="103"/>
        <v>5.208066553196531E-2</v>
      </c>
      <c r="U519" s="39">
        <f t="shared" si="103"/>
        <v>9.0641000182509063E-2</v>
      </c>
      <c r="V519" s="39">
        <f t="shared" si="103"/>
        <v>0.14685790912040736</v>
      </c>
      <c r="W519" s="37">
        <v>0.48399999999999999</v>
      </c>
    </row>
    <row r="520" spans="2:23" x14ac:dyDescent="0.25">
      <c r="B520" s="39">
        <f t="shared" si="102"/>
        <v>3.8695009354033723E-15</v>
      </c>
      <c r="C520" s="39">
        <f t="shared" si="102"/>
        <v>1.8764109090747682E-13</v>
      </c>
      <c r="D520" s="39">
        <f t="shared" si="102"/>
        <v>4.461239387244785E-12</v>
      </c>
      <c r="E520" s="39">
        <f t="shared" si="102"/>
        <v>6.9318521135136049E-11</v>
      </c>
      <c r="F520" s="39">
        <f t="shared" si="102"/>
        <v>7.9165157544849964E-10</v>
      </c>
      <c r="G520" s="39">
        <f t="shared" si="102"/>
        <v>7.0861627158636866E-9</v>
      </c>
      <c r="H520" s="39">
        <f t="shared" si="102"/>
        <v>5.1770545700912218E-8</v>
      </c>
      <c r="I520" s="39">
        <f t="shared" si="102"/>
        <v>3.1743820954781377E-7</v>
      </c>
      <c r="J520" s="39">
        <f t="shared" si="102"/>
        <v>1.6671506588169843E-6</v>
      </c>
      <c r="K520" s="39">
        <f t="shared" si="102"/>
        <v>7.6164786193928169E-6</v>
      </c>
      <c r="L520" s="39">
        <f t="shared" si="103"/>
        <v>3.0639770752539431E-5</v>
      </c>
      <c r="M520" s="39">
        <f t="shared" si="103"/>
        <v>1.0960686589933473E-4</v>
      </c>
      <c r="N520" s="39">
        <f t="shared" si="103"/>
        <v>3.5150734286626206E-4</v>
      </c>
      <c r="O520" s="39">
        <f t="shared" si="103"/>
        <v>1.0175160896131277E-3</v>
      </c>
      <c r="P520" s="39">
        <f t="shared" si="103"/>
        <v>2.6742483969140877E-3</v>
      </c>
      <c r="Q520" s="39">
        <f t="shared" si="103"/>
        <v>6.4141317174359214E-3</v>
      </c>
      <c r="R520" s="39">
        <f t="shared" si="103"/>
        <v>1.4103600319106952E-2</v>
      </c>
      <c r="S520" s="39">
        <f t="shared" si="103"/>
        <v>2.8548424947152835E-2</v>
      </c>
      <c r="T520" s="39">
        <f t="shared" si="103"/>
        <v>5.3404662351259354E-2</v>
      </c>
      <c r="U520" s="39">
        <f t="shared" si="103"/>
        <v>9.2669984853307408E-2</v>
      </c>
      <c r="V520" s="39">
        <f t="shared" si="103"/>
        <v>0.14971451228149507</v>
      </c>
      <c r="W520" s="37">
        <v>0.48299999999999998</v>
      </c>
    </row>
    <row r="521" spans="2:23" x14ac:dyDescent="0.25">
      <c r="B521" s="39">
        <f t="shared" si="102"/>
        <v>4.2824733441855214E-15</v>
      </c>
      <c r="C521" s="39">
        <f t="shared" si="102"/>
        <v>2.0681415448391028E-13</v>
      </c>
      <c r="D521" s="39">
        <f t="shared" si="102"/>
        <v>4.8969253606999604E-12</v>
      </c>
      <c r="E521" s="39">
        <f t="shared" si="102"/>
        <v>7.5776809448924433E-11</v>
      </c>
      <c r="F521" s="39">
        <f t="shared" si="102"/>
        <v>8.6187450351412704E-10</v>
      </c>
      <c r="G521" s="39">
        <f t="shared" si="102"/>
        <v>7.6833100800864221E-9</v>
      </c>
      <c r="H521" s="39">
        <f t="shared" si="102"/>
        <v>5.5905202127592207E-8</v>
      </c>
      <c r="I521" s="39">
        <f t="shared" si="102"/>
        <v>3.4140239785839127E-7</v>
      </c>
      <c r="J521" s="39">
        <f t="shared" si="102"/>
        <v>1.7857743137429138E-6</v>
      </c>
      <c r="K521" s="39">
        <f t="shared" si="102"/>
        <v>8.1256433457746766E-6</v>
      </c>
      <c r="L521" s="39">
        <f t="shared" si="103"/>
        <v>3.2557381001495673E-5</v>
      </c>
      <c r="M521" s="39">
        <f t="shared" si="103"/>
        <v>1.1600378237242612E-4</v>
      </c>
      <c r="N521" s="39">
        <f t="shared" si="103"/>
        <v>3.7055351979726575E-4</v>
      </c>
      <c r="O521" s="39">
        <f t="shared" si="103"/>
        <v>1.0684488637534991E-3</v>
      </c>
      <c r="P521" s="39">
        <f t="shared" si="103"/>
        <v>2.7972184318756019E-3</v>
      </c>
      <c r="Q521" s="39">
        <f t="shared" si="103"/>
        <v>6.6833471364146279E-3</v>
      </c>
      <c r="R521" s="39">
        <f t="shared" si="103"/>
        <v>1.4639988319774314E-2</v>
      </c>
      <c r="S521" s="39">
        <f t="shared" si="103"/>
        <v>2.9523999798568602E-2</v>
      </c>
      <c r="T521" s="39">
        <f t="shared" si="103"/>
        <v>5.5028531090740712E-2</v>
      </c>
      <c r="U521" s="39">
        <f t="shared" si="103"/>
        <v>9.5148937248450638E-2</v>
      </c>
      <c r="V521" s="39">
        <f t="shared" si="103"/>
        <v>0.15319119398496647</v>
      </c>
      <c r="W521" s="37">
        <v>0.48199999999999998</v>
      </c>
    </row>
    <row r="522" spans="2:23" x14ac:dyDescent="0.25">
      <c r="B522" s="39">
        <f t="shared" si="102"/>
        <v>4.7385475433749316E-15</v>
      </c>
      <c r="C522" s="39">
        <f t="shared" si="102"/>
        <v>2.2789950218549719E-13</v>
      </c>
      <c r="D522" s="39">
        <f t="shared" si="102"/>
        <v>5.3740563059138984E-12</v>
      </c>
      <c r="E522" s="39">
        <f t="shared" si="102"/>
        <v>8.2819784503279467E-11</v>
      </c>
      <c r="F522" s="39">
        <f t="shared" si="102"/>
        <v>9.3813371905774179E-10</v>
      </c>
      <c r="G522" s="39">
        <f t="shared" si="102"/>
        <v>8.329067730523641E-9</v>
      </c>
      <c r="H522" s="39">
        <f t="shared" si="102"/>
        <v>6.035768308769678E-8</v>
      </c>
      <c r="I522" s="39">
        <f t="shared" si="102"/>
        <v>3.6710043382302685E-7</v>
      </c>
      <c r="J522" s="39">
        <f t="shared" si="102"/>
        <v>1.9124470163940935E-6</v>
      </c>
      <c r="K522" s="39">
        <f t="shared" si="102"/>
        <v>8.6670761092631486E-6</v>
      </c>
      <c r="L522" s="39">
        <f t="shared" si="103"/>
        <v>3.4587965253148047E-5</v>
      </c>
      <c r="M522" s="39">
        <f t="shared" si="103"/>
        <v>1.2274915210831641E-4</v>
      </c>
      <c r="N522" s="39">
        <f t="shared" si="103"/>
        <v>3.9055293340423255E-4</v>
      </c>
      <c r="O522" s="39">
        <f t="shared" si="103"/>
        <v>1.1217064042441558E-3</v>
      </c>
      <c r="P522" s="39">
        <f t="shared" si="103"/>
        <v>2.9252618789143781E-3</v>
      </c>
      <c r="Q522" s="39">
        <f t="shared" si="103"/>
        <v>6.9624936671920257E-3</v>
      </c>
      <c r="R522" s="39">
        <f t="shared" si="103"/>
        <v>1.5193829903877437E-2</v>
      </c>
      <c r="S522" s="39">
        <f t="shared" si="103"/>
        <v>3.0527092944300234E-2</v>
      </c>
      <c r="T522" s="39">
        <f t="shared" si="103"/>
        <v>5.6691199725832017E-2</v>
      </c>
      <c r="U522" s="39">
        <f t="shared" si="103"/>
        <v>9.7676471459116135E-2</v>
      </c>
      <c r="V522" s="39">
        <f t="shared" si="103"/>
        <v>0.15672113799412138</v>
      </c>
      <c r="W522" s="37">
        <v>0.48099999999999998</v>
      </c>
    </row>
    <row r="523" spans="2:23" x14ac:dyDescent="0.25">
      <c r="B523" s="39">
        <f t="shared" ref="B523:K532" si="104">_xlfn.HYPGEOM.DIST(B$2,comau,tongtheN*$W523,tongtheN,TRUE)</f>
        <v>5.2421209613858605E-15</v>
      </c>
      <c r="C523" s="39">
        <f t="shared" si="104"/>
        <v>2.5108319554926591E-13</v>
      </c>
      <c r="D523" s="39">
        <f t="shared" si="104"/>
        <v>5.8964692956406372E-12</v>
      </c>
      <c r="E523" s="39">
        <f t="shared" si="104"/>
        <v>9.0498826086708928E-11</v>
      </c>
      <c r="F523" s="39">
        <f t="shared" si="104"/>
        <v>1.0209313002775016E-9</v>
      </c>
      <c r="G523" s="39">
        <f t="shared" si="104"/>
        <v>9.0272507524203322E-9</v>
      </c>
      <c r="H523" s="39">
        <f t="shared" si="104"/>
        <v>6.5151441698678393E-8</v>
      </c>
      <c r="I523" s="39">
        <f t="shared" si="104"/>
        <v>3.9465213053182303E-7</v>
      </c>
      <c r="J523" s="39">
        <f t="shared" si="104"/>
        <v>2.0476871957000212E-6</v>
      </c>
      <c r="K523" s="39">
        <f t="shared" si="104"/>
        <v>9.2427035339116061E-6</v>
      </c>
      <c r="L523" s="39">
        <f t="shared" ref="L523:V532" si="105">_xlfn.HYPGEOM.DIST(L$2,comau,tongtheN*$W523,tongtheN,TRUE)</f>
        <v>3.6737736049882608E-5</v>
      </c>
      <c r="M523" s="39">
        <f t="shared" si="105"/>
        <v>1.2986048589045033E-4</v>
      </c>
      <c r="N523" s="39">
        <f t="shared" si="105"/>
        <v>4.1154893906105474E-4</v>
      </c>
      <c r="O523" s="39">
        <f t="shared" si="105"/>
        <v>1.1773832466289169E-3</v>
      </c>
      <c r="P523" s="39">
        <f t="shared" si="105"/>
        <v>3.0585602603062437E-3</v>
      </c>
      <c r="Q523" s="39">
        <f t="shared" si="105"/>
        <v>7.2518771485734906E-3</v>
      </c>
      <c r="R523" s="39">
        <f t="shared" si="105"/>
        <v>1.5765573095495033E-2</v>
      </c>
      <c r="S523" s="39">
        <f t="shared" si="105"/>
        <v>3.1558263722162402E-2</v>
      </c>
      <c r="T523" s="39">
        <f t="shared" si="105"/>
        <v>5.839323629239173E-2</v>
      </c>
      <c r="U523" s="39">
        <f t="shared" si="105"/>
        <v>0.10025299447335867</v>
      </c>
      <c r="V523" s="39">
        <f t="shared" si="105"/>
        <v>0.16030439992175297</v>
      </c>
      <c r="W523" s="37">
        <v>0.48</v>
      </c>
    </row>
    <row r="524" spans="2:23" x14ac:dyDescent="0.25">
      <c r="B524" s="39">
        <f t="shared" si="104"/>
        <v>5.7980294006584261E-15</v>
      </c>
      <c r="C524" s="39">
        <f t="shared" si="104"/>
        <v>2.7656894557353607E-13</v>
      </c>
      <c r="D524" s="39">
        <f t="shared" si="104"/>
        <v>6.4683468427873286E-12</v>
      </c>
      <c r="E524" s="39">
        <f t="shared" si="104"/>
        <v>9.8869691126942704E-11</v>
      </c>
      <c r="F524" s="39">
        <f t="shared" si="104"/>
        <v>1.1108096667013642E-9</v>
      </c>
      <c r="G524" s="39">
        <f t="shared" si="104"/>
        <v>9.7819622414511842E-9</v>
      </c>
      <c r="H524" s="39">
        <f t="shared" si="104"/>
        <v>7.0311587267048192E-8</v>
      </c>
      <c r="I524" s="39">
        <f t="shared" si="104"/>
        <v>4.2418517447705272E-7</v>
      </c>
      <c r="J524" s="39">
        <f t="shared" si="104"/>
        <v>2.1920447870839565E-6</v>
      </c>
      <c r="K524" s="39">
        <f t="shared" si="104"/>
        <v>9.854559710530757E-6</v>
      </c>
      <c r="L524" s="39">
        <f t="shared" si="105"/>
        <v>3.9013221003731971E-5</v>
      </c>
      <c r="M524" s="39">
        <f t="shared" si="105"/>
        <v>1.3735609214437881E-4</v>
      </c>
      <c r="N524" s="39">
        <f t="shared" si="105"/>
        <v>4.3358663715054903E-4</v>
      </c>
      <c r="O524" s="39">
        <f t="shared" si="105"/>
        <v>1.2355772112016387E-3</v>
      </c>
      <c r="P524" s="39">
        <f t="shared" si="105"/>
        <v>3.1973003522292524E-3</v>
      </c>
      <c r="Q524" s="39">
        <f t="shared" si="105"/>
        <v>7.551810351767275E-3</v>
      </c>
      <c r="R524" s="39">
        <f t="shared" si="105"/>
        <v>1.6355672898181631E-2</v>
      </c>
      <c r="S524" s="39">
        <f t="shared" si="105"/>
        <v>3.261807534002701E-2</v>
      </c>
      <c r="T524" s="39">
        <f t="shared" si="105"/>
        <v>6.0135205716754056E-2</v>
      </c>
      <c r="U524" s="39">
        <f t="shared" si="105"/>
        <v>0.10287890050981305</v>
      </c>
      <c r="V524" s="39">
        <f t="shared" si="105"/>
        <v>0.16394101366147881</v>
      </c>
      <c r="W524" s="37">
        <v>0.47899999999999998</v>
      </c>
    </row>
    <row r="525" spans="2:23" x14ac:dyDescent="0.25">
      <c r="B525" s="39">
        <f t="shared" si="104"/>
        <v>6.3050849064514901E-15</v>
      </c>
      <c r="C525" s="39">
        <f t="shared" si="104"/>
        <v>2.9972584364418586E-13</v>
      </c>
      <c r="D525" s="39">
        <f t="shared" si="104"/>
        <v>6.9859733459444816E-12</v>
      </c>
      <c r="E525" s="39">
        <f t="shared" si="104"/>
        <v>1.0641738117218358E-10</v>
      </c>
      <c r="F525" s="39">
        <f t="shared" si="104"/>
        <v>1.1915385433285333E-9</v>
      </c>
      <c r="G525" s="39">
        <f t="shared" si="104"/>
        <v>1.0457243171279921E-8</v>
      </c>
      <c r="H525" s="39">
        <f t="shared" si="104"/>
        <v>7.4910922075662578E-8</v>
      </c>
      <c r="I525" s="39">
        <f t="shared" si="104"/>
        <v>4.5040746313907119E-7</v>
      </c>
      <c r="J525" s="39">
        <f t="shared" si="104"/>
        <v>2.3197272001721488E-6</v>
      </c>
      <c r="K525" s="39">
        <f t="shared" si="104"/>
        <v>1.0393660089527273E-5</v>
      </c>
      <c r="L525" s="39">
        <f t="shared" si="105"/>
        <v>4.1010426956517215E-5</v>
      </c>
      <c r="M525" s="39">
        <f t="shared" si="105"/>
        <v>1.4390975361692457E-4</v>
      </c>
      <c r="N525" s="39">
        <f t="shared" si="105"/>
        <v>4.527809064804415E-4</v>
      </c>
      <c r="O525" s="39">
        <f t="shared" si="105"/>
        <v>1.2860678861775076E-3</v>
      </c>
      <c r="P525" s="39">
        <f t="shared" si="105"/>
        <v>3.3172124068201123E-3</v>
      </c>
      <c r="Q525" s="39">
        <f t="shared" si="105"/>
        <v>7.8100439853659174E-3</v>
      </c>
      <c r="R525" s="39">
        <f t="shared" si="105"/>
        <v>1.6861778195083121E-2</v>
      </c>
      <c r="S525" s="39">
        <f t="shared" si="105"/>
        <v>3.352353894805072E-2</v>
      </c>
      <c r="T525" s="39">
        <f t="shared" si="105"/>
        <v>6.1617756300971889E-2</v>
      </c>
      <c r="U525" s="39">
        <f t="shared" si="105"/>
        <v>0.10510515392986833</v>
      </c>
      <c r="V525" s="39">
        <f t="shared" si="105"/>
        <v>0.16701228916472149</v>
      </c>
      <c r="W525" s="37">
        <v>0.47799999999999998</v>
      </c>
    </row>
    <row r="526" spans="2:23" x14ac:dyDescent="0.25">
      <c r="B526" s="39">
        <f t="shared" si="104"/>
        <v>6.9711292177617084E-15</v>
      </c>
      <c r="C526" s="39">
        <f t="shared" si="104"/>
        <v>3.3002632509818575E-13</v>
      </c>
      <c r="D526" s="39">
        <f t="shared" si="104"/>
        <v>7.6606680904657551E-12</v>
      </c>
      <c r="E526" s="39">
        <f t="shared" si="104"/>
        <v>1.1621739547302541E-10</v>
      </c>
      <c r="F526" s="39">
        <f t="shared" si="104"/>
        <v>1.2959536997377428E-9</v>
      </c>
      <c r="G526" s="39">
        <f t="shared" si="104"/>
        <v>1.1327287244485547E-8</v>
      </c>
      <c r="H526" s="39">
        <f t="shared" si="104"/>
        <v>8.0813939668219093E-8</v>
      </c>
      <c r="I526" s="39">
        <f t="shared" si="104"/>
        <v>4.8393271751503958E-7</v>
      </c>
      <c r="J526" s="39">
        <f t="shared" si="104"/>
        <v>2.4823401603676715E-6</v>
      </c>
      <c r="K526" s="39">
        <f t="shared" si="104"/>
        <v>1.1077597637617919E-5</v>
      </c>
      <c r="L526" s="39">
        <f t="shared" si="105"/>
        <v>4.3534445536585903E-5</v>
      </c>
      <c r="M526" s="39">
        <f t="shared" si="105"/>
        <v>1.5216018648877687E-4</v>
      </c>
      <c r="N526" s="39">
        <f t="shared" si="105"/>
        <v>4.7685153881093622E-4</v>
      </c>
      <c r="O526" s="39">
        <f t="shared" si="105"/>
        <v>1.3491418934531568E-3</v>
      </c>
      <c r="P526" s="39">
        <f t="shared" si="105"/>
        <v>3.4664319040305373E-3</v>
      </c>
      <c r="Q526" s="39">
        <f t="shared" si="105"/>
        <v>8.1301539273292284E-3</v>
      </c>
      <c r="R526" s="39">
        <f t="shared" si="105"/>
        <v>1.7486736458557008E-2</v>
      </c>
      <c r="S526" s="39">
        <f t="shared" si="105"/>
        <v>3.463733341217607E-2</v>
      </c>
      <c r="T526" s="39">
        <f t="shared" si="105"/>
        <v>6.3434391164447795E-2</v>
      </c>
      <c r="U526" s="39">
        <f t="shared" si="105"/>
        <v>0.1078225750061034</v>
      </c>
      <c r="V526" s="39">
        <f t="shared" si="105"/>
        <v>0.17074672908515359</v>
      </c>
      <c r="W526" s="37">
        <v>0.47699999999999998</v>
      </c>
    </row>
    <row r="527" spans="2:23" x14ac:dyDescent="0.25">
      <c r="B527" s="39">
        <f t="shared" si="104"/>
        <v>7.7059805530145157E-15</v>
      </c>
      <c r="C527" s="39">
        <f t="shared" si="104"/>
        <v>3.6331675876497516E-13</v>
      </c>
      <c r="D527" s="39">
        <f t="shared" si="104"/>
        <v>8.3988285211266505E-12</v>
      </c>
      <c r="E527" s="39">
        <f t="shared" si="104"/>
        <v>1.2689425685002201E-10</v>
      </c>
      <c r="F527" s="39">
        <f t="shared" si="104"/>
        <v>1.4092338585470857E-9</v>
      </c>
      <c r="G527" s="39">
        <f t="shared" si="104"/>
        <v>1.2267237606948978E-8</v>
      </c>
      <c r="H527" s="39">
        <f t="shared" si="104"/>
        <v>8.7164485498595606E-8</v>
      </c>
      <c r="I527" s="39">
        <f t="shared" si="104"/>
        <v>5.1984825068593468E-7</v>
      </c>
      <c r="J527" s="39">
        <f t="shared" si="104"/>
        <v>2.6558158407648076E-6</v>
      </c>
      <c r="K527" s="39">
        <f t="shared" si="104"/>
        <v>1.1804160250621574E-5</v>
      </c>
      <c r="L527" s="39">
        <f t="shared" si="105"/>
        <v>4.6204513094583158E-5</v>
      </c>
      <c r="M527" s="39">
        <f t="shared" si="105"/>
        <v>1.6085138136182078E-4</v>
      </c>
      <c r="N527" s="39">
        <f t="shared" si="105"/>
        <v>5.0210164731716246E-4</v>
      </c>
      <c r="O527" s="39">
        <f t="shared" si="105"/>
        <v>1.4150287998309196E-3</v>
      </c>
      <c r="P527" s="39">
        <f t="shared" si="105"/>
        <v>3.6216517162084177E-3</v>
      </c>
      <c r="Q527" s="39">
        <f t="shared" si="105"/>
        <v>8.4617379362707072E-3</v>
      </c>
      <c r="R527" s="39">
        <f t="shared" si="105"/>
        <v>1.8131377882109747E-2</v>
      </c>
      <c r="S527" s="39">
        <f t="shared" si="105"/>
        <v>3.5781383325418664E-2</v>
      </c>
      <c r="T527" s="39">
        <f t="shared" si="105"/>
        <v>6.5292538852521453E-2</v>
      </c>
      <c r="U527" s="39">
        <f t="shared" si="105"/>
        <v>0.1105904223583008</v>
      </c>
      <c r="V527" s="39">
        <f t="shared" si="105"/>
        <v>0.17453449582473518</v>
      </c>
      <c r="W527" s="37">
        <v>0.47599999999999998</v>
      </c>
    </row>
    <row r="528" spans="2:23" x14ac:dyDescent="0.25">
      <c r="B528" s="39">
        <f t="shared" si="104"/>
        <v>8.5165875688781706E-15</v>
      </c>
      <c r="C528" s="39">
        <f t="shared" si="104"/>
        <v>3.9988495855644445E-13</v>
      </c>
      <c r="D528" s="39">
        <f t="shared" si="104"/>
        <v>9.2062644966693542E-12</v>
      </c>
      <c r="E528" s="39">
        <f t="shared" si="104"/>
        <v>1.3852410630466342E-10</v>
      </c>
      <c r="F528" s="39">
        <f t="shared" si="104"/>
        <v>1.532107135208027E-9</v>
      </c>
      <c r="G528" s="39">
        <f t="shared" si="104"/>
        <v>1.328250761996136E-8</v>
      </c>
      <c r="H528" s="39">
        <f t="shared" si="104"/>
        <v>9.399511436907116E-8</v>
      </c>
      <c r="I528" s="39">
        <f t="shared" si="104"/>
        <v>5.5831671899373936E-7</v>
      </c>
      <c r="J528" s="39">
        <f t="shared" si="104"/>
        <v>2.8408423959991695E-6</v>
      </c>
      <c r="K528" s="39">
        <f t="shared" si="104"/>
        <v>1.2575847532823219E-5</v>
      </c>
      <c r="L528" s="39">
        <f t="shared" si="105"/>
        <v>4.9028504196482442E-5</v>
      </c>
      <c r="M528" s="39">
        <f t="shared" si="105"/>
        <v>1.7000500988201045E-4</v>
      </c>
      <c r="N528" s="39">
        <f t="shared" si="105"/>
        <v>5.2858358202016113E-4</v>
      </c>
      <c r="O528" s="39">
        <f t="shared" si="105"/>
        <v>1.483839850219432E-3</v>
      </c>
      <c r="P528" s="39">
        <f t="shared" si="105"/>
        <v>3.7830796830337901E-3</v>
      </c>
      <c r="Q528" s="39">
        <f t="shared" si="105"/>
        <v>8.8051358847077103E-3</v>
      </c>
      <c r="R528" s="39">
        <f t="shared" si="105"/>
        <v>1.8796183628056153E-2</v>
      </c>
      <c r="S528" s="39">
        <f t="shared" si="105"/>
        <v>3.6956264396026166E-2</v>
      </c>
      <c r="T528" s="39">
        <f t="shared" si="105"/>
        <v>6.7192748345813166E-2</v>
      </c>
      <c r="U528" s="39">
        <f t="shared" si="105"/>
        <v>0.11340903665132607</v>
      </c>
      <c r="V528" s="39">
        <f t="shared" si="105"/>
        <v>0.17837553681892501</v>
      </c>
      <c r="W528" s="37">
        <v>0.47499999999999998</v>
      </c>
    </row>
    <row r="529" spans="2:23" x14ac:dyDescent="0.25">
      <c r="B529" s="39">
        <f t="shared" si="104"/>
        <v>9.2554480264217416E-15</v>
      </c>
      <c r="C529" s="39">
        <f t="shared" si="104"/>
        <v>4.3308856918270927E-13</v>
      </c>
      <c r="D529" s="39">
        <f t="shared" si="104"/>
        <v>9.936594675083099E-12</v>
      </c>
      <c r="E529" s="39">
        <f t="shared" si="104"/>
        <v>1.4900297548102168E-10</v>
      </c>
      <c r="F529" s="39">
        <f t="shared" si="104"/>
        <v>1.6423947371447884E-9</v>
      </c>
      <c r="G529" s="39">
        <f t="shared" si="104"/>
        <v>1.4190285288712417E-8</v>
      </c>
      <c r="H529" s="39">
        <f t="shared" si="104"/>
        <v>1.0007908432015097E-7</v>
      </c>
      <c r="I529" s="39">
        <f t="shared" si="104"/>
        <v>5.9244853951428594E-7</v>
      </c>
      <c r="J529" s="39">
        <f t="shared" si="104"/>
        <v>3.0043795977238574E-6</v>
      </c>
      <c r="K529" s="39">
        <f t="shared" si="104"/>
        <v>1.3255288194166464E-5</v>
      </c>
      <c r="L529" s="39">
        <f t="shared" si="105"/>
        <v>5.1505361336968432E-5</v>
      </c>
      <c r="M529" s="39">
        <f t="shared" si="105"/>
        <v>1.7800258102497723E-4</v>
      </c>
      <c r="N529" s="39">
        <f t="shared" si="105"/>
        <v>5.5163201923672889E-4</v>
      </c>
      <c r="O529" s="39">
        <f t="shared" si="105"/>
        <v>1.5434989444599622E-3</v>
      </c>
      <c r="P529" s="39">
        <f t="shared" si="105"/>
        <v>3.9224992371891592E-3</v>
      </c>
      <c r="Q529" s="39">
        <f t="shared" si="105"/>
        <v>9.1005755500122819E-3</v>
      </c>
      <c r="R529" s="39">
        <f t="shared" si="105"/>
        <v>1.9365943440437405E-2</v>
      </c>
      <c r="S529" s="39">
        <f t="shared" si="105"/>
        <v>3.7959300686449461E-2</v>
      </c>
      <c r="T529" s="39">
        <f t="shared" si="105"/>
        <v>6.8808779250457849E-2</v>
      </c>
      <c r="U529" s="39">
        <f t="shared" si="105"/>
        <v>0.11579689749748028</v>
      </c>
      <c r="V529" s="39">
        <f t="shared" si="105"/>
        <v>0.18161704588071409</v>
      </c>
      <c r="W529" s="37">
        <v>0.47399999999999998</v>
      </c>
    </row>
    <row r="530" spans="2:23" x14ac:dyDescent="0.25">
      <c r="B530" s="39">
        <f t="shared" si="104"/>
        <v>1.022530875488877E-14</v>
      </c>
      <c r="C530" s="39">
        <f t="shared" si="104"/>
        <v>4.7650486154556294E-13</v>
      </c>
      <c r="D530" s="39">
        <f t="shared" si="104"/>
        <v>1.088787230073871E-11</v>
      </c>
      <c r="E530" s="39">
        <f t="shared" si="104"/>
        <v>1.6259935289913279E-10</v>
      </c>
      <c r="F530" s="39">
        <f t="shared" si="104"/>
        <v>1.7849411809792418E-9</v>
      </c>
      <c r="G530" s="39">
        <f t="shared" si="104"/>
        <v>1.5359058453118856E-8</v>
      </c>
      <c r="H530" s="39">
        <f t="shared" si="104"/>
        <v>1.0788203715425082E-7</v>
      </c>
      <c r="I530" s="39">
        <f t="shared" si="104"/>
        <v>6.3605518721155665E-7</v>
      </c>
      <c r="J530" s="39">
        <f t="shared" si="104"/>
        <v>3.2125079653010907E-6</v>
      </c>
      <c r="K530" s="39">
        <f t="shared" si="104"/>
        <v>1.4116654457555776E-5</v>
      </c>
      <c r="L530" s="39">
        <f t="shared" si="105"/>
        <v>5.4633305785031394E-5</v>
      </c>
      <c r="M530" s="39">
        <f t="shared" si="105"/>
        <v>1.8806350979900263E-4</v>
      </c>
      <c r="N530" s="39">
        <f t="shared" si="105"/>
        <v>5.8051509735510052E-4</v>
      </c>
      <c r="O530" s="39">
        <f t="shared" si="105"/>
        <v>1.6179722815715225E-3</v>
      </c>
      <c r="P530" s="39">
        <f t="shared" si="105"/>
        <v>4.0958677229160738E-3</v>
      </c>
      <c r="Q530" s="39">
        <f t="shared" si="105"/>
        <v>9.466539001178987E-3</v>
      </c>
      <c r="R530" s="39">
        <f t="shared" si="105"/>
        <v>2.0068988739818432E-2</v>
      </c>
      <c r="S530" s="39">
        <f t="shared" si="105"/>
        <v>3.9192209233471137E-2</v>
      </c>
      <c r="T530" s="39">
        <f t="shared" si="105"/>
        <v>7.0787510158862532E-2</v>
      </c>
      <c r="U530" s="39">
        <f t="shared" si="105"/>
        <v>0.11870941863541169</v>
      </c>
      <c r="V530" s="39">
        <f t="shared" si="105"/>
        <v>0.18555554219968415</v>
      </c>
      <c r="W530" s="37">
        <v>0.47299999999999998</v>
      </c>
    </row>
    <row r="531" spans="2:23" x14ac:dyDescent="0.25">
      <c r="B531" s="39">
        <f t="shared" si="104"/>
        <v>1.1294560238832799E-14</v>
      </c>
      <c r="C531" s="39">
        <f t="shared" si="104"/>
        <v>5.2416941582522652E-13</v>
      </c>
      <c r="D531" s="39">
        <f t="shared" si="104"/>
        <v>1.1927845965329741E-11</v>
      </c>
      <c r="E531" s="39">
        <f t="shared" si="104"/>
        <v>1.7740101439537717E-10</v>
      </c>
      <c r="F531" s="39">
        <f t="shared" si="104"/>
        <v>1.9394722398247078E-9</v>
      </c>
      <c r="G531" s="39">
        <f t="shared" si="104"/>
        <v>1.6620774715332358E-8</v>
      </c>
      <c r="H531" s="39">
        <f t="shared" si="104"/>
        <v>1.1627011526784143E-7</v>
      </c>
      <c r="I531" s="39">
        <f t="shared" si="104"/>
        <v>6.8273489612271919E-7</v>
      </c>
      <c r="J531" s="39">
        <f t="shared" si="104"/>
        <v>3.4343677604527353E-6</v>
      </c>
      <c r="K531" s="39">
        <f t="shared" si="104"/>
        <v>1.50309929788879E-5</v>
      </c>
      <c r="L531" s="39">
        <f t="shared" si="105"/>
        <v>5.7939664405461606E-5</v>
      </c>
      <c r="M531" s="39">
        <f t="shared" si="105"/>
        <v>1.9865362545948214E-4</v>
      </c>
      <c r="N531" s="39">
        <f t="shared" si="105"/>
        <v>6.1078965061245739E-4</v>
      </c>
      <c r="O531" s="39">
        <f t="shared" si="105"/>
        <v>1.6957055016355031E-3</v>
      </c>
      <c r="P531" s="39">
        <f t="shared" si="105"/>
        <v>4.2760647038253084E-3</v>
      </c>
      <c r="Q531" s="39">
        <f t="shared" si="105"/>
        <v>9.8453185432077431E-3</v>
      </c>
      <c r="R531" s="39">
        <f t="shared" si="105"/>
        <v>2.0793597348097995E-2</v>
      </c>
      <c r="S531" s="39">
        <f t="shared" si="105"/>
        <v>4.0457593288598846E-2</v>
      </c>
      <c r="T531" s="39">
        <f t="shared" si="105"/>
        <v>7.2809828309565047E-2</v>
      </c>
      <c r="U531" s="39">
        <f t="shared" si="105"/>
        <v>0.1216735879625222</v>
      </c>
      <c r="V531" s="39">
        <f t="shared" si="105"/>
        <v>0.18954703619579724</v>
      </c>
      <c r="W531" s="37">
        <v>0.47199999999999998</v>
      </c>
    </row>
    <row r="532" spans="2:23" x14ac:dyDescent="0.25">
      <c r="B532" s="39">
        <f t="shared" si="104"/>
        <v>1.2473159471934454E-14</v>
      </c>
      <c r="C532" s="39">
        <f t="shared" si="104"/>
        <v>5.7648773472735128E-13</v>
      </c>
      <c r="D532" s="39">
        <f t="shared" si="104"/>
        <v>1.3064563282816835E-11</v>
      </c>
      <c r="E532" s="39">
        <f t="shared" si="104"/>
        <v>1.9351164093273323E-10</v>
      </c>
      <c r="F532" s="39">
        <f t="shared" si="104"/>
        <v>2.10696248088941E-9</v>
      </c>
      <c r="G532" s="39">
        <f t="shared" si="104"/>
        <v>1.7982555273501625E-8</v>
      </c>
      <c r="H532" s="39">
        <f t="shared" si="104"/>
        <v>1.2528540176847795E-7</v>
      </c>
      <c r="I532" s="39">
        <f t="shared" si="104"/>
        <v>7.3269424615868249E-7</v>
      </c>
      <c r="J532" s="39">
        <f t="shared" si="104"/>
        <v>3.6708174549296412E-6</v>
      </c>
      <c r="K532" s="39">
        <f t="shared" si="104"/>
        <v>1.6001365770103948E-5</v>
      </c>
      <c r="L532" s="39">
        <f t="shared" si="105"/>
        <v>6.1433905999153975E-5</v>
      </c>
      <c r="M532" s="39">
        <f t="shared" si="105"/>
        <v>2.0979849496609711E-4</v>
      </c>
      <c r="N532" s="39">
        <f t="shared" si="105"/>
        <v>6.4251623166175921E-4</v>
      </c>
      <c r="O532" s="39">
        <f t="shared" si="105"/>
        <v>1.7768246473211854E-3</v>
      </c>
      <c r="P532" s="39">
        <f t="shared" si="105"/>
        <v>4.4633205269248612E-3</v>
      </c>
      <c r="Q532" s="39">
        <f t="shared" si="105"/>
        <v>1.0237281820401361E-2</v>
      </c>
      <c r="R532" s="39">
        <f t="shared" si="105"/>
        <v>2.1540275304905949E-2</v>
      </c>
      <c r="S532" s="39">
        <f t="shared" si="105"/>
        <v>4.175603693645643E-2</v>
      </c>
      <c r="T532" s="39">
        <f t="shared" si="105"/>
        <v>7.4876260060114594E-2</v>
      </c>
      <c r="U532" s="39">
        <f t="shared" si="105"/>
        <v>0.12468968537216031</v>
      </c>
      <c r="V532" s="39">
        <f t="shared" si="105"/>
        <v>0.19359138434061784</v>
      </c>
      <c r="W532" s="37">
        <v>0.47099999999999997</v>
      </c>
    </row>
    <row r="533" spans="2:23" x14ac:dyDescent="0.25">
      <c r="B533" s="39">
        <f t="shared" ref="B533:K542" si="106">_xlfn.HYPGEOM.DIST(B$2,comau,tongtheN*$W533,tongtheN,TRUE)</f>
        <v>1.3546710295140032E-14</v>
      </c>
      <c r="C533" s="39">
        <f t="shared" si="106"/>
        <v>6.2395985383362915E-13</v>
      </c>
      <c r="D533" s="39">
        <f t="shared" si="106"/>
        <v>1.4092024510037362E-11</v>
      </c>
      <c r="E533" s="39">
        <f t="shared" si="106"/>
        <v>2.0801782783101239E-10</v>
      </c>
      <c r="F533" s="39">
        <f t="shared" si="106"/>
        <v>2.2571929290247815E-9</v>
      </c>
      <c r="G533" s="39">
        <f t="shared" si="106"/>
        <v>1.9199309729127279E-8</v>
      </c>
      <c r="H533" s="39">
        <f t="shared" si="106"/>
        <v>1.3330961484572666E-7</v>
      </c>
      <c r="I533" s="39">
        <f t="shared" si="106"/>
        <v>7.7699045378175352E-7</v>
      </c>
      <c r="J533" s="39">
        <f t="shared" si="106"/>
        <v>3.8796581418261282E-6</v>
      </c>
      <c r="K533" s="39">
        <f t="shared" si="106"/>
        <v>1.6855136570902753E-5</v>
      </c>
      <c r="L533" s="39">
        <f t="shared" ref="L533:V542" si="107">_xlfn.HYPGEOM.DIST(L$2,comau,tongtheN*$W533,tongtheN,TRUE)</f>
        <v>6.4496445429899766E-5</v>
      </c>
      <c r="M533" s="39">
        <f t="shared" si="107"/>
        <v>2.195288696045266E-4</v>
      </c>
      <c r="N533" s="39">
        <f t="shared" si="107"/>
        <v>6.7010951639776581E-4</v>
      </c>
      <c r="O533" s="39">
        <f t="shared" si="107"/>
        <v>1.847104168160332E-3</v>
      </c>
      <c r="P533" s="39">
        <f t="shared" si="107"/>
        <v>4.6249296189391541E-3</v>
      </c>
      <c r="Q533" s="39">
        <f t="shared" si="107"/>
        <v>1.0574259094315823E-2</v>
      </c>
      <c r="R533" s="39">
        <f t="shared" si="107"/>
        <v>2.2179734852203585E-2</v>
      </c>
      <c r="S533" s="39">
        <f t="shared" si="107"/>
        <v>4.2863749555043906E-2</v>
      </c>
      <c r="T533" s="39">
        <f t="shared" si="107"/>
        <v>7.663235929043441E-2</v>
      </c>
      <c r="U533" s="39">
        <f t="shared" si="107"/>
        <v>0.12724295733996577</v>
      </c>
      <c r="V533" s="39">
        <f t="shared" si="107"/>
        <v>0.19700192876724829</v>
      </c>
      <c r="W533" s="37">
        <v>0.47</v>
      </c>
    </row>
    <row r="534" spans="2:23" x14ac:dyDescent="0.25">
      <c r="B534" s="39">
        <f t="shared" si="106"/>
        <v>1.4954939860142783E-14</v>
      </c>
      <c r="C534" s="39">
        <f t="shared" si="106"/>
        <v>6.8599083697113237E-13</v>
      </c>
      <c r="D534" s="39">
        <f t="shared" si="106"/>
        <v>1.5429404495401368E-11</v>
      </c>
      <c r="E534" s="39">
        <f t="shared" si="106"/>
        <v>2.2682667213399625E-10</v>
      </c>
      <c r="F534" s="39">
        <f t="shared" si="106"/>
        <v>2.4512307569878641E-9</v>
      </c>
      <c r="G534" s="39">
        <f t="shared" si="106"/>
        <v>2.0764802690074418E-8</v>
      </c>
      <c r="H534" s="39">
        <f t="shared" si="106"/>
        <v>1.4359381431288113E-7</v>
      </c>
      <c r="I534" s="39">
        <f t="shared" si="106"/>
        <v>8.3354331498764723E-7</v>
      </c>
      <c r="J534" s="39">
        <f t="shared" si="106"/>
        <v>4.1452552110717871E-6</v>
      </c>
      <c r="K534" s="39">
        <f t="shared" si="106"/>
        <v>1.7936744155802032E-5</v>
      </c>
      <c r="L534" s="39">
        <f t="shared" si="107"/>
        <v>6.8361276426614161E-5</v>
      </c>
      <c r="M534" s="39">
        <f t="shared" si="107"/>
        <v>2.3176090990871182E-4</v>
      </c>
      <c r="N534" s="39">
        <f t="shared" si="107"/>
        <v>7.0466312404528491E-4</v>
      </c>
      <c r="O534" s="39">
        <f t="shared" si="107"/>
        <v>1.9347718596267253E-3</v>
      </c>
      <c r="P534" s="39">
        <f t="shared" si="107"/>
        <v>4.8257452351266788E-3</v>
      </c>
      <c r="Q534" s="39">
        <f t="shared" si="107"/>
        <v>1.0991371730872342E-2</v>
      </c>
      <c r="R534" s="39">
        <f t="shared" si="107"/>
        <v>2.2968208134897295E-2</v>
      </c>
      <c r="S534" s="39">
        <f t="shared" si="107"/>
        <v>4.4224323998580034E-2</v>
      </c>
      <c r="T534" s="39">
        <f t="shared" si="107"/>
        <v>7.8781009335235561E-2</v>
      </c>
      <c r="U534" s="39">
        <f t="shared" si="107"/>
        <v>0.13035492637753796</v>
      </c>
      <c r="V534" s="39">
        <f t="shared" si="107"/>
        <v>0.2011427223786581</v>
      </c>
      <c r="W534" s="37">
        <v>0.46899999999999997</v>
      </c>
    </row>
    <row r="535" spans="2:23" x14ac:dyDescent="0.25">
      <c r="B535" s="39">
        <f t="shared" si="106"/>
        <v>1.6506337066819921E-14</v>
      </c>
      <c r="C535" s="39">
        <f t="shared" si="106"/>
        <v>7.5404098036061236E-13</v>
      </c>
      <c r="D535" s="39">
        <f t="shared" si="106"/>
        <v>1.6890390188323976E-11</v>
      </c>
      <c r="E535" s="39">
        <f t="shared" si="106"/>
        <v>2.4728753517090142E-10</v>
      </c>
      <c r="F535" s="39">
        <f t="shared" si="106"/>
        <v>2.661424054817043E-9</v>
      </c>
      <c r="G535" s="39">
        <f t="shared" si="106"/>
        <v>2.2453509017141726E-8</v>
      </c>
      <c r="H535" s="39">
        <f t="shared" si="106"/>
        <v>1.5464080487864696E-7</v>
      </c>
      <c r="I535" s="39">
        <f t="shared" si="106"/>
        <v>8.9403539006315603E-7</v>
      </c>
      <c r="J535" s="39">
        <f t="shared" si="106"/>
        <v>4.4281581862735924E-6</v>
      </c>
      <c r="K535" s="39">
        <f t="shared" si="106"/>
        <v>1.9083984005411773E-5</v>
      </c>
      <c r="L535" s="39">
        <f t="shared" si="107"/>
        <v>7.2443391071008324E-5</v>
      </c>
      <c r="M535" s="39">
        <f t="shared" si="107"/>
        <v>2.4462632224100651E-4</v>
      </c>
      <c r="N535" s="39">
        <f t="shared" si="107"/>
        <v>7.4085309597771544E-4</v>
      </c>
      <c r="O535" s="39">
        <f t="shared" si="107"/>
        <v>2.0262051580329826E-3</v>
      </c>
      <c r="P535" s="39">
        <f t="shared" si="107"/>
        <v>5.03430579852371E-3</v>
      </c>
      <c r="Q535" s="39">
        <f t="shared" si="107"/>
        <v>1.1422749612589598E-2</v>
      </c>
      <c r="R535" s="39">
        <f t="shared" si="107"/>
        <v>2.3780217895361742E-2</v>
      </c>
      <c r="S535" s="39">
        <f t="shared" si="107"/>
        <v>4.5619619652851634E-2</v>
      </c>
      <c r="T535" s="39">
        <f t="shared" si="107"/>
        <v>8.0975224474971991E-2</v>
      </c>
      <c r="U535" s="39">
        <f t="shared" si="107"/>
        <v>0.13351952255053207</v>
      </c>
      <c r="V535" s="39">
        <f t="shared" si="107"/>
        <v>0.20533583038123701</v>
      </c>
      <c r="W535" s="37">
        <v>0.46800000000000003</v>
      </c>
    </row>
    <row r="536" spans="2:23" x14ac:dyDescent="0.25">
      <c r="B536" s="39">
        <f t="shared" si="106"/>
        <v>1.8215130738493979E-14</v>
      </c>
      <c r="C536" s="39">
        <f t="shared" si="106"/>
        <v>8.2868002520421877E-13</v>
      </c>
      <c r="D536" s="39">
        <f t="shared" si="106"/>
        <v>1.8486097833390559E-11</v>
      </c>
      <c r="E536" s="39">
        <f t="shared" si="106"/>
        <v>2.6954120152784271E-10</v>
      </c>
      <c r="F536" s="39">
        <f t="shared" si="106"/>
        <v>2.8890735421573787E-9</v>
      </c>
      <c r="G536" s="39">
        <f t="shared" si="106"/>
        <v>2.4274769471251789E-8</v>
      </c>
      <c r="H536" s="39">
        <f t="shared" si="106"/>
        <v>1.6650482707825288E-7</v>
      </c>
      <c r="I536" s="39">
        <f t="shared" si="106"/>
        <v>9.5872825968981023E-7</v>
      </c>
      <c r="J536" s="39">
        <f t="shared" si="106"/>
        <v>4.7294347428870121E-6</v>
      </c>
      <c r="K536" s="39">
        <f t="shared" si="106"/>
        <v>2.0300595354348322E-5</v>
      </c>
      <c r="L536" s="39">
        <f t="shared" si="107"/>
        <v>7.6754138485159854E-5</v>
      </c>
      <c r="M536" s="39">
        <f t="shared" si="107"/>
        <v>2.581551681893691E-4</v>
      </c>
      <c r="N536" s="39">
        <f t="shared" si="107"/>
        <v>7.7874922707689529E-4</v>
      </c>
      <c r="O536" s="39">
        <f t="shared" si="107"/>
        <v>2.1215463382269015E-3</v>
      </c>
      <c r="P536" s="39">
        <f t="shared" si="107"/>
        <v>5.2508655572731464E-3</v>
      </c>
      <c r="Q536" s="39">
        <f t="shared" si="107"/>
        <v>1.1868788571930307E-2</v>
      </c>
      <c r="R536" s="39">
        <f t="shared" si="107"/>
        <v>2.4616293292907231E-2</v>
      </c>
      <c r="S536" s="39">
        <f t="shared" si="107"/>
        <v>4.7050224298574125E-2</v>
      </c>
      <c r="T536" s="39">
        <f t="shared" si="107"/>
        <v>8.3215501433326136E-2</v>
      </c>
      <c r="U536" s="39">
        <f t="shared" si="107"/>
        <v>0.13673695797158242</v>
      </c>
      <c r="V536" s="39">
        <f t="shared" si="107"/>
        <v>0.20958101462581954</v>
      </c>
      <c r="W536" s="37">
        <v>0.46700000000000003</v>
      </c>
    </row>
    <row r="537" spans="2:23" x14ac:dyDescent="0.25">
      <c r="B537" s="39">
        <f t="shared" si="106"/>
        <v>1.9770576694650842E-14</v>
      </c>
      <c r="C537" s="39">
        <f t="shared" si="106"/>
        <v>8.9635969854727097E-13</v>
      </c>
      <c r="D537" s="39">
        <f t="shared" si="106"/>
        <v>1.992745669797631E-11</v>
      </c>
      <c r="E537" s="39">
        <f t="shared" si="106"/>
        <v>2.8956501180965148E-10</v>
      </c>
      <c r="F537" s="39">
        <f t="shared" si="106"/>
        <v>3.0931241590010517E-9</v>
      </c>
      <c r="G537" s="39">
        <f t="shared" si="106"/>
        <v>2.5900951333897068E-8</v>
      </c>
      <c r="H537" s="39">
        <f t="shared" si="106"/>
        <v>1.7705730760259139E-7</v>
      </c>
      <c r="I537" s="39">
        <f t="shared" si="106"/>
        <v>1.0160480127663704E-6</v>
      </c>
      <c r="J537" s="39">
        <f t="shared" si="106"/>
        <v>4.9953469366280345E-6</v>
      </c>
      <c r="K537" s="39">
        <f t="shared" si="106"/>
        <v>2.1370264646365712E-5</v>
      </c>
      <c r="L537" s="39">
        <f t="shared" si="107"/>
        <v>8.052964065254359E-5</v>
      </c>
      <c r="M537" s="39">
        <f t="shared" si="107"/>
        <v>2.699585678624902E-4</v>
      </c>
      <c r="N537" s="39">
        <f t="shared" si="107"/>
        <v>8.1168479678731637E-4</v>
      </c>
      <c r="O537" s="39">
        <f t="shared" si="107"/>
        <v>2.2040882463992672E-3</v>
      </c>
      <c r="P537" s="39">
        <f t="shared" si="107"/>
        <v>5.4376304078079226E-3</v>
      </c>
      <c r="Q537" s="39">
        <f t="shared" si="107"/>
        <v>1.2251977819139353E-2</v>
      </c>
      <c r="R537" s="39">
        <f t="shared" si="107"/>
        <v>2.5331791956547053E-2</v>
      </c>
      <c r="S537" s="39">
        <f t="shared" si="107"/>
        <v>4.8269791133479373E-2</v>
      </c>
      <c r="T537" s="39">
        <f t="shared" si="107"/>
        <v>8.5117937217718112E-2</v>
      </c>
      <c r="U537" s="39">
        <f t="shared" si="107"/>
        <v>0.1394586575135732</v>
      </c>
      <c r="V537" s="39">
        <f t="shared" si="107"/>
        <v>0.2131582594148286</v>
      </c>
      <c r="W537" s="37">
        <v>0.46600000000000003</v>
      </c>
    </row>
    <row r="538" spans="2:23" x14ac:dyDescent="0.25">
      <c r="B538" s="39">
        <f t="shared" si="106"/>
        <v>2.1809562206238041E-14</v>
      </c>
      <c r="C538" s="39">
        <f t="shared" si="106"/>
        <v>9.8473586719335407E-13</v>
      </c>
      <c r="D538" s="39">
        <f t="shared" si="106"/>
        <v>2.1802308163300687E-11</v>
      </c>
      <c r="E538" s="39">
        <f t="shared" si="106"/>
        <v>3.1551035483554642E-10</v>
      </c>
      <c r="F538" s="39">
        <f t="shared" si="106"/>
        <v>3.356495602058661E-9</v>
      </c>
      <c r="G538" s="39">
        <f t="shared" si="106"/>
        <v>2.7991778260313003E-8</v>
      </c>
      <c r="H538" s="39">
        <f t="shared" si="106"/>
        <v>1.9057248823769096E-7</v>
      </c>
      <c r="I538" s="39">
        <f t="shared" si="106"/>
        <v>1.0891770832063782E-6</v>
      </c>
      <c r="J538" s="39">
        <f t="shared" si="106"/>
        <v>5.3332892438369366E-6</v>
      </c>
      <c r="K538" s="39">
        <f t="shared" si="106"/>
        <v>2.2724432600707075E-5</v>
      </c>
      <c r="L538" s="39">
        <f t="shared" si="107"/>
        <v>8.5290841935602363E-5</v>
      </c>
      <c r="M538" s="39">
        <f t="shared" si="107"/>
        <v>2.8478606560978814E-4</v>
      </c>
      <c r="N538" s="39">
        <f t="shared" si="107"/>
        <v>8.5289881805752433E-4</v>
      </c>
      <c r="O538" s="39">
        <f t="shared" si="107"/>
        <v>2.3069783236029833E-3</v>
      </c>
      <c r="P538" s="39">
        <f t="shared" si="107"/>
        <v>5.6695371801768635E-3</v>
      </c>
      <c r="Q538" s="39">
        <f t="shared" si="107"/>
        <v>1.2725947999429849E-2</v>
      </c>
      <c r="R538" s="39">
        <f t="shared" si="107"/>
        <v>2.6213380769221178E-2</v>
      </c>
      <c r="S538" s="39">
        <f t="shared" si="107"/>
        <v>4.9766655694638624E-2</v>
      </c>
      <c r="T538" s="39">
        <f t="shared" si="107"/>
        <v>8.7443921006469569E-2</v>
      </c>
      <c r="U538" s="39">
        <f t="shared" si="107"/>
        <v>0.14277345310299222</v>
      </c>
      <c r="V538" s="39">
        <f t="shared" si="107"/>
        <v>0.21749821459896962</v>
      </c>
      <c r="W538" s="37">
        <v>0.46500000000000002</v>
      </c>
    </row>
    <row r="539" spans="2:23" x14ac:dyDescent="0.25">
      <c r="B539" s="39">
        <f t="shared" si="106"/>
        <v>2.4054206726760695E-14</v>
      </c>
      <c r="C539" s="39">
        <f t="shared" si="106"/>
        <v>1.081616666236098E-12</v>
      </c>
      <c r="D539" s="39">
        <f t="shared" si="106"/>
        <v>2.3848933934341685E-11</v>
      </c>
      <c r="E539" s="39">
        <f t="shared" si="106"/>
        <v>3.437136555400111E-10</v>
      </c>
      <c r="F539" s="39">
        <f t="shared" si="106"/>
        <v>3.6415830343352315E-9</v>
      </c>
      <c r="G539" s="39">
        <f t="shared" si="106"/>
        <v>3.0245479067414433E-8</v>
      </c>
      <c r="H539" s="39">
        <f t="shared" si="106"/>
        <v>2.0507919175361393E-7</v>
      </c>
      <c r="I539" s="39">
        <f t="shared" si="106"/>
        <v>1.1673408636397012E-6</v>
      </c>
      <c r="J539" s="39">
        <f t="shared" si="106"/>
        <v>5.6929777892289396E-6</v>
      </c>
      <c r="K539" s="39">
        <f t="shared" si="106"/>
        <v>2.4159674259185604E-5</v>
      </c>
      <c r="L539" s="39">
        <f t="shared" si="107"/>
        <v>9.0315857530982996E-5</v>
      </c>
      <c r="M539" s="39">
        <f t="shared" si="107"/>
        <v>3.0036927934328612E-4</v>
      </c>
      <c r="N539" s="39">
        <f t="shared" si="107"/>
        <v>8.9603109206610088E-4</v>
      </c>
      <c r="O539" s="39">
        <f t="shared" si="107"/>
        <v>2.4142040449696475E-3</v>
      </c>
      <c r="P539" s="39">
        <f t="shared" si="107"/>
        <v>5.9101988626332471E-3</v>
      </c>
      <c r="Q539" s="39">
        <f t="shared" si="107"/>
        <v>1.3215740897318822E-2</v>
      </c>
      <c r="R539" s="39">
        <f t="shared" si="107"/>
        <v>2.7120564798210629E-2</v>
      </c>
      <c r="S539" s="39">
        <f t="shared" si="107"/>
        <v>5.1300494093971617E-2</v>
      </c>
      <c r="T539" s="39">
        <f t="shared" si="107"/>
        <v>8.9817323913418567E-2</v>
      </c>
      <c r="U539" s="39">
        <f t="shared" si="107"/>
        <v>0.14614158536821803</v>
      </c>
      <c r="V539" s="39">
        <f t="shared" si="107"/>
        <v>0.22188943404529818</v>
      </c>
      <c r="W539" s="37">
        <v>0.46400000000000002</v>
      </c>
    </row>
    <row r="540" spans="2:23" x14ac:dyDescent="0.25">
      <c r="B540" s="39">
        <f t="shared" si="106"/>
        <v>2.6524788998201901E-14</v>
      </c>
      <c r="C540" s="39">
        <f t="shared" si="106"/>
        <v>1.1878004215417316E-12</v>
      </c>
      <c r="D540" s="39">
        <f t="shared" si="106"/>
        <v>2.6082646794193746E-11</v>
      </c>
      <c r="E540" s="39">
        <f t="shared" si="106"/>
        <v>3.7436554835924409E-10</v>
      </c>
      <c r="F540" s="39">
        <f t="shared" si="106"/>
        <v>3.9501175840584951E-9</v>
      </c>
      <c r="G540" s="39">
        <f t="shared" si="106"/>
        <v>3.2674270810064822E-8</v>
      </c>
      <c r="H540" s="39">
        <f t="shared" si="106"/>
        <v>2.2064712477677956E-7</v>
      </c>
      <c r="I540" s="39">
        <f t="shared" si="106"/>
        <v>1.2508695963229538E-6</v>
      </c>
      <c r="J540" s="39">
        <f t="shared" si="106"/>
        <v>6.0757364046778979E-6</v>
      </c>
      <c r="K540" s="39">
        <f t="shared" si="106"/>
        <v>2.5680541635789549E-5</v>
      </c>
      <c r="L540" s="39">
        <f t="shared" si="107"/>
        <v>9.5618246527496285E-5</v>
      </c>
      <c r="M540" s="39">
        <f t="shared" si="107"/>
        <v>3.1674343712095583E-4</v>
      </c>
      <c r="N540" s="39">
        <f t="shared" si="107"/>
        <v>9.4116178312231562E-4</v>
      </c>
      <c r="O540" s="39">
        <f t="shared" si="107"/>
        <v>2.5259254018319358E-3</v>
      </c>
      <c r="P540" s="39">
        <f t="shared" si="107"/>
        <v>6.1598949182638E-3</v>
      </c>
      <c r="Q540" s="39">
        <f t="shared" si="107"/>
        <v>1.3721780652293337E-2</v>
      </c>
      <c r="R540" s="39">
        <f t="shared" si="107"/>
        <v>2.8053894055161049E-2</v>
      </c>
      <c r="S540" s="39">
        <f t="shared" si="107"/>
        <v>5.2871892582360622E-2</v>
      </c>
      <c r="T540" s="39">
        <f t="shared" si="107"/>
        <v>9.2238605759670272E-2</v>
      </c>
      <c r="U540" s="39">
        <f t="shared" si="107"/>
        <v>0.14956319196102366</v>
      </c>
      <c r="V540" s="39">
        <f t="shared" si="107"/>
        <v>0.22633158227852304</v>
      </c>
      <c r="W540" s="37">
        <v>0.46300000000000002</v>
      </c>
    </row>
    <row r="541" spans="2:23" x14ac:dyDescent="0.25">
      <c r="B541" s="39">
        <f t="shared" si="106"/>
        <v>2.9243541684454461E-14</v>
      </c>
      <c r="C541" s="39">
        <f t="shared" si="106"/>
        <v>1.3041585099782237E-12</v>
      </c>
      <c r="D541" s="39">
        <f t="shared" si="106"/>
        <v>2.8520086440701138E-11</v>
      </c>
      <c r="E541" s="39">
        <f t="shared" si="106"/>
        <v>4.0767226082092158E-10</v>
      </c>
      <c r="F541" s="39">
        <f t="shared" si="106"/>
        <v>4.283963547537143E-9</v>
      </c>
      <c r="G541" s="39">
        <f t="shared" si="106"/>
        <v>3.5291250629265682E-8</v>
      </c>
      <c r="H541" s="39">
        <f t="shared" si="106"/>
        <v>2.3735067290563613E-7</v>
      </c>
      <c r="I541" s="39">
        <f t="shared" si="106"/>
        <v>1.3401140561263812E-6</v>
      </c>
      <c r="J541" s="39">
        <f t="shared" si="106"/>
        <v>6.4829646135363699E-6</v>
      </c>
      <c r="K541" s="39">
        <f t="shared" si="106"/>
        <v>2.7291823952654823E-5</v>
      </c>
      <c r="L541" s="39">
        <f t="shared" si="107"/>
        <v>1.0121220464808061E-4</v>
      </c>
      <c r="M541" s="39">
        <f t="shared" si="107"/>
        <v>3.339452347781032E-4</v>
      </c>
      <c r="N541" s="39">
        <f t="shared" si="107"/>
        <v>9.8837395682207087E-4</v>
      </c>
      <c r="O541" s="39">
        <f t="shared" si="107"/>
        <v>2.6423072561024838E-3</v>
      </c>
      <c r="P541" s="39">
        <f t="shared" si="107"/>
        <v>6.4189115907956878E-3</v>
      </c>
      <c r="Q541" s="39">
        <f t="shared" si="107"/>
        <v>1.4244498766486041E-2</v>
      </c>
      <c r="R541" s="39">
        <f t="shared" si="107"/>
        <v>2.9013923552417855E-2</v>
      </c>
      <c r="S541" s="39">
        <f t="shared" si="107"/>
        <v>5.4481436086517558E-2</v>
      </c>
      <c r="T541" s="39">
        <f t="shared" si="107"/>
        <v>9.4708215520808076E-2</v>
      </c>
      <c r="U541" s="39">
        <f t="shared" si="107"/>
        <v>0.15303839006324163</v>
      </c>
      <c r="V541" s="39">
        <f t="shared" si="107"/>
        <v>0.23082429811638577</v>
      </c>
      <c r="W541" s="37">
        <v>0.46200000000000002</v>
      </c>
    </row>
    <row r="542" spans="2:23" x14ac:dyDescent="0.25">
      <c r="B542" s="39">
        <f t="shared" si="106"/>
        <v>3.1716256827696914E-14</v>
      </c>
      <c r="C542" s="39">
        <f t="shared" si="106"/>
        <v>1.4095791474619462E-12</v>
      </c>
      <c r="D542" s="39">
        <f t="shared" si="106"/>
        <v>3.0719907365621918E-11</v>
      </c>
      <c r="E542" s="39">
        <f t="shared" si="106"/>
        <v>4.3761622851184582E-10</v>
      </c>
      <c r="F542" s="39">
        <f t="shared" si="106"/>
        <v>4.5829472728713522E-9</v>
      </c>
      <c r="G542" s="39">
        <f t="shared" si="106"/>
        <v>3.7625919839268619E-8</v>
      </c>
      <c r="H542" s="39">
        <f t="shared" si="106"/>
        <v>2.5219487979540486E-7</v>
      </c>
      <c r="I542" s="39">
        <f t="shared" si="106"/>
        <v>1.4191186845848247E-6</v>
      </c>
      <c r="J542" s="39">
        <f t="shared" si="106"/>
        <v>6.8420782096971574E-6</v>
      </c>
      <c r="K542" s="39">
        <f t="shared" si="106"/>
        <v>2.8707252915972089E-5</v>
      </c>
      <c r="L542" s="39">
        <f t="shared" si="107"/>
        <v>1.0610726229030714E-4</v>
      </c>
      <c r="M542" s="39">
        <f t="shared" si="107"/>
        <v>3.4893981510986962E-4</v>
      </c>
      <c r="N542" s="39">
        <f t="shared" si="107"/>
        <v>1.0293694462508991E-3</v>
      </c>
      <c r="O542" s="39">
        <f t="shared" si="107"/>
        <v>2.7429746135268929E-3</v>
      </c>
      <c r="P542" s="39">
        <f t="shared" si="107"/>
        <v>6.6420899855386987E-3</v>
      </c>
      <c r="Q542" s="39">
        <f t="shared" si="107"/>
        <v>1.4693153991966293E-2</v>
      </c>
      <c r="R542" s="39">
        <f t="shared" si="107"/>
        <v>2.9834747887881121E-2</v>
      </c>
      <c r="S542" s="39">
        <f t="shared" si="107"/>
        <v>5.5852281706431743E-2</v>
      </c>
      <c r="T542" s="39">
        <f t="shared" si="107"/>
        <v>9.6803456887499265E-2</v>
      </c>
      <c r="U542" s="39">
        <f t="shared" si="107"/>
        <v>0.15597539655095169</v>
      </c>
      <c r="V542" s="39">
        <f t="shared" si="107"/>
        <v>0.23460657760063938</v>
      </c>
      <c r="W542" s="37">
        <v>0.46100000000000002</v>
      </c>
    </row>
    <row r="543" spans="2:23" x14ac:dyDescent="0.25">
      <c r="B543" s="39">
        <f t="shared" ref="B543:K552" si="108">_xlfn.HYPGEOM.DIST(B$2,comau,tongtheN*$W543,tongtheN,TRUE)</f>
        <v>3.495496486749063E-14</v>
      </c>
      <c r="C543" s="39">
        <f t="shared" si="108"/>
        <v>1.5471222602937012E-12</v>
      </c>
      <c r="D543" s="39">
        <f t="shared" si="108"/>
        <v>3.3578920516589349E-11</v>
      </c>
      <c r="E543" s="39">
        <f t="shared" si="108"/>
        <v>4.7638248780127203E-10</v>
      </c>
      <c r="F543" s="39">
        <f t="shared" si="108"/>
        <v>4.9685214485106176E-9</v>
      </c>
      <c r="G543" s="39">
        <f t="shared" si="108"/>
        <v>4.062509407783862E-8</v>
      </c>
      <c r="H543" s="39">
        <f t="shared" si="108"/>
        <v>2.7119032178360927E-7</v>
      </c>
      <c r="I543" s="39">
        <f t="shared" si="108"/>
        <v>1.5198260221278518E-6</v>
      </c>
      <c r="J543" s="39">
        <f t="shared" si="108"/>
        <v>7.298069674176788E-6</v>
      </c>
      <c r="K543" s="39">
        <f t="shared" si="108"/>
        <v>3.0497567462057954E-5</v>
      </c>
      <c r="L543" s="39">
        <f t="shared" ref="L543:V552" si="109">_xlfn.HYPGEOM.DIST(L$2,comau,tongtheN*$W543,tongtheN,TRUE)</f>
        <v>1.122748534815461E-4</v>
      </c>
      <c r="M543" s="39">
        <f t="shared" si="109"/>
        <v>3.6775934200993117E-4</v>
      </c>
      <c r="N543" s="39">
        <f t="shared" si="109"/>
        <v>1.0806233782940024E-3</v>
      </c>
      <c r="O543" s="39">
        <f t="shared" si="109"/>
        <v>2.8683454770896343E-3</v>
      </c>
      <c r="P543" s="39">
        <f t="shared" si="109"/>
        <v>6.9189607139865869E-3</v>
      </c>
      <c r="Q543" s="39">
        <f t="shared" si="109"/>
        <v>1.5247594148448312E-2</v>
      </c>
      <c r="R543" s="39">
        <f t="shared" si="109"/>
        <v>3.0845185100531716E-2</v>
      </c>
      <c r="S543" s="39">
        <f t="shared" si="109"/>
        <v>5.7533270917895361E-2</v>
      </c>
      <c r="T543" s="39">
        <f t="shared" si="109"/>
        <v>9.936279588123488E-2</v>
      </c>
      <c r="U543" s="39">
        <f t="shared" si="109"/>
        <v>0.15954908051033914</v>
      </c>
      <c r="V543" s="39">
        <f t="shared" si="109"/>
        <v>0.23919097696603081</v>
      </c>
      <c r="W543" s="37">
        <v>0.46</v>
      </c>
    </row>
    <row r="544" spans="2:23" x14ac:dyDescent="0.25">
      <c r="B544" s="39">
        <f t="shared" si="108"/>
        <v>3.8517124384053047E-14</v>
      </c>
      <c r="C544" s="39">
        <f t="shared" si="108"/>
        <v>1.6977645835993657E-12</v>
      </c>
      <c r="D544" s="39">
        <f t="shared" si="108"/>
        <v>3.6697026033631757E-11</v>
      </c>
      <c r="E544" s="39">
        <f t="shared" si="108"/>
        <v>5.1848373443173503E-10</v>
      </c>
      <c r="F544" s="39">
        <f t="shared" si="108"/>
        <v>5.3855015288204781E-9</v>
      </c>
      <c r="G544" s="39">
        <f t="shared" si="108"/>
        <v>4.3854891494279783E-8</v>
      </c>
      <c r="H544" s="39">
        <f t="shared" si="108"/>
        <v>2.9156023175967456E-7</v>
      </c>
      <c r="I544" s="39">
        <f t="shared" si="108"/>
        <v>1.6273652331648761E-6</v>
      </c>
      <c r="J544" s="39">
        <f t="shared" si="108"/>
        <v>7.7829430902251675E-6</v>
      </c>
      <c r="K544" s="39">
        <f t="shared" si="108"/>
        <v>3.2393255341357236E-5</v>
      </c>
      <c r="L544" s="39">
        <f t="shared" si="109"/>
        <v>1.1877792915926382E-4</v>
      </c>
      <c r="M544" s="39">
        <f t="shared" si="109"/>
        <v>3.8751891559395639E-4</v>
      </c>
      <c r="N544" s="39">
        <f t="shared" si="109"/>
        <v>1.1342106437257919E-3</v>
      </c>
      <c r="O544" s="39">
        <f t="shared" si="109"/>
        <v>2.9988713077926487E-3</v>
      </c>
      <c r="P544" s="39">
        <f t="shared" si="109"/>
        <v>7.2060005907148179E-3</v>
      </c>
      <c r="Q544" s="39">
        <f t="shared" si="109"/>
        <v>1.5819975021351528E-2</v>
      </c>
      <c r="R544" s="39">
        <f t="shared" si="109"/>
        <v>3.1883920449635637E-2</v>
      </c>
      <c r="S544" s="39">
        <f t="shared" si="109"/>
        <v>5.9254051707548293E-2</v>
      </c>
      <c r="T544" s="39">
        <f t="shared" si="109"/>
        <v>0.1019716715328231</v>
      </c>
      <c r="U544" s="39">
        <f t="shared" si="109"/>
        <v>0.16317657324048371</v>
      </c>
      <c r="V544" s="39">
        <f t="shared" si="109"/>
        <v>0.24382478023973789</v>
      </c>
      <c r="W544" s="37">
        <v>0.45900000000000002</v>
      </c>
    </row>
    <row r="545" spans="2:23" x14ac:dyDescent="0.25">
      <c r="B545" s="39">
        <f t="shared" si="108"/>
        <v>4.2434315570660377E-14</v>
      </c>
      <c r="C545" s="39">
        <f t="shared" si="108"/>
        <v>1.8627229825240426E-12</v>
      </c>
      <c r="D545" s="39">
        <f t="shared" si="108"/>
        <v>4.0097067094927282E-11</v>
      </c>
      <c r="E545" s="39">
        <f t="shared" si="108"/>
        <v>5.6419825188716721E-10</v>
      </c>
      <c r="F545" s="39">
        <f t="shared" si="108"/>
        <v>5.8363599915981014E-9</v>
      </c>
      <c r="G545" s="39">
        <f t="shared" si="108"/>
        <v>4.7332381061102358E-8</v>
      </c>
      <c r="H545" s="39">
        <f t="shared" si="108"/>
        <v>3.1339985792836944E-7</v>
      </c>
      <c r="I545" s="39">
        <f t="shared" si="108"/>
        <v>1.7421775222477787E-6</v>
      </c>
      <c r="J545" s="39">
        <f t="shared" si="108"/>
        <v>8.2984271547896389E-6</v>
      </c>
      <c r="K545" s="39">
        <f t="shared" si="108"/>
        <v>3.4400123973320551E-5</v>
      </c>
      <c r="L545" s="39">
        <f t="shared" si="109"/>
        <v>1.256333806327097E-4</v>
      </c>
      <c r="M545" s="39">
        <f t="shared" si="109"/>
        <v>4.0826135654449579E-4</v>
      </c>
      <c r="N545" s="39">
        <f t="shared" si="109"/>
        <v>1.1902262228426969E-3</v>
      </c>
      <c r="O545" s="39">
        <f t="shared" si="109"/>
        <v>3.1347366040474765E-3</v>
      </c>
      <c r="P545" s="39">
        <f t="shared" si="109"/>
        <v>7.5035225647980472E-3</v>
      </c>
      <c r="Q545" s="39">
        <f t="shared" si="109"/>
        <v>1.6410756077007947E-2</v>
      </c>
      <c r="R545" s="39">
        <f t="shared" si="109"/>
        <v>3.2951526170855908E-2</v>
      </c>
      <c r="S545" s="39">
        <f t="shared" si="109"/>
        <v>6.1015200139913975E-2</v>
      </c>
      <c r="T545" s="39">
        <f t="shared" si="109"/>
        <v>0.10463048651859568</v>
      </c>
      <c r="U545" s="39">
        <f t="shared" si="109"/>
        <v>0.16685790970018194</v>
      </c>
      <c r="V545" s="39">
        <f t="shared" si="109"/>
        <v>0.24850752699918943</v>
      </c>
      <c r="W545" s="37">
        <v>0.45800000000000002</v>
      </c>
    </row>
    <row r="546" spans="2:23" x14ac:dyDescent="0.25">
      <c r="B546" s="39">
        <f t="shared" si="108"/>
        <v>4.5994706669846678E-14</v>
      </c>
      <c r="C546" s="39">
        <f t="shared" si="108"/>
        <v>2.0120780784383763E-12</v>
      </c>
      <c r="D546" s="39">
        <f t="shared" si="108"/>
        <v>4.3163632000478827E-11</v>
      </c>
      <c r="E546" s="39">
        <f t="shared" si="108"/>
        <v>6.0527009932613251E-10</v>
      </c>
      <c r="F546" s="39">
        <f t="shared" si="108"/>
        <v>6.239867977900075E-9</v>
      </c>
      <c r="G546" s="39">
        <f t="shared" si="108"/>
        <v>5.0432649264763868E-8</v>
      </c>
      <c r="H546" s="39">
        <f t="shared" si="108"/>
        <v>3.3279530805405006E-7</v>
      </c>
      <c r="I546" s="39">
        <f t="shared" si="108"/>
        <v>1.8437471781601545E-6</v>
      </c>
      <c r="J546" s="39">
        <f t="shared" si="108"/>
        <v>8.7526944822021861E-6</v>
      </c>
      <c r="K546" s="39">
        <f t="shared" si="108"/>
        <v>3.6161838615773078E-5</v>
      </c>
      <c r="L546" s="39">
        <f t="shared" si="109"/>
        <v>1.3162815374119708E-4</v>
      </c>
      <c r="M546" s="39">
        <f t="shared" si="109"/>
        <v>4.2632961650889464E-4</v>
      </c>
      <c r="N546" s="39">
        <f t="shared" si="109"/>
        <v>1.2388316523203127E-3</v>
      </c>
      <c r="O546" s="39">
        <f t="shared" si="109"/>
        <v>3.2521732634050739E-3</v>
      </c>
      <c r="P546" s="39">
        <f t="shared" si="109"/>
        <v>7.7596954126839751E-3</v>
      </c>
      <c r="Q546" s="39">
        <f t="shared" si="109"/>
        <v>1.6917465776065708E-2</v>
      </c>
      <c r="R546" s="39">
        <f t="shared" si="109"/>
        <v>3.3863666929960956E-2</v>
      </c>
      <c r="S546" s="39">
        <f t="shared" si="109"/>
        <v>6.2514073530476624E-2</v>
      </c>
      <c r="T546" s="39">
        <f t="shared" si="109"/>
        <v>0.10688459509326191</v>
      </c>
      <c r="U546" s="39">
        <f t="shared" si="109"/>
        <v>0.16996683046738631</v>
      </c>
      <c r="V546" s="39">
        <f t="shared" si="109"/>
        <v>0.25244685321905547</v>
      </c>
      <c r="W546" s="37">
        <v>0.45700000000000002</v>
      </c>
    </row>
    <row r="547" spans="2:23" x14ac:dyDescent="0.25">
      <c r="B547" s="39">
        <f t="shared" si="108"/>
        <v>5.0655002811422087E-14</v>
      </c>
      <c r="C547" s="39">
        <f t="shared" si="108"/>
        <v>2.2068154723355053E-12</v>
      </c>
      <c r="D547" s="39">
        <f t="shared" si="108"/>
        <v>4.7146492305001898E-11</v>
      </c>
      <c r="E547" s="39">
        <f t="shared" si="108"/>
        <v>6.5840756766962473E-10</v>
      </c>
      <c r="F547" s="39">
        <f t="shared" si="108"/>
        <v>6.7598909959147798E-9</v>
      </c>
      <c r="G547" s="39">
        <f t="shared" si="108"/>
        <v>5.4412654226125234E-8</v>
      </c>
      <c r="H547" s="39">
        <f t="shared" si="108"/>
        <v>3.5759796620746934E-7</v>
      </c>
      <c r="I547" s="39">
        <f t="shared" si="108"/>
        <v>1.9731299542294411E-6</v>
      </c>
      <c r="J547" s="39">
        <f t="shared" si="108"/>
        <v>9.3291133756111352E-6</v>
      </c>
      <c r="K547" s="39">
        <f t="shared" si="108"/>
        <v>3.8388614926099121E-5</v>
      </c>
      <c r="L547" s="39">
        <f t="shared" si="109"/>
        <v>1.3917608963507383E-4</v>
      </c>
      <c r="M547" s="39">
        <f t="shared" si="109"/>
        <v>4.489909941327952E-4</v>
      </c>
      <c r="N547" s="39">
        <f t="shared" si="109"/>
        <v>1.2995569129446763E-3</v>
      </c>
      <c r="O547" s="39">
        <f t="shared" si="109"/>
        <v>3.3983246756783721E-3</v>
      </c>
      <c r="P547" s="39">
        <f t="shared" si="109"/>
        <v>8.0772711015608383E-3</v>
      </c>
      <c r="Q547" s="39">
        <f t="shared" si="109"/>
        <v>1.7543197672801138E-2</v>
      </c>
      <c r="R547" s="39">
        <f t="shared" si="109"/>
        <v>3.4985700787178477E-2</v>
      </c>
      <c r="S547" s="39">
        <f t="shared" si="109"/>
        <v>6.4350714087052063E-2</v>
      </c>
      <c r="T547" s="39">
        <f t="shared" si="109"/>
        <v>0.10963596682468457</v>
      </c>
      <c r="U547" s="39">
        <f t="shared" si="109"/>
        <v>0.17374689671106533</v>
      </c>
      <c r="V547" s="39">
        <f t="shared" si="109"/>
        <v>0.25721804768145606</v>
      </c>
      <c r="W547" s="37">
        <v>0.45600000000000002</v>
      </c>
    </row>
    <row r="548" spans="2:23" x14ac:dyDescent="0.25">
      <c r="B548" s="39">
        <f t="shared" si="108"/>
        <v>5.5777119656146233E-14</v>
      </c>
      <c r="C548" s="39">
        <f t="shared" si="108"/>
        <v>2.4199479528021967E-12</v>
      </c>
      <c r="D548" s="39">
        <f t="shared" si="108"/>
        <v>5.1487190346162615E-11</v>
      </c>
      <c r="E548" s="39">
        <f t="shared" si="108"/>
        <v>7.160748482232791E-10</v>
      </c>
      <c r="F548" s="39">
        <f t="shared" si="108"/>
        <v>7.3218636540265834E-9</v>
      </c>
      <c r="G548" s="39">
        <f t="shared" si="108"/>
        <v>5.869557591138988E-8</v>
      </c>
      <c r="H548" s="39">
        <f t="shared" si="108"/>
        <v>3.8417573644444553E-7</v>
      </c>
      <c r="I548" s="39">
        <f t="shared" si="108"/>
        <v>2.1111876019308664E-6</v>
      </c>
      <c r="J548" s="39">
        <f t="shared" si="108"/>
        <v>9.9415847476816265E-6</v>
      </c>
      <c r="K548" s="39">
        <f t="shared" si="108"/>
        <v>4.0744682022313084E-5</v>
      </c>
      <c r="L548" s="39">
        <f t="shared" si="109"/>
        <v>1.4712857049178671E-4</v>
      </c>
      <c r="M548" s="39">
        <f t="shared" si="109"/>
        <v>4.7276618415864337E-4</v>
      </c>
      <c r="N548" s="39">
        <f t="shared" si="109"/>
        <v>1.3629979432351529E-3</v>
      </c>
      <c r="O548" s="39">
        <f t="shared" si="109"/>
        <v>3.5503678395613801E-3</v>
      </c>
      <c r="P548" s="39">
        <f t="shared" si="109"/>
        <v>8.4062545611615462E-3</v>
      </c>
      <c r="Q548" s="39">
        <f t="shared" si="109"/>
        <v>1.8188670450392186E-2</v>
      </c>
      <c r="R548" s="39">
        <f t="shared" si="109"/>
        <v>3.613824690254866E-2</v>
      </c>
      <c r="S548" s="39">
        <f t="shared" si="109"/>
        <v>6.6229334862870637E-2</v>
      </c>
      <c r="T548" s="39">
        <f t="shared" si="109"/>
        <v>0.1124383448040831</v>
      </c>
      <c r="U548" s="39">
        <f t="shared" si="109"/>
        <v>0.17758078301791347</v>
      </c>
      <c r="V548" s="39">
        <f t="shared" si="109"/>
        <v>0.26203674006785987</v>
      </c>
      <c r="W548" s="37">
        <v>0.45500000000000002</v>
      </c>
    </row>
    <row r="549" spans="2:23" x14ac:dyDescent="0.25">
      <c r="B549" s="39">
        <f t="shared" si="108"/>
        <v>6.1405798474969175E-14</v>
      </c>
      <c r="C549" s="39">
        <f t="shared" si="108"/>
        <v>2.6531703807679372E-12</v>
      </c>
      <c r="D549" s="39">
        <f t="shared" si="108"/>
        <v>5.6217001792398923E-11</v>
      </c>
      <c r="E549" s="39">
        <f t="shared" si="108"/>
        <v>7.7864643905781477E-10</v>
      </c>
      <c r="F549" s="39">
        <f t="shared" si="108"/>
        <v>7.9290559829007613E-9</v>
      </c>
      <c r="G549" s="39">
        <f t="shared" si="108"/>
        <v>6.3303597234065368E-8</v>
      </c>
      <c r="H549" s="39">
        <f t="shared" si="108"/>
        <v>4.1265023191541839E-7</v>
      </c>
      <c r="I549" s="39">
        <f t="shared" si="108"/>
        <v>2.2584734445589366E-6</v>
      </c>
      <c r="J549" s="39">
        <f t="shared" si="108"/>
        <v>1.0592237480169006E-5</v>
      </c>
      <c r="K549" s="39">
        <f t="shared" si="108"/>
        <v>4.3237060188911912E-5</v>
      </c>
      <c r="L549" s="39">
        <f t="shared" si="109"/>
        <v>1.5550563048715606E-4</v>
      </c>
      <c r="M549" s="39">
        <f t="shared" si="109"/>
        <v>4.9770498625454187E-4</v>
      </c>
      <c r="N549" s="39">
        <f t="shared" si="109"/>
        <v>1.4292629591695499E-3</v>
      </c>
      <c r="O549" s="39">
        <f t="shared" si="109"/>
        <v>3.7085084289884183E-3</v>
      </c>
      <c r="P549" s="39">
        <f t="shared" si="109"/>
        <v>8.746986450557671E-3</v>
      </c>
      <c r="Q549" s="39">
        <f t="shared" si="109"/>
        <v>1.8854370822255474E-2</v>
      </c>
      <c r="R549" s="39">
        <f t="shared" si="109"/>
        <v>3.7321891219604088E-2</v>
      </c>
      <c r="S549" s="39">
        <f t="shared" si="109"/>
        <v>6.8150496698324653E-2</v>
      </c>
      <c r="T549" s="39">
        <f t="shared" si="109"/>
        <v>0.11529207789382806</v>
      </c>
      <c r="U549" s="39">
        <f t="shared" si="109"/>
        <v>0.18146843664413478</v>
      </c>
      <c r="V549" s="39">
        <f t="shared" si="109"/>
        <v>0.26690237047849824</v>
      </c>
      <c r="W549" s="37">
        <v>0.45400000000000001</v>
      </c>
    </row>
    <row r="550" spans="2:23" x14ac:dyDescent="0.25">
      <c r="B550" s="39">
        <f t="shared" si="108"/>
        <v>6.6518519529195005E-14</v>
      </c>
      <c r="C550" s="39">
        <f t="shared" si="108"/>
        <v>2.8641965880009822E-12</v>
      </c>
      <c r="D550" s="39">
        <f t="shared" si="108"/>
        <v>6.0480146374934542E-11</v>
      </c>
      <c r="E550" s="39">
        <f t="shared" si="108"/>
        <v>8.3482663958348202E-10</v>
      </c>
      <c r="F550" s="39">
        <f t="shared" si="108"/>
        <v>8.4721211158894533E-9</v>
      </c>
      <c r="G550" s="39">
        <f t="shared" si="108"/>
        <v>6.7409034126672476E-8</v>
      </c>
      <c r="H550" s="39">
        <f t="shared" si="108"/>
        <v>4.379210845595297E-7</v>
      </c>
      <c r="I550" s="39">
        <f t="shared" si="108"/>
        <v>2.3886831985059636E-6</v>
      </c>
      <c r="J550" s="39">
        <f t="shared" si="108"/>
        <v>1.1165231552042222E-5</v>
      </c>
      <c r="K550" s="39">
        <f t="shared" si="108"/>
        <v>4.5423476528431368E-5</v>
      </c>
      <c r="L550" s="39">
        <f t="shared" si="109"/>
        <v>1.6282592081275961E-4</v>
      </c>
      <c r="M550" s="39">
        <f t="shared" si="109"/>
        <v>5.1941348148718295E-4</v>
      </c>
      <c r="N550" s="39">
        <f t="shared" si="109"/>
        <v>1.4867216316312713E-3</v>
      </c>
      <c r="O550" s="39">
        <f t="shared" si="109"/>
        <v>3.8451023841870875E-3</v>
      </c>
      <c r="P550" s="39">
        <f t="shared" si="109"/>
        <v>9.0401550497579471E-3</v>
      </c>
      <c r="Q550" s="39">
        <f t="shared" si="109"/>
        <v>1.9424928704013782E-2</v>
      </c>
      <c r="R550" s="39">
        <f t="shared" si="109"/>
        <v>3.8332441813698048E-2</v>
      </c>
      <c r="S550" s="39">
        <f t="shared" si="109"/>
        <v>6.9784362659615462E-2</v>
      </c>
      <c r="T550" s="39">
        <f t="shared" si="109"/>
        <v>0.11770965954188632</v>
      </c>
      <c r="U550" s="39">
        <f t="shared" si="109"/>
        <v>0.18474916583176929</v>
      </c>
      <c r="V550" s="39">
        <f t="shared" si="109"/>
        <v>0.27099249611362514</v>
      </c>
      <c r="W550" s="37">
        <v>0.45300000000000001</v>
      </c>
    </row>
    <row r="551" spans="2:23" x14ac:dyDescent="0.25">
      <c r="B551" s="39">
        <f t="shared" si="108"/>
        <v>7.3206425441678505E-14</v>
      </c>
      <c r="C551" s="39">
        <f t="shared" si="108"/>
        <v>3.1391668478785152E-12</v>
      </c>
      <c r="D551" s="39">
        <f t="shared" si="108"/>
        <v>6.6013529763541202E-11</v>
      </c>
      <c r="E551" s="39">
        <f t="shared" si="108"/>
        <v>9.0746322986364404E-10</v>
      </c>
      <c r="F551" s="39">
        <f t="shared" si="108"/>
        <v>9.1715372440012596E-9</v>
      </c>
      <c r="G551" s="39">
        <f t="shared" si="108"/>
        <v>7.2675930275183752E-8</v>
      </c>
      <c r="H551" s="39">
        <f t="shared" si="108"/>
        <v>4.7021546931468773E-7</v>
      </c>
      <c r="I551" s="39">
        <f t="shared" si="108"/>
        <v>2.5544366102646936E-6</v>
      </c>
      <c r="J551" s="39">
        <f t="shared" si="108"/>
        <v>1.1891807501349472E-5</v>
      </c>
      <c r="K551" s="39">
        <f t="shared" si="108"/>
        <v>4.8185171929194101E-5</v>
      </c>
      <c r="L551" s="39">
        <f t="shared" si="109"/>
        <v>1.7203642349194166E-4</v>
      </c>
      <c r="M551" s="39">
        <f t="shared" si="109"/>
        <v>5.4662150251913347E-4</v>
      </c>
      <c r="N551" s="39">
        <f t="shared" si="109"/>
        <v>1.5584572951300587E-3</v>
      </c>
      <c r="O551" s="39">
        <f t="shared" si="109"/>
        <v>4.014975010330513E-3</v>
      </c>
      <c r="P551" s="39">
        <f t="shared" si="109"/>
        <v>9.4033349883412658E-3</v>
      </c>
      <c r="Q551" s="39">
        <f t="shared" si="109"/>
        <v>2.0129000061088392E-2</v>
      </c>
      <c r="R551" s="39">
        <f t="shared" si="109"/>
        <v>3.9574630837978575E-2</v>
      </c>
      <c r="S551" s="39">
        <f t="shared" si="109"/>
        <v>7.1784955906033232E-2</v>
      </c>
      <c r="T551" s="39">
        <f t="shared" si="109"/>
        <v>0.12065839871796023</v>
      </c>
      <c r="U551" s="39">
        <f t="shared" si="109"/>
        <v>0.18873517704853293</v>
      </c>
      <c r="V551" s="39">
        <f t="shared" si="109"/>
        <v>0.27594263968273863</v>
      </c>
      <c r="W551" s="37">
        <v>0.45200000000000001</v>
      </c>
    </row>
    <row r="552" spans="2:23" x14ac:dyDescent="0.25">
      <c r="B552" s="39">
        <f t="shared" si="108"/>
        <v>8.0551987085150274E-14</v>
      </c>
      <c r="C552" s="39">
        <f t="shared" si="108"/>
        <v>3.4399007424494808E-12</v>
      </c>
      <c r="D552" s="39">
        <f t="shared" si="108"/>
        <v>7.203980694318611E-11</v>
      </c>
      <c r="E552" s="39">
        <f t="shared" si="108"/>
        <v>9.8623586289347681E-10</v>
      </c>
      <c r="F552" s="39">
        <f t="shared" si="108"/>
        <v>9.9268329435769862E-9</v>
      </c>
      <c r="G552" s="39">
        <f t="shared" si="108"/>
        <v>7.8339594066729542E-8</v>
      </c>
      <c r="H552" s="39">
        <f t="shared" si="108"/>
        <v>5.0479594384274359E-7</v>
      </c>
      <c r="I552" s="39">
        <f t="shared" si="108"/>
        <v>2.7311736256696407E-6</v>
      </c>
      <c r="J552" s="39">
        <f t="shared" si="108"/>
        <v>1.2663256194741783E-5</v>
      </c>
      <c r="K552" s="39">
        <f t="shared" si="108"/>
        <v>5.1105036296163177E-5</v>
      </c>
      <c r="L552" s="39">
        <f t="shared" si="109"/>
        <v>1.8173328042320126E-4</v>
      </c>
      <c r="M552" s="39">
        <f t="shared" si="109"/>
        <v>5.7514516205514946E-4</v>
      </c>
      <c r="N552" s="39">
        <f t="shared" si="109"/>
        <v>1.6333438625368462E-3</v>
      </c>
      <c r="O552" s="39">
        <f t="shared" si="109"/>
        <v>4.1915595188804292E-3</v>
      </c>
      <c r="P552" s="39">
        <f t="shared" si="109"/>
        <v>9.7792687466178412E-3</v>
      </c>
      <c r="Q552" s="39">
        <f t="shared" si="109"/>
        <v>2.0854715407602819E-2</v>
      </c>
      <c r="R552" s="39">
        <f t="shared" si="109"/>
        <v>4.084959316270248E-2</v>
      </c>
      <c r="S552" s="39">
        <f t="shared" si="109"/>
        <v>7.3829650149562234E-2</v>
      </c>
      <c r="T552" s="39">
        <f t="shared" si="109"/>
        <v>0.12365939685350932</v>
      </c>
      <c r="U552" s="39">
        <f t="shared" si="109"/>
        <v>0.19277467646544588</v>
      </c>
      <c r="V552" s="39">
        <f t="shared" si="109"/>
        <v>0.28093799486038634</v>
      </c>
      <c r="W552" s="37">
        <v>0.45100000000000001</v>
      </c>
    </row>
    <row r="553" spans="2:23" x14ac:dyDescent="0.25">
      <c r="B553" s="39">
        <f t="shared" ref="B553:K562" si="110">_xlfn.HYPGEOM.DIST(B$2,comau,tongtheN*$W553,tongtheN,TRUE)</f>
        <v>8.8618429443247277E-14</v>
      </c>
      <c r="C553" s="39">
        <f t="shared" si="110"/>
        <v>3.7687527591412021E-12</v>
      </c>
      <c r="D553" s="39">
        <f t="shared" si="110"/>
        <v>7.8601685987811684E-11</v>
      </c>
      <c r="E553" s="39">
        <f t="shared" si="110"/>
        <v>1.0716471661183478E-9</v>
      </c>
      <c r="F553" s="39">
        <f t="shared" si="110"/>
        <v>1.0742321269821501E-8</v>
      </c>
      <c r="G553" s="39">
        <f t="shared" si="110"/>
        <v>8.4428774354046003E-8</v>
      </c>
      <c r="H553" s="39">
        <f t="shared" si="110"/>
        <v>5.4181734306680566E-7</v>
      </c>
      <c r="I553" s="39">
        <f t="shared" si="110"/>
        <v>2.9195861592631793E-6</v>
      </c>
      <c r="J553" s="39">
        <f t="shared" si="110"/>
        <v>1.3482191497366439E-5</v>
      </c>
      <c r="K553" s="39">
        <f t="shared" si="110"/>
        <v>5.4191529855828785E-5</v>
      </c>
      <c r="L553" s="39">
        <f t="shared" ref="L553:V562" si="111">_xlfn.HYPGEOM.DIST(L$2,comau,tongtheN*$W553,tongtheN,TRUE)</f>
        <v>1.9194017703081981E-4</v>
      </c>
      <c r="M553" s="39">
        <f t="shared" si="111"/>
        <v>6.0504218057545896E-4</v>
      </c>
      <c r="N553" s="39">
        <f t="shared" si="111"/>
        <v>1.7115041859201258E-3</v>
      </c>
      <c r="O553" s="39">
        <f t="shared" si="111"/>
        <v>4.3750842890126337E-3</v>
      </c>
      <c r="P553" s="39">
        <f t="shared" si="111"/>
        <v>1.0168325497516003E-2</v>
      </c>
      <c r="Q553" s="39">
        <f t="shared" si="111"/>
        <v>2.1602587546033863E-2</v>
      </c>
      <c r="R553" s="39">
        <f t="shared" si="111"/>
        <v>4.2157924345479193E-2</v>
      </c>
      <c r="S553" s="39">
        <f t="shared" si="111"/>
        <v>7.5918984213019583E-2</v>
      </c>
      <c r="T553" s="39">
        <f t="shared" si="111"/>
        <v>0.12671294154585511</v>
      </c>
      <c r="U553" s="39">
        <f t="shared" si="111"/>
        <v>0.19686751888788717</v>
      </c>
      <c r="V553" s="39">
        <f t="shared" si="111"/>
        <v>0.28597790323093414</v>
      </c>
      <c r="W553" s="37">
        <v>0.45</v>
      </c>
    </row>
    <row r="554" spans="2:23" x14ac:dyDescent="0.25">
      <c r="B554" s="39">
        <f t="shared" si="110"/>
        <v>9.5940845601127344E-14</v>
      </c>
      <c r="C554" s="39">
        <f t="shared" si="110"/>
        <v>4.0661184665751699E-12</v>
      </c>
      <c r="D554" s="39">
        <f t="shared" si="110"/>
        <v>8.4512350206909188E-11</v>
      </c>
      <c r="E554" s="39">
        <f t="shared" si="110"/>
        <v>1.1482845727981741E-9</v>
      </c>
      <c r="F554" s="39">
        <f t="shared" si="110"/>
        <v>1.1471208389389684E-8</v>
      </c>
      <c r="G554" s="39">
        <f t="shared" si="110"/>
        <v>8.9850257673026856E-8</v>
      </c>
      <c r="H554" s="39">
        <f t="shared" si="110"/>
        <v>5.7465170475069334E-7</v>
      </c>
      <c r="I554" s="39">
        <f t="shared" si="110"/>
        <v>3.0860430138382749E-6</v>
      </c>
      <c r="J554" s="39">
        <f t="shared" si="110"/>
        <v>1.4202896143084754E-5</v>
      </c>
      <c r="K554" s="39">
        <f t="shared" si="110"/>
        <v>5.6897285832439288E-5</v>
      </c>
      <c r="L554" s="39">
        <f t="shared" si="111"/>
        <v>2.0085334678150414E-4</v>
      </c>
      <c r="M554" s="39">
        <f t="shared" si="111"/>
        <v>6.3104864063688701E-4</v>
      </c>
      <c r="N554" s="39">
        <f t="shared" si="111"/>
        <v>1.7792300092991748E-3</v>
      </c>
      <c r="O554" s="39">
        <f t="shared" si="111"/>
        <v>4.5334922146956494E-3</v>
      </c>
      <c r="P554" s="39">
        <f t="shared" si="111"/>
        <v>1.0502835518133993E-2</v>
      </c>
      <c r="Q554" s="39">
        <f t="shared" si="111"/>
        <v>2.2243114152747535E-2</v>
      </c>
      <c r="R554" s="39">
        <f t="shared" si="111"/>
        <v>4.3274121322545767E-2</v>
      </c>
      <c r="S554" s="39">
        <f t="shared" si="111"/>
        <v>7.7694579763984958E-2</v>
      </c>
      <c r="T554" s="39">
        <f t="shared" si="111"/>
        <v>0.12929789746873177</v>
      </c>
      <c r="U554" s="39">
        <f t="shared" si="111"/>
        <v>0.20031884714722509</v>
      </c>
      <c r="V554" s="39">
        <f t="shared" si="111"/>
        <v>0.29021136799028874</v>
      </c>
      <c r="W554" s="37">
        <v>0.44900000000000001</v>
      </c>
    </row>
    <row r="555" spans="2:23" x14ac:dyDescent="0.25">
      <c r="B555" s="39">
        <f t="shared" si="110"/>
        <v>1.0551320002646134E-13</v>
      </c>
      <c r="C555" s="39">
        <f t="shared" si="110"/>
        <v>4.453344072486138E-12</v>
      </c>
      <c r="D555" s="39">
        <f t="shared" si="110"/>
        <v>9.2179225152432827E-11</v>
      </c>
      <c r="E555" s="39">
        <f t="shared" si="110"/>
        <v>1.2473066162146906E-9</v>
      </c>
      <c r="F555" s="39">
        <f t="shared" si="110"/>
        <v>1.2409332800273207E-8</v>
      </c>
      <c r="G555" s="39">
        <f t="shared" si="110"/>
        <v>9.6800940139458802E-8</v>
      </c>
      <c r="H555" s="39">
        <f t="shared" si="110"/>
        <v>6.1658385627971182E-7</v>
      </c>
      <c r="I555" s="39">
        <f t="shared" si="110"/>
        <v>3.2977960187973839E-6</v>
      </c>
      <c r="J555" s="39">
        <f t="shared" si="110"/>
        <v>1.5116156556009546E-5</v>
      </c>
      <c r="K555" s="39">
        <f t="shared" si="110"/>
        <v>6.031263754072496E-5</v>
      </c>
      <c r="L555" s="39">
        <f t="shared" si="111"/>
        <v>2.1206032590866269E-4</v>
      </c>
      <c r="M555" s="39">
        <f t="shared" si="111"/>
        <v>6.63620855203012E-4</v>
      </c>
      <c r="N555" s="39">
        <f t="shared" si="111"/>
        <v>1.8637248286925835E-3</v>
      </c>
      <c r="O555" s="39">
        <f t="shared" si="111"/>
        <v>4.7303544985224039E-3</v>
      </c>
      <c r="P555" s="39">
        <f t="shared" si="111"/>
        <v>1.0916934963655789E-2</v>
      </c>
      <c r="Q555" s="39">
        <f t="shared" si="111"/>
        <v>2.3032960614342395E-2</v>
      </c>
      <c r="R555" s="39">
        <f t="shared" si="111"/>
        <v>4.4645181162823455E-2</v>
      </c>
      <c r="S555" s="39">
        <f t="shared" si="111"/>
        <v>7.9867129671812781E-2</v>
      </c>
      <c r="T555" s="39">
        <f t="shared" si="111"/>
        <v>0.13244846708880431</v>
      </c>
      <c r="U555" s="39">
        <f t="shared" si="111"/>
        <v>0.20450902551452166</v>
      </c>
      <c r="V555" s="39">
        <f t="shared" si="111"/>
        <v>0.29533116302401763</v>
      </c>
      <c r="W555" s="37">
        <v>0.44800000000000001</v>
      </c>
    </row>
    <row r="556" spans="2:23" x14ac:dyDescent="0.25">
      <c r="B556" s="39">
        <f t="shared" si="110"/>
        <v>1.1601967177369772E-13</v>
      </c>
      <c r="C556" s="39">
        <f t="shared" si="110"/>
        <v>4.8765592463044587E-12</v>
      </c>
      <c r="D556" s="39">
        <f t="shared" si="110"/>
        <v>1.005232281661169E-10</v>
      </c>
      <c r="E556" s="39">
        <f t="shared" si="110"/>
        <v>1.3546182338310533E-9</v>
      </c>
      <c r="F556" s="39">
        <f t="shared" si="110"/>
        <v>1.3421690411589386E-8</v>
      </c>
      <c r="G556" s="39">
        <f t="shared" si="110"/>
        <v>1.0426988917041522E-7</v>
      </c>
      <c r="H556" s="39">
        <f t="shared" si="110"/>
        <v>6.6145194787494777E-7</v>
      </c>
      <c r="I556" s="39">
        <f t="shared" si="110"/>
        <v>3.5234163902237251E-6</v>
      </c>
      <c r="J556" s="39">
        <f t="shared" si="110"/>
        <v>1.6085106872301959E-5</v>
      </c>
      <c r="K556" s="39">
        <f t="shared" si="110"/>
        <v>6.3920918355373096E-5</v>
      </c>
      <c r="L556" s="39">
        <f t="shared" si="111"/>
        <v>2.2385025924351836E-4</v>
      </c>
      <c r="M556" s="39">
        <f t="shared" si="111"/>
        <v>6.9774233317057208E-4</v>
      </c>
      <c r="N556" s="39">
        <f t="shared" si="111"/>
        <v>1.9518638573846532E-3</v>
      </c>
      <c r="O556" s="39">
        <f t="shared" si="111"/>
        <v>4.9348379644380165E-3</v>
      </c>
      <c r="P556" s="39">
        <f t="shared" si="111"/>
        <v>1.13452444534242E-2</v>
      </c>
      <c r="Q556" s="39">
        <f t="shared" si="111"/>
        <v>2.3846452007968356E-2</v>
      </c>
      <c r="R556" s="39">
        <f t="shared" si="111"/>
        <v>4.6051305748289507E-2</v>
      </c>
      <c r="S556" s="39">
        <f t="shared" si="111"/>
        <v>8.2085806905324091E-2</v>
      </c>
      <c r="T556" s="39">
        <f t="shared" si="111"/>
        <v>0.13565230315951562</v>
      </c>
      <c r="U556" s="39">
        <f t="shared" si="111"/>
        <v>0.20875200003001365</v>
      </c>
      <c r="V556" s="39">
        <f t="shared" si="111"/>
        <v>0.30049350845043499</v>
      </c>
      <c r="W556" s="37">
        <v>0.44700000000000001</v>
      </c>
    </row>
    <row r="557" spans="2:23" x14ac:dyDescent="0.25">
      <c r="B557" s="39">
        <f t="shared" si="110"/>
        <v>1.275493802460384E-13</v>
      </c>
      <c r="C557" s="39">
        <f t="shared" si="110"/>
        <v>5.3390264427630143E-12</v>
      </c>
      <c r="D557" s="39">
        <f t="shared" si="110"/>
        <v>1.0960252677758573E-10</v>
      </c>
      <c r="E557" s="39">
        <f t="shared" si="110"/>
        <v>1.4708922318164174E-9</v>
      </c>
      <c r="F557" s="39">
        <f t="shared" si="110"/>
        <v>1.4513954622479396E-8</v>
      </c>
      <c r="G557" s="39">
        <f t="shared" si="110"/>
        <v>1.1229426026517919E-7</v>
      </c>
      <c r="H557" s="39">
        <f t="shared" si="110"/>
        <v>7.0945255544023245E-7</v>
      </c>
      <c r="I557" s="39">
        <f t="shared" si="110"/>
        <v>3.7637668424452396E-6</v>
      </c>
      <c r="J557" s="39">
        <f t="shared" si="110"/>
        <v>1.7112946857377746E-5</v>
      </c>
      <c r="K557" s="39">
        <f t="shared" si="110"/>
        <v>6.773229232472059E-5</v>
      </c>
      <c r="L557" s="39">
        <f t="shared" si="111"/>
        <v>2.3625105876151203E-4</v>
      </c>
      <c r="M557" s="39">
        <f t="shared" si="111"/>
        <v>7.3347974866578539E-4</v>
      </c>
      <c r="N557" s="39">
        <f t="shared" si="111"/>
        <v>2.0437860562580678E-3</v>
      </c>
      <c r="O557" s="39">
        <f t="shared" si="111"/>
        <v>5.1471951915911078E-3</v>
      </c>
      <c r="P557" s="39">
        <f t="shared" si="111"/>
        <v>1.1788162234129892E-2</v>
      </c>
      <c r="Q557" s="39">
        <f t="shared" si="111"/>
        <v>2.4684125585111006E-2</v>
      </c>
      <c r="R557" s="39">
        <f t="shared" si="111"/>
        <v>4.7493095574459993E-2</v>
      </c>
      <c r="S557" s="39">
        <f t="shared" si="111"/>
        <v>8.4351121106125707E-2</v>
      </c>
      <c r="T557" s="39">
        <f t="shared" si="111"/>
        <v>0.13890962474336865</v>
      </c>
      <c r="U557" s="39">
        <f t="shared" si="111"/>
        <v>0.2130475291484426</v>
      </c>
      <c r="V557" s="39">
        <f t="shared" si="111"/>
        <v>0.30569764953810274</v>
      </c>
      <c r="W557" s="37">
        <v>0.44600000000000001</v>
      </c>
    </row>
    <row r="558" spans="2:23" x14ac:dyDescent="0.25">
      <c r="B558" s="39">
        <f t="shared" si="110"/>
        <v>1.401997537640558E-13</v>
      </c>
      <c r="C558" s="39">
        <f t="shared" si="110"/>
        <v>5.8442963683473147E-12</v>
      </c>
      <c r="D558" s="39">
        <f t="shared" si="110"/>
        <v>1.194801436931681E-10</v>
      </c>
      <c r="E558" s="39">
        <f t="shared" si="110"/>
        <v>1.5968542805593416E-9</v>
      </c>
      <c r="F558" s="39">
        <f t="shared" si="110"/>
        <v>1.5692216735550708E-8</v>
      </c>
      <c r="G558" s="39">
        <f t="shared" si="110"/>
        <v>1.209137623900537E-7</v>
      </c>
      <c r="H558" s="39">
        <f t="shared" si="110"/>
        <v>7.6079478741351219E-7</v>
      </c>
      <c r="I558" s="39">
        <f t="shared" si="110"/>
        <v>4.0197607645364865E-6</v>
      </c>
      <c r="J558" s="39">
        <f t="shared" si="110"/>
        <v>1.8203047977592685E-5</v>
      </c>
      <c r="K558" s="39">
        <f t="shared" si="110"/>
        <v>7.1757416409796182E-5</v>
      </c>
      <c r="L558" s="39">
        <f t="shared" si="111"/>
        <v>2.4929184252104816E-4</v>
      </c>
      <c r="M558" s="39">
        <f t="shared" si="111"/>
        <v>7.7090229294023485E-4</v>
      </c>
      <c r="N558" s="39">
        <f t="shared" si="111"/>
        <v>2.1396348387152301E-3</v>
      </c>
      <c r="O558" s="39">
        <f t="shared" si="111"/>
        <v>5.3676853107373574E-3</v>
      </c>
      <c r="P558" s="39">
        <f t="shared" si="111"/>
        <v>1.2246094194220132E-2</v>
      </c>
      <c r="Q558" s="39">
        <f t="shared" si="111"/>
        <v>2.5546524641902386E-2</v>
      </c>
      <c r="R558" s="39">
        <f t="shared" si="111"/>
        <v>4.8971151584218262E-2</v>
      </c>
      <c r="S558" s="39">
        <f t="shared" si="111"/>
        <v>8.6663573086600124E-2</v>
      </c>
      <c r="T558" s="39">
        <f t="shared" si="111"/>
        <v>0.1422206318635488</v>
      </c>
      <c r="U558" s="39">
        <f t="shared" si="111"/>
        <v>0.21739534566460628</v>
      </c>
      <c r="V558" s="39">
        <f t="shared" si="111"/>
        <v>0.3109428069474871</v>
      </c>
      <c r="W558" s="37">
        <v>0.44500000000000001</v>
      </c>
    </row>
    <row r="559" spans="2:23" x14ac:dyDescent="0.25">
      <c r="B559" s="39">
        <f t="shared" si="110"/>
        <v>1.5167433420156082E-13</v>
      </c>
      <c r="C559" s="39">
        <f t="shared" si="110"/>
        <v>6.3008286628104609E-12</v>
      </c>
      <c r="D559" s="39">
        <f t="shared" si="110"/>
        <v>1.283704045032437E-10</v>
      </c>
      <c r="E559" s="39">
        <f t="shared" si="110"/>
        <v>1.7097860114645561E-9</v>
      </c>
      <c r="F559" s="39">
        <f t="shared" si="110"/>
        <v>1.6744497921521227E-8</v>
      </c>
      <c r="G559" s="39">
        <f t="shared" si="110"/>
        <v>1.2858182012335393E-7</v>
      </c>
      <c r="H559" s="39">
        <f t="shared" si="110"/>
        <v>8.0629264162797869E-7</v>
      </c>
      <c r="I559" s="39">
        <f t="shared" si="110"/>
        <v>4.2457347669219487E-6</v>
      </c>
      <c r="J559" s="39">
        <f t="shared" si="110"/>
        <v>1.916158289612137E-5</v>
      </c>
      <c r="K559" s="39">
        <f t="shared" si="110"/>
        <v>7.5283011476633802E-5</v>
      </c>
      <c r="L559" s="39">
        <f t="shared" si="111"/>
        <v>2.6066991062647916E-4</v>
      </c>
      <c r="M559" s="39">
        <f t="shared" si="111"/>
        <v>8.0342670834422387E-4</v>
      </c>
      <c r="N559" s="39">
        <f t="shared" si="111"/>
        <v>2.2226149122913865E-3</v>
      </c>
      <c r="O559" s="39">
        <f t="shared" si="111"/>
        <v>5.5578312464801679E-3</v>
      </c>
      <c r="P559" s="39">
        <f t="shared" si="111"/>
        <v>1.2639471446481294E-2</v>
      </c>
      <c r="Q559" s="39">
        <f t="shared" si="111"/>
        <v>2.6284474077903013E-2</v>
      </c>
      <c r="R559" s="39">
        <f t="shared" si="111"/>
        <v>5.0231001874768734E-2</v>
      </c>
      <c r="S559" s="39">
        <f t="shared" si="111"/>
        <v>8.8626979294333358E-2</v>
      </c>
      <c r="T559" s="39">
        <f t="shared" si="111"/>
        <v>0.14502094507886376</v>
      </c>
      <c r="U559" s="39">
        <f t="shared" si="111"/>
        <v>0.22105825721814715</v>
      </c>
      <c r="V559" s="39">
        <f t="shared" si="111"/>
        <v>0.31534452427085907</v>
      </c>
      <c r="W559" s="37">
        <v>0.44400000000000001</v>
      </c>
    </row>
    <row r="560" spans="2:23" x14ac:dyDescent="0.25">
      <c r="B560" s="39">
        <f t="shared" si="110"/>
        <v>1.6666295715136591E-13</v>
      </c>
      <c r="C560" s="39">
        <f t="shared" si="110"/>
        <v>6.8948496998370281E-12</v>
      </c>
      <c r="D560" s="39">
        <f t="shared" si="110"/>
        <v>1.3989299952584854E-10</v>
      </c>
      <c r="E560" s="39">
        <f t="shared" si="110"/>
        <v>1.85558594620679E-9</v>
      </c>
      <c r="F560" s="39">
        <f t="shared" si="110"/>
        <v>1.8097750216326117E-8</v>
      </c>
      <c r="G560" s="39">
        <f t="shared" si="110"/>
        <v>1.3840468194902245E-7</v>
      </c>
      <c r="H560" s="39">
        <f t="shared" si="110"/>
        <v>8.6434894005189951E-7</v>
      </c>
      <c r="I560" s="39">
        <f t="shared" si="110"/>
        <v>4.5329601015360868E-6</v>
      </c>
      <c r="J560" s="39">
        <f t="shared" si="110"/>
        <v>2.0375190013849284E-5</v>
      </c>
      <c r="K560" s="39">
        <f t="shared" si="110"/>
        <v>7.9729412072284466E-5</v>
      </c>
      <c r="L560" s="39">
        <f t="shared" si="111"/>
        <v>2.7496381060848857E-4</v>
      </c>
      <c r="M560" s="39">
        <f t="shared" si="111"/>
        <v>8.4412702908558731E-4</v>
      </c>
      <c r="N560" s="39">
        <f t="shared" si="111"/>
        <v>2.3260501080167241E-3</v>
      </c>
      <c r="O560" s="39">
        <f t="shared" si="111"/>
        <v>5.7939268143187405E-3</v>
      </c>
      <c r="P560" s="39">
        <f t="shared" si="111"/>
        <v>1.3126008993357247E-2</v>
      </c>
      <c r="Q560" s="39">
        <f t="shared" si="111"/>
        <v>2.7193633667849972E-2</v>
      </c>
      <c r="R560" s="39">
        <f t="shared" si="111"/>
        <v>5.177710667373573E-2</v>
      </c>
      <c r="S560" s="39">
        <f t="shared" si="111"/>
        <v>9.1027119899621797E-2</v>
      </c>
      <c r="T560" s="39">
        <f t="shared" si="111"/>
        <v>0.14843083013079078</v>
      </c>
      <c r="U560" s="39">
        <f t="shared" si="111"/>
        <v>0.22550115409557567</v>
      </c>
      <c r="V560" s="39">
        <f t="shared" si="111"/>
        <v>0.32066277353490036</v>
      </c>
      <c r="W560" s="37">
        <v>0.443</v>
      </c>
    </row>
    <row r="561" spans="2:23" x14ac:dyDescent="0.25">
      <c r="B561" s="39">
        <f t="shared" si="110"/>
        <v>1.8310030832293723E-13</v>
      </c>
      <c r="C561" s="39">
        <f t="shared" si="110"/>
        <v>7.5435246343727387E-12</v>
      </c>
      <c r="D561" s="39">
        <f t="shared" si="110"/>
        <v>1.5242241014589461E-10</v>
      </c>
      <c r="E561" s="39">
        <f t="shared" si="110"/>
        <v>2.0134533937513132E-9</v>
      </c>
      <c r="F561" s="39">
        <f t="shared" si="110"/>
        <v>1.9556795608173579E-8</v>
      </c>
      <c r="G561" s="39">
        <f t="shared" si="110"/>
        <v>1.4895055888425714E-7</v>
      </c>
      <c r="H561" s="39">
        <f t="shared" si="110"/>
        <v>9.2641418852766949E-7</v>
      </c>
      <c r="I561" s="39">
        <f t="shared" si="110"/>
        <v>4.838716990249319E-6</v>
      </c>
      <c r="J561" s="39">
        <f t="shared" si="110"/>
        <v>2.1661619037652422E-5</v>
      </c>
      <c r="K561" s="39">
        <f t="shared" si="110"/>
        <v>8.4422626193088036E-5</v>
      </c>
      <c r="L561" s="39">
        <f t="shared" si="111"/>
        <v>2.8998714877981585E-4</v>
      </c>
      <c r="M561" s="39">
        <f t="shared" si="111"/>
        <v>8.8672288171937703E-4</v>
      </c>
      <c r="N561" s="39">
        <f t="shared" si="111"/>
        <v>2.4338433318256431E-3</v>
      </c>
      <c r="O561" s="39">
        <f t="shared" si="111"/>
        <v>6.038925890092142E-3</v>
      </c>
      <c r="P561" s="39">
        <f t="shared" si="111"/>
        <v>1.3628752326027699E-2</v>
      </c>
      <c r="Q561" s="39">
        <f t="shared" si="111"/>
        <v>2.8129089494267456E-2</v>
      </c>
      <c r="R561" s="39">
        <f t="shared" si="111"/>
        <v>5.3361179500735371E-2</v>
      </c>
      <c r="S561" s="39">
        <f t="shared" si="111"/>
        <v>9.3475764806244185E-2</v>
      </c>
      <c r="T561" s="39">
        <f t="shared" si="111"/>
        <v>0.15189485999475008</v>
      </c>
      <c r="U561" s="39">
        <f t="shared" si="111"/>
        <v>0.22999544041922626</v>
      </c>
      <c r="V561" s="39">
        <f t="shared" si="111"/>
        <v>0.32601969970233763</v>
      </c>
      <c r="W561" s="37">
        <v>0.442</v>
      </c>
    </row>
    <row r="562" spans="2:23" x14ac:dyDescent="0.25">
      <c r="B562" s="39">
        <f t="shared" si="110"/>
        <v>2.0112328927250478E-13</v>
      </c>
      <c r="C562" s="39">
        <f t="shared" si="110"/>
        <v>8.2517577889799678E-12</v>
      </c>
      <c r="D562" s="39">
        <f t="shared" si="110"/>
        <v>1.6604419398324572E-10</v>
      </c>
      <c r="E562" s="39">
        <f t="shared" si="110"/>
        <v>2.1843565138685968E-9</v>
      </c>
      <c r="F562" s="39">
        <f t="shared" si="110"/>
        <v>2.1129619607183206E-8</v>
      </c>
      <c r="G562" s="39">
        <f t="shared" si="110"/>
        <v>1.602705946553922E-7</v>
      </c>
      <c r="H562" s="39">
        <f t="shared" si="110"/>
        <v>9.9275293042667631E-7</v>
      </c>
      <c r="I562" s="39">
        <f t="shared" si="110"/>
        <v>5.1641401600731076E-6</v>
      </c>
      <c r="J562" s="39">
        <f t="shared" si="110"/>
        <v>2.3024981692481593E-5</v>
      </c>
      <c r="K562" s="39">
        <f t="shared" si="110"/>
        <v>8.9375407255258424E-5</v>
      </c>
      <c r="L562" s="39">
        <f t="shared" si="111"/>
        <v>3.0577409963738344E-4</v>
      </c>
      <c r="M562" s="39">
        <f t="shared" si="111"/>
        <v>9.312938465756668E-4</v>
      </c>
      <c r="N562" s="39">
        <f t="shared" si="111"/>
        <v>2.5461560504061293E-3</v>
      </c>
      <c r="O562" s="39">
        <f t="shared" si="111"/>
        <v>6.2931135933226258E-3</v>
      </c>
      <c r="P562" s="39">
        <f t="shared" si="111"/>
        <v>1.4148136694632314E-2</v>
      </c>
      <c r="Q562" s="39">
        <f t="shared" si="111"/>
        <v>2.9091406489118881E-2</v>
      </c>
      <c r="R562" s="39">
        <f t="shared" si="111"/>
        <v>5.4983819520839881E-2</v>
      </c>
      <c r="S562" s="39">
        <f t="shared" si="111"/>
        <v>9.5973376201151428E-2</v>
      </c>
      <c r="T562" s="39">
        <f t="shared" si="111"/>
        <v>0.15541315744382184</v>
      </c>
      <c r="U562" s="39">
        <f t="shared" si="111"/>
        <v>0.23454074909413422</v>
      </c>
      <c r="V562" s="39">
        <f t="shared" si="111"/>
        <v>0.33141443168738477</v>
      </c>
      <c r="W562" s="37">
        <v>0.441</v>
      </c>
    </row>
    <row r="563" spans="2:23" x14ac:dyDescent="0.25">
      <c r="B563" s="39">
        <f t="shared" ref="B563:K572" si="112">_xlfn.HYPGEOM.DIST(B$2,comau,tongtheN*$W563,tongtheN,TRUE)</f>
        <v>2.1746116792672843E-13</v>
      </c>
      <c r="C563" s="39">
        <f t="shared" si="112"/>
        <v>8.891281895548317E-12</v>
      </c>
      <c r="D563" s="39">
        <f t="shared" si="112"/>
        <v>1.7829672870081918E-10</v>
      </c>
      <c r="E563" s="39">
        <f t="shared" si="112"/>
        <v>2.3374839136341307E-9</v>
      </c>
      <c r="F563" s="39">
        <f t="shared" si="112"/>
        <v>2.2533382212934541E-8</v>
      </c>
      <c r="G563" s="39">
        <f t="shared" si="112"/>
        <v>1.703346179475317E-7</v>
      </c>
      <c r="H563" s="39">
        <f t="shared" si="112"/>
        <v>1.0515020040442667E-6</v>
      </c>
      <c r="I563" s="39">
        <f t="shared" si="112"/>
        <v>5.4512128549206272E-6</v>
      </c>
      <c r="J563" s="39">
        <f t="shared" si="112"/>
        <v>2.4223001771283303E-5</v>
      </c>
      <c r="K563" s="39">
        <f t="shared" si="112"/>
        <v>9.3710623707053963E-5</v>
      </c>
      <c r="L563" s="39">
        <f t="shared" ref="L563:V572" si="113">_xlfn.HYPGEOM.DIST(L$2,comau,tongtheN*$W563,tongtheN,TRUE)</f>
        <v>3.1953885601255876E-4</v>
      </c>
      <c r="M563" s="39">
        <f t="shared" si="113"/>
        <v>9.7000450760319906E-4</v>
      </c>
      <c r="N563" s="39">
        <f t="shared" si="113"/>
        <v>2.6433222986269197E-3</v>
      </c>
      <c r="O563" s="39">
        <f t="shared" si="113"/>
        <v>6.5121663063570446E-3</v>
      </c>
      <c r="P563" s="39">
        <f t="shared" si="113"/>
        <v>1.4593988204083783E-2</v>
      </c>
      <c r="Q563" s="39">
        <f t="shared" si="113"/>
        <v>2.9914267434450453E-2</v>
      </c>
      <c r="R563" s="39">
        <f t="shared" si="113"/>
        <v>5.6365911882857195E-2</v>
      </c>
      <c r="S563" s="39">
        <f t="shared" si="113"/>
        <v>9.8092449604287965E-2</v>
      </c>
      <c r="T563" s="39">
        <f t="shared" si="113"/>
        <v>0.15838660029906937</v>
      </c>
      <c r="U563" s="39">
        <f t="shared" si="113"/>
        <v>0.23836719866238185</v>
      </c>
      <c r="V563" s="39">
        <f t="shared" si="113"/>
        <v>0.33593827665634973</v>
      </c>
      <c r="W563" s="37">
        <v>0.44</v>
      </c>
    </row>
    <row r="564" spans="2:23" x14ac:dyDescent="0.25">
      <c r="B564" s="39">
        <f t="shared" si="112"/>
        <v>2.3878944372762499E-13</v>
      </c>
      <c r="C564" s="39">
        <f t="shared" si="112"/>
        <v>9.722891368859377E-12</v>
      </c>
      <c r="D564" s="39">
        <f t="shared" si="112"/>
        <v>1.9416724081397053E-10</v>
      </c>
      <c r="E564" s="39">
        <f t="shared" si="112"/>
        <v>2.5350536689143423E-9</v>
      </c>
      <c r="F564" s="39">
        <f t="shared" si="112"/>
        <v>2.433749565284271E-8</v>
      </c>
      <c r="G564" s="39">
        <f t="shared" si="112"/>
        <v>1.8321843317335287E-7</v>
      </c>
      <c r="H564" s="39">
        <f t="shared" si="112"/>
        <v>1.1264183561497313E-6</v>
      </c>
      <c r="I564" s="39">
        <f t="shared" si="112"/>
        <v>5.8158578800815178E-6</v>
      </c>
      <c r="J564" s="39">
        <f t="shared" si="112"/>
        <v>2.5738813883834629E-5</v>
      </c>
      <c r="K564" s="39">
        <f t="shared" si="112"/>
        <v>9.917442622129301E-5</v>
      </c>
      <c r="L564" s="39">
        <f t="shared" si="113"/>
        <v>3.3681933313462994E-4</v>
      </c>
      <c r="M564" s="39">
        <f t="shared" si="113"/>
        <v>1.0184129201844126E-3</v>
      </c>
      <c r="N564" s="39">
        <f t="shared" si="113"/>
        <v>2.7643566932694544E-3</v>
      </c>
      <c r="O564" s="39">
        <f t="shared" si="113"/>
        <v>6.7839636320791439E-3</v>
      </c>
      <c r="P564" s="39">
        <f t="shared" si="113"/>
        <v>1.5145036950322811E-2</v>
      </c>
      <c r="Q564" s="39">
        <f t="shared" si="113"/>
        <v>3.0927314263508893E-2</v>
      </c>
      <c r="R564" s="39">
        <f t="shared" si="113"/>
        <v>5.806080958564195E-2</v>
      </c>
      <c r="S564" s="39">
        <f t="shared" si="113"/>
        <v>0.10068099530250682</v>
      </c>
      <c r="T564" s="39">
        <f t="shared" si="113"/>
        <v>0.1620046364523775</v>
      </c>
      <c r="U564" s="39">
        <f t="shared" si="113"/>
        <v>0.24300500732493194</v>
      </c>
      <c r="V564" s="39">
        <f t="shared" si="113"/>
        <v>0.34139998031323909</v>
      </c>
      <c r="W564" s="37">
        <v>0.439</v>
      </c>
    </row>
    <row r="565" spans="2:23" x14ac:dyDescent="0.25">
      <c r="B565" s="39">
        <f t="shared" si="112"/>
        <v>2.6216374794410692E-13</v>
      </c>
      <c r="C565" s="39">
        <f t="shared" si="112"/>
        <v>1.0630407242317767E-11</v>
      </c>
      <c r="D565" s="39">
        <f t="shared" si="112"/>
        <v>2.1141280675342834E-10</v>
      </c>
      <c r="E565" s="39">
        <f t="shared" si="112"/>
        <v>2.7488294635252217E-9</v>
      </c>
      <c r="F565" s="39">
        <f t="shared" si="112"/>
        <v>2.628130343119254E-8</v>
      </c>
      <c r="G565" s="39">
        <f t="shared" si="112"/>
        <v>1.9704088917967474E-7</v>
      </c>
      <c r="H565" s="39">
        <f t="shared" si="112"/>
        <v>1.2064512376631508E-6</v>
      </c>
      <c r="I565" s="39">
        <f t="shared" si="112"/>
        <v>6.2037518913644434E-6</v>
      </c>
      <c r="J565" s="39">
        <f t="shared" si="112"/>
        <v>2.7344419771709533E-5</v>
      </c>
      <c r="K565" s="39">
        <f t="shared" si="112"/>
        <v>1.0493730144486437E-4</v>
      </c>
      <c r="L565" s="39">
        <f t="shared" si="113"/>
        <v>3.5496823874884664E-4</v>
      </c>
      <c r="M565" s="39">
        <f t="shared" si="113"/>
        <v>1.0690380196493776E-3</v>
      </c>
      <c r="N565" s="39">
        <f t="shared" si="113"/>
        <v>2.8903954269135254E-3</v>
      </c>
      <c r="O565" s="39">
        <f t="shared" si="113"/>
        <v>7.0657957167333356E-3</v>
      </c>
      <c r="P565" s="39">
        <f t="shared" si="113"/>
        <v>1.5714001413324474E-2</v>
      </c>
      <c r="Q565" s="39">
        <f t="shared" si="113"/>
        <v>3.1968850435559915E-2</v>
      </c>
      <c r="R565" s="39">
        <f t="shared" si="113"/>
        <v>5.9795963015246353E-2</v>
      </c>
      <c r="S565" s="39">
        <f t="shared" si="113"/>
        <v>0.10331975369180037</v>
      </c>
      <c r="T565" s="39">
        <f t="shared" si="113"/>
        <v>0.16567717137090099</v>
      </c>
      <c r="U565" s="39">
        <f t="shared" si="113"/>
        <v>0.24769265477321373</v>
      </c>
      <c r="V565" s="39">
        <f t="shared" si="113"/>
        <v>0.34689689719699202</v>
      </c>
      <c r="W565" s="37">
        <v>0.438</v>
      </c>
    </row>
    <row r="566" spans="2:23" x14ac:dyDescent="0.25">
      <c r="B566" s="39">
        <f t="shared" si="112"/>
        <v>2.8777597844927511E-13</v>
      </c>
      <c r="C566" s="39">
        <f t="shared" si="112"/>
        <v>1.1620586640558726E-11</v>
      </c>
      <c r="D566" s="39">
        <f t="shared" si="112"/>
        <v>2.3014928229251801E-10</v>
      </c>
      <c r="E566" s="39">
        <f t="shared" si="112"/>
        <v>2.9800996330787794E-9</v>
      </c>
      <c r="F566" s="39">
        <f t="shared" si="112"/>
        <v>2.8375246602976715E-8</v>
      </c>
      <c r="G566" s="39">
        <f t="shared" si="112"/>
        <v>2.1186767872961663E-7</v>
      </c>
      <c r="H566" s="39">
        <f t="shared" si="112"/>
        <v>1.2919343915674792E-6</v>
      </c>
      <c r="I566" s="39">
        <f t="shared" si="112"/>
        <v>6.6163005499254088E-6</v>
      </c>
      <c r="J566" s="39">
        <f t="shared" si="112"/>
        <v>2.9044819089890388E-5</v>
      </c>
      <c r="K566" s="39">
        <f t="shared" si="112"/>
        <v>1.1101446459112408E-4</v>
      </c>
      <c r="L566" s="39">
        <f t="shared" si="113"/>
        <v>3.7402555202301741E-4</v>
      </c>
      <c r="M566" s="39">
        <f t="shared" si="113"/>
        <v>1.121971020491636E-3</v>
      </c>
      <c r="N566" s="39">
        <f t="shared" si="113"/>
        <v>3.0216196148542111E-3</v>
      </c>
      <c r="O566" s="39">
        <f t="shared" si="113"/>
        <v>7.3579749698404534E-3</v>
      </c>
      <c r="P566" s="39">
        <f t="shared" si="113"/>
        <v>1.6301346044092842E-2</v>
      </c>
      <c r="Q566" s="39">
        <f t="shared" si="113"/>
        <v>3.303945965599768E-2</v>
      </c>
      <c r="R566" s="39">
        <f t="shared" si="113"/>
        <v>6.1571963605462965E-2</v>
      </c>
      <c r="S566" s="39">
        <f t="shared" si="113"/>
        <v>0.1060091406247987</v>
      </c>
      <c r="T566" s="39">
        <f t="shared" si="113"/>
        <v>0.16940424418106018</v>
      </c>
      <c r="U566" s="39">
        <f t="shared" si="113"/>
        <v>0.25242967242859748</v>
      </c>
      <c r="V566" s="39">
        <f t="shared" si="113"/>
        <v>0.35242806951983857</v>
      </c>
      <c r="W566" s="37">
        <v>0.437</v>
      </c>
    </row>
    <row r="567" spans="2:23" x14ac:dyDescent="0.25">
      <c r="B567" s="39">
        <f t="shared" si="112"/>
        <v>3.1097960099287268E-13</v>
      </c>
      <c r="C567" s="39">
        <f t="shared" si="112"/>
        <v>1.2514161007849345E-11</v>
      </c>
      <c r="D567" s="39">
        <f t="shared" si="112"/>
        <v>2.4699202441826855E-10</v>
      </c>
      <c r="E567" s="39">
        <f t="shared" si="112"/>
        <v>3.187186356620822E-9</v>
      </c>
      <c r="F567" s="39">
        <f t="shared" si="112"/>
        <v>3.0242937165508264E-8</v>
      </c>
      <c r="G567" s="39">
        <f t="shared" si="112"/>
        <v>2.2504096734996958E-7</v>
      </c>
      <c r="H567" s="39">
        <f t="shared" si="112"/>
        <v>1.367588815111031E-6</v>
      </c>
      <c r="I567" s="39">
        <f t="shared" si="112"/>
        <v>6.9799938734841659E-6</v>
      </c>
      <c r="J567" s="39">
        <f t="shared" si="112"/>
        <v>3.053801600967017E-5</v>
      </c>
      <c r="K567" s="39">
        <f t="shared" si="112"/>
        <v>1.1633031469254086E-4</v>
      </c>
      <c r="L567" s="39">
        <f t="shared" si="113"/>
        <v>3.9063054988339597E-4</v>
      </c>
      <c r="M567" s="39">
        <f t="shared" si="113"/>
        <v>1.1679128873482534E-3</v>
      </c>
      <c r="N567" s="39">
        <f t="shared" si="113"/>
        <v>3.1350686069546874E-3</v>
      </c>
      <c r="O567" s="39">
        <f t="shared" si="113"/>
        <v>7.60959221233393E-3</v>
      </c>
      <c r="P567" s="39">
        <f t="shared" si="113"/>
        <v>1.68051806037488E-2</v>
      </c>
      <c r="Q567" s="39">
        <f t="shared" si="113"/>
        <v>3.3954266715797841E-2</v>
      </c>
      <c r="R567" s="39">
        <f t="shared" si="113"/>
        <v>6.3083591373406189E-2</v>
      </c>
      <c r="S567" s="39">
        <f t="shared" si="113"/>
        <v>0.10828926177119932</v>
      </c>
      <c r="T567" s="39">
        <f t="shared" si="113"/>
        <v>0.17255181155072782</v>
      </c>
      <c r="U567" s="39">
        <f t="shared" si="113"/>
        <v>0.25641454405150454</v>
      </c>
      <c r="V567" s="39">
        <f t="shared" si="113"/>
        <v>0.35706284117297554</v>
      </c>
      <c r="W567" s="37">
        <v>0.436</v>
      </c>
    </row>
    <row r="568" spans="2:23" x14ac:dyDescent="0.25">
      <c r="B568" s="39">
        <f t="shared" si="112"/>
        <v>3.4125255605940651E-13</v>
      </c>
      <c r="C568" s="39">
        <f t="shared" si="112"/>
        <v>1.3675419607819496E-11</v>
      </c>
      <c r="D568" s="39">
        <f t="shared" si="112"/>
        <v>2.6879472608239516E-10</v>
      </c>
      <c r="E568" s="39">
        <f t="shared" si="112"/>
        <v>3.4542096181388E-9</v>
      </c>
      <c r="F568" s="39">
        <f t="shared" si="112"/>
        <v>3.2641776405458251E-8</v>
      </c>
      <c r="G568" s="39">
        <f t="shared" si="112"/>
        <v>2.4189445789726377E-7</v>
      </c>
      <c r="H568" s="39">
        <f t="shared" si="112"/>
        <v>1.4640004548452045E-6</v>
      </c>
      <c r="I568" s="39">
        <f t="shared" si="112"/>
        <v>7.4416621282445749E-6</v>
      </c>
      <c r="J568" s="39">
        <f t="shared" si="112"/>
        <v>3.2426056758510365E-5</v>
      </c>
      <c r="K568" s="39">
        <f t="shared" si="112"/>
        <v>1.2302556241092252E-4</v>
      </c>
      <c r="L568" s="39">
        <f t="shared" si="113"/>
        <v>4.1146262084762784E-4</v>
      </c>
      <c r="M568" s="39">
        <f t="shared" si="113"/>
        <v>1.2253247994073848E-3</v>
      </c>
      <c r="N568" s="39">
        <f t="shared" si="113"/>
        <v>3.2762878290677542E-3</v>
      </c>
      <c r="O568" s="39">
        <f t="shared" si="113"/>
        <v>7.9215770035087358E-3</v>
      </c>
      <c r="P568" s="39">
        <f t="shared" si="113"/>
        <v>1.7427453493486716E-2</v>
      </c>
      <c r="Q568" s="39">
        <f t="shared" si="113"/>
        <v>3.5079706819009904E-2</v>
      </c>
      <c r="R568" s="39">
        <f t="shared" si="113"/>
        <v>6.4936004039226225E-2</v>
      </c>
      <c r="S568" s="39">
        <f t="shared" si="113"/>
        <v>0.11107250303150897</v>
      </c>
      <c r="T568" s="39">
        <f t="shared" si="113"/>
        <v>0.1763788961787246</v>
      </c>
      <c r="U568" s="39">
        <f t="shared" si="113"/>
        <v>0.26124076848905592</v>
      </c>
      <c r="V568" s="39">
        <f t="shared" si="113"/>
        <v>0.36265425605570017</v>
      </c>
      <c r="W568" s="37">
        <v>0.435</v>
      </c>
    </row>
    <row r="569" spans="2:23" x14ac:dyDescent="0.25">
      <c r="B569" s="39">
        <f t="shared" si="112"/>
        <v>3.7440798812756888E-13</v>
      </c>
      <c r="C569" s="39">
        <f t="shared" si="112"/>
        <v>1.4941837644428972E-11</v>
      </c>
      <c r="D569" s="39">
        <f t="shared" si="112"/>
        <v>2.924706296968263E-10</v>
      </c>
      <c r="E569" s="39">
        <f t="shared" si="112"/>
        <v>3.7429405368557337E-9</v>
      </c>
      <c r="F569" s="39">
        <f t="shared" si="112"/>
        <v>3.5224590359664246E-8</v>
      </c>
      <c r="G569" s="39">
        <f t="shared" si="112"/>
        <v>2.5996326419107574E-7</v>
      </c>
      <c r="H569" s="39">
        <f t="shared" si="112"/>
        <v>1.5669244242171886E-6</v>
      </c>
      <c r="I569" s="39">
        <f t="shared" si="112"/>
        <v>7.9324167111588702E-6</v>
      </c>
      <c r="J569" s="39">
        <f t="shared" si="112"/>
        <v>3.4424504720946218E-5</v>
      </c>
      <c r="K569" s="39">
        <f t="shared" si="112"/>
        <v>1.3008215584008493E-4</v>
      </c>
      <c r="L569" s="39">
        <f t="shared" si="113"/>
        <v>4.3332551699878051E-4</v>
      </c>
      <c r="M569" s="39">
        <f t="shared" si="113"/>
        <v>1.2853210196451894E-3</v>
      </c>
      <c r="N569" s="39">
        <f t="shared" si="113"/>
        <v>3.4232353158206857E-3</v>
      </c>
      <c r="O569" s="39">
        <f t="shared" si="113"/>
        <v>8.2448341035758384E-3</v>
      </c>
      <c r="P569" s="39">
        <f t="shared" si="113"/>
        <v>1.806946330375258E-2</v>
      </c>
      <c r="Q569" s="39">
        <f t="shared" si="113"/>
        <v>3.6235896627796825E-2</v>
      </c>
      <c r="R569" s="39">
        <f t="shared" si="113"/>
        <v>6.6830921471499966E-2</v>
      </c>
      <c r="S569" s="39">
        <f t="shared" si="113"/>
        <v>0.11390747672636185</v>
      </c>
      <c r="T569" s="39">
        <f t="shared" si="113"/>
        <v>0.18026050446719905</v>
      </c>
      <c r="U569" s="39">
        <f t="shared" si="113"/>
        <v>0.2661148910646437</v>
      </c>
      <c r="V569" s="39">
        <f t="shared" si="113"/>
        <v>0.36827709665667302</v>
      </c>
      <c r="W569" s="37">
        <v>0.434</v>
      </c>
    </row>
    <row r="570" spans="2:23" x14ac:dyDescent="0.25">
      <c r="B570" s="39">
        <f t="shared" si="112"/>
        <v>4.1071423736599992E-13</v>
      </c>
      <c r="C570" s="39">
        <f t="shared" si="112"/>
        <v>1.6322702160163674E-11</v>
      </c>
      <c r="D570" s="39">
        <f t="shared" si="112"/>
        <v>3.1817622530412605E-10</v>
      </c>
      <c r="E570" s="39">
        <f t="shared" si="112"/>
        <v>4.0550891151757707E-9</v>
      </c>
      <c r="F570" s="39">
        <f t="shared" si="112"/>
        <v>3.8004994894986784E-8</v>
      </c>
      <c r="G570" s="39">
        <f t="shared" si="112"/>
        <v>2.7933153978862476E-7</v>
      </c>
      <c r="H570" s="39">
        <f t="shared" si="112"/>
        <v>1.6767806020796862E-6</v>
      </c>
      <c r="I570" s="39">
        <f t="shared" si="112"/>
        <v>8.453993935968115E-6</v>
      </c>
      <c r="J570" s="39">
        <f t="shared" si="112"/>
        <v>3.6539421241232959E-5</v>
      </c>
      <c r="K570" s="39">
        <f t="shared" si="112"/>
        <v>1.3751819116220609E-4</v>
      </c>
      <c r="L570" s="39">
        <f t="shared" si="113"/>
        <v>4.5626585616577448E-4</v>
      </c>
      <c r="M570" s="39">
        <f t="shared" si="113"/>
        <v>1.3480057351794256E-3</v>
      </c>
      <c r="N570" s="39">
        <f t="shared" si="113"/>
        <v>3.576113455166118E-3</v>
      </c>
      <c r="O570" s="39">
        <f t="shared" si="113"/>
        <v>8.5797043684284393E-3</v>
      </c>
      <c r="P570" s="39">
        <f t="shared" si="113"/>
        <v>1.873170312960851E-2</v>
      </c>
      <c r="Q570" s="39">
        <f t="shared" si="113"/>
        <v>3.7423435171528741E-2</v>
      </c>
      <c r="R570" s="39">
        <f t="shared" si="113"/>
        <v>6.8768920898705121E-2</v>
      </c>
      <c r="S570" s="39">
        <f t="shared" si="113"/>
        <v>0.11679454458082575</v>
      </c>
      <c r="T570" s="39">
        <f t="shared" si="113"/>
        <v>0.18419658609700607</v>
      </c>
      <c r="U570" s="39">
        <f t="shared" si="113"/>
        <v>0.27103634128601917</v>
      </c>
      <c r="V570" s="39">
        <f t="shared" si="113"/>
        <v>0.37393032475758431</v>
      </c>
      <c r="W570" s="37">
        <v>0.433</v>
      </c>
    </row>
    <row r="571" spans="2:23" x14ac:dyDescent="0.25">
      <c r="B571" s="39">
        <f t="shared" si="112"/>
        <v>4.4358674344204781E-13</v>
      </c>
      <c r="C571" s="39">
        <f t="shared" si="112"/>
        <v>1.756809823446063E-11</v>
      </c>
      <c r="D571" s="39">
        <f t="shared" si="112"/>
        <v>3.4126967076330689E-10</v>
      </c>
      <c r="E571" s="39">
        <f t="shared" si="112"/>
        <v>4.334424985057792E-9</v>
      </c>
      <c r="F571" s="39">
        <f t="shared" si="112"/>
        <v>4.0483428356539233E-8</v>
      </c>
      <c r="G571" s="39">
        <f t="shared" si="112"/>
        <v>2.9652897989256438E-7</v>
      </c>
      <c r="H571" s="39">
        <f t="shared" si="112"/>
        <v>1.7739435206828684E-6</v>
      </c>
      <c r="I571" s="39">
        <f t="shared" si="112"/>
        <v>8.9135066656718718E-6</v>
      </c>
      <c r="J571" s="39">
        <f t="shared" si="112"/>
        <v>3.8395407092162281E-5</v>
      </c>
      <c r="K571" s="39">
        <f t="shared" si="112"/>
        <v>1.4401836574972246E-4</v>
      </c>
      <c r="L571" s="39">
        <f t="shared" si="113"/>
        <v>4.7624078311539459E-4</v>
      </c>
      <c r="M571" s="39">
        <f t="shared" si="113"/>
        <v>1.4023743731863393E-3</v>
      </c>
      <c r="N571" s="39">
        <f t="shared" si="113"/>
        <v>3.7081922971060025E-3</v>
      </c>
      <c r="O571" s="39">
        <f t="shared" si="113"/>
        <v>8.8678852461322247E-3</v>
      </c>
      <c r="P571" s="39">
        <f t="shared" si="113"/>
        <v>1.9299383946505128E-2</v>
      </c>
      <c r="Q571" s="39">
        <f t="shared" si="113"/>
        <v>3.8437432071573435E-2</v>
      </c>
      <c r="R571" s="39">
        <f t="shared" si="113"/>
        <v>7.0417243391673642E-2</v>
      </c>
      <c r="S571" s="39">
        <f t="shared" si="113"/>
        <v>0.11924047893991803</v>
      </c>
      <c r="T571" s="39">
        <f t="shared" si="113"/>
        <v>0.18751821267520979</v>
      </c>
      <c r="U571" s="39">
        <f t="shared" si="113"/>
        <v>0.27517327295721777</v>
      </c>
      <c r="V571" s="39">
        <f t="shared" si="113"/>
        <v>0.37866379812155515</v>
      </c>
      <c r="W571" s="37">
        <v>0.432</v>
      </c>
    </row>
    <row r="572" spans="2:23" x14ac:dyDescent="0.25">
      <c r="B572" s="39">
        <f t="shared" si="112"/>
        <v>4.8644894562520149E-13</v>
      </c>
      <c r="C572" s="39">
        <f t="shared" si="112"/>
        <v>1.9185600615897533E-11</v>
      </c>
      <c r="D572" s="39">
        <f t="shared" si="112"/>
        <v>3.7114563871413907E-10</v>
      </c>
      <c r="E572" s="39">
        <f t="shared" si="112"/>
        <v>4.6943862922734709E-9</v>
      </c>
      <c r="F572" s="39">
        <f t="shared" si="112"/>
        <v>4.3664711190974508E-8</v>
      </c>
      <c r="G572" s="39">
        <f t="shared" si="112"/>
        <v>3.1851693155844391E-7</v>
      </c>
      <c r="H572" s="39">
        <f t="shared" si="112"/>
        <v>1.8976856296987722E-6</v>
      </c>
      <c r="I572" s="39">
        <f t="shared" si="112"/>
        <v>9.4964287999904138E-6</v>
      </c>
      <c r="J572" s="39">
        <f t="shared" si="112"/>
        <v>4.0740627912518543E-5</v>
      </c>
      <c r="K572" s="39">
        <f t="shared" si="112"/>
        <v>1.5219981470233708E-4</v>
      </c>
      <c r="L572" s="39">
        <f t="shared" si="113"/>
        <v>5.0128379555100793E-4</v>
      </c>
      <c r="M572" s="39">
        <f t="shared" si="113"/>
        <v>1.4702706611307904E-3</v>
      </c>
      <c r="N572" s="39">
        <f t="shared" si="113"/>
        <v>3.8724883308966867E-3</v>
      </c>
      <c r="O572" s="39">
        <f t="shared" si="113"/>
        <v>9.224956819881917E-3</v>
      </c>
      <c r="P572" s="39">
        <f t="shared" si="113"/>
        <v>2.0000017074912172E-2</v>
      </c>
      <c r="Q572" s="39">
        <f t="shared" si="113"/>
        <v>3.9684010046196899E-2</v>
      </c>
      <c r="R572" s="39">
        <f t="shared" si="113"/>
        <v>7.2435709303235854E-2</v>
      </c>
      <c r="S572" s="39">
        <f t="shared" si="113"/>
        <v>0.12222394075773065</v>
      </c>
      <c r="T572" s="39">
        <f t="shared" si="113"/>
        <v>0.19155395086552196</v>
      </c>
      <c r="U572" s="39">
        <f t="shared" si="113"/>
        <v>0.28017992092312644</v>
      </c>
      <c r="V572" s="39">
        <f t="shared" si="113"/>
        <v>0.38436997479930751</v>
      </c>
      <c r="W572" s="37">
        <v>0.43099999999999999</v>
      </c>
    </row>
    <row r="573" spans="2:23" x14ac:dyDescent="0.25">
      <c r="B573" s="39">
        <f t="shared" ref="B573:K582" si="114">_xlfn.HYPGEOM.DIST(B$2,comau,tongtheN*$W573,tongtheN,TRUE)</f>
        <v>5.3336217044912894E-13</v>
      </c>
      <c r="C573" s="39">
        <f t="shared" si="114"/>
        <v>2.0948429491625269E-11</v>
      </c>
      <c r="D573" s="39">
        <f t="shared" si="114"/>
        <v>4.0356701596060461E-10</v>
      </c>
      <c r="E573" s="39">
        <f t="shared" si="114"/>
        <v>5.0833502581819742E-9</v>
      </c>
      <c r="F573" s="39">
        <f t="shared" si="114"/>
        <v>4.7087654706592641E-8</v>
      </c>
      <c r="G573" s="39">
        <f t="shared" si="114"/>
        <v>3.4207425535126474E-7</v>
      </c>
      <c r="H573" s="39">
        <f t="shared" si="114"/>
        <v>2.0296942354428947E-6</v>
      </c>
      <c r="I573" s="39">
        <f t="shared" si="114"/>
        <v>1.0115639788264655E-5</v>
      </c>
      <c r="J573" s="39">
        <f t="shared" si="114"/>
        <v>4.3221218272542203E-5</v>
      </c>
      <c r="K573" s="39">
        <f t="shared" si="114"/>
        <v>1.608165859136629E-4</v>
      </c>
      <c r="L573" s="39">
        <f t="shared" ref="L573:V582" si="115">_xlfn.HYPGEOM.DIST(L$2,comau,tongtheN*$W573,tongtheN,TRUE)</f>
        <v>5.2754676061923962E-4</v>
      </c>
      <c r="M573" s="39">
        <f t="shared" si="115"/>
        <v>1.5411706049212586E-3</v>
      </c>
      <c r="N573" s="39">
        <f t="shared" si="115"/>
        <v>4.0433204133117654E-3</v>
      </c>
      <c r="O573" s="39">
        <f t="shared" si="115"/>
        <v>9.5946487331417425E-3</v>
      </c>
      <c r="P573" s="39">
        <f t="shared" si="115"/>
        <v>2.0722316852044984E-2</v>
      </c>
      <c r="Q573" s="39">
        <f t="shared" si="115"/>
        <v>4.0963651268515582E-2</v>
      </c>
      <c r="R573" s="39">
        <f t="shared" si="115"/>
        <v>7.4498864855765817E-2</v>
      </c>
      <c r="S573" s="39">
        <f t="shared" si="115"/>
        <v>0.12526043623714442</v>
      </c>
      <c r="T573" s="39">
        <f t="shared" si="115"/>
        <v>0.19564388731608748</v>
      </c>
      <c r="U573" s="39">
        <f t="shared" si="115"/>
        <v>0.28523213647017348</v>
      </c>
      <c r="V573" s="39">
        <f t="shared" si="115"/>
        <v>0.39010349158022828</v>
      </c>
      <c r="W573" s="37">
        <v>0.43</v>
      </c>
    </row>
    <row r="574" spans="2:23" x14ac:dyDescent="0.25">
      <c r="B574" s="39">
        <f t="shared" si="114"/>
        <v>5.8470076097521256E-13</v>
      </c>
      <c r="C574" s="39">
        <f t="shared" si="114"/>
        <v>2.2869318108041806E-11</v>
      </c>
      <c r="D574" s="39">
        <f t="shared" si="114"/>
        <v>4.3874465469334593E-10</v>
      </c>
      <c r="E574" s="39">
        <f t="shared" si="114"/>
        <v>5.5035808031836945E-9</v>
      </c>
      <c r="F574" s="39">
        <f t="shared" si="114"/>
        <v>5.0769968755992576E-8</v>
      </c>
      <c r="G574" s="39">
        <f t="shared" si="114"/>
        <v>3.6730846530705263E-7</v>
      </c>
      <c r="H574" s="39">
        <f t="shared" si="114"/>
        <v>2.1704961292343834E-6</v>
      </c>
      <c r="I574" s="39">
        <f t="shared" si="114"/>
        <v>1.0773278272609225E-5</v>
      </c>
      <c r="J574" s="39">
        <f t="shared" si="114"/>
        <v>4.5844504937494096E-5</v>
      </c>
      <c r="K574" s="39">
        <f t="shared" si="114"/>
        <v>1.6989013551596833E-4</v>
      </c>
      <c r="L574" s="39">
        <f t="shared" si="115"/>
        <v>5.5508385976892397E-4</v>
      </c>
      <c r="M574" s="39">
        <f t="shared" si="115"/>
        <v>1.6151927931851132E-3</v>
      </c>
      <c r="N574" s="39">
        <f t="shared" si="115"/>
        <v>4.2209138370375857E-3</v>
      </c>
      <c r="O574" s="39">
        <f t="shared" si="115"/>
        <v>9.9773312582671567E-3</v>
      </c>
      <c r="P574" s="39">
        <f t="shared" si="115"/>
        <v>2.146680401703643E-2</v>
      </c>
      <c r="Q574" s="39">
        <f t="shared" si="115"/>
        <v>4.2276966036849183E-2</v>
      </c>
      <c r="R574" s="39">
        <f t="shared" si="115"/>
        <v>7.660726612305592E-2</v>
      </c>
      <c r="S574" s="39">
        <f t="shared" si="115"/>
        <v>0.12835026520972398</v>
      </c>
      <c r="T574" s="39">
        <f t="shared" si="115"/>
        <v>0.19978787719006474</v>
      </c>
      <c r="U574" s="39">
        <f t="shared" si="115"/>
        <v>0.29032924799321119</v>
      </c>
      <c r="V574" s="39">
        <f t="shared" si="115"/>
        <v>0.39586323726334743</v>
      </c>
      <c r="W574" s="37">
        <v>0.42899999999999999</v>
      </c>
    </row>
    <row r="575" spans="2:23" x14ac:dyDescent="0.25">
      <c r="B575" s="39">
        <f t="shared" si="114"/>
        <v>6.4087286697165924E-13</v>
      </c>
      <c r="C575" s="39">
        <f t="shared" si="114"/>
        <v>2.4962086932101257E-11</v>
      </c>
      <c r="D575" s="39">
        <f t="shared" si="114"/>
        <v>4.7690637014082235E-10</v>
      </c>
      <c r="E575" s="39">
        <f t="shared" si="114"/>
        <v>5.9575127746996061E-9</v>
      </c>
      <c r="F575" s="39">
        <f t="shared" si="114"/>
        <v>5.473061225180046E-8</v>
      </c>
      <c r="G575" s="39">
        <f t="shared" si="114"/>
        <v>3.9433412051989911E-7</v>
      </c>
      <c r="H575" s="39">
        <f t="shared" si="114"/>
        <v>2.3206499637462089E-6</v>
      </c>
      <c r="I575" s="39">
        <f t="shared" si="114"/>
        <v>1.1471601329592951E-5</v>
      </c>
      <c r="J575" s="39">
        <f t="shared" si="114"/>
        <v>4.8618182432576893E-5</v>
      </c>
      <c r="K575" s="39">
        <f t="shared" si="114"/>
        <v>1.7944288296638979E-4</v>
      </c>
      <c r="L575" s="39">
        <f t="shared" si="115"/>
        <v>5.8395141144014159E-4</v>
      </c>
      <c r="M575" s="39">
        <f t="shared" si="115"/>
        <v>1.6924598171770139E-3</v>
      </c>
      <c r="N575" s="39">
        <f t="shared" si="115"/>
        <v>4.4055001368926653E-3</v>
      </c>
      <c r="O575" s="39">
        <f t="shared" si="115"/>
        <v>1.037338247346062E-2</v>
      </c>
      <c r="P575" s="39">
        <f t="shared" si="115"/>
        <v>2.2234006296471247E-2</v>
      </c>
      <c r="Q575" s="39">
        <f t="shared" si="115"/>
        <v>4.3624566846165461E-2</v>
      </c>
      <c r="R575" s="39">
        <f t="shared" si="115"/>
        <v>7.8761462464185791E-2</v>
      </c>
      <c r="S575" s="39">
        <f t="shared" si="115"/>
        <v>0.13149371009919444</v>
      </c>
      <c r="T575" s="39">
        <f t="shared" si="115"/>
        <v>0.2039857502624661</v>
      </c>
      <c r="U575" s="39">
        <f t="shared" si="115"/>
        <v>0.29547055779923853</v>
      </c>
      <c r="V575" s="39">
        <f t="shared" si="115"/>
        <v>0.40164808297238869</v>
      </c>
      <c r="W575" s="37">
        <v>0.42799999999999999</v>
      </c>
    </row>
    <row r="576" spans="2:23" x14ac:dyDescent="0.25">
      <c r="B576" s="39">
        <f t="shared" si="114"/>
        <v>6.9169504616941276E-13</v>
      </c>
      <c r="C576" s="39">
        <f t="shared" si="114"/>
        <v>2.6848141091389634E-11</v>
      </c>
      <c r="D576" s="39">
        <f t="shared" si="114"/>
        <v>5.1116427108998211E-10</v>
      </c>
      <c r="E576" s="39">
        <f t="shared" si="114"/>
        <v>6.3634166723997632E-9</v>
      </c>
      <c r="F576" s="39">
        <f t="shared" si="114"/>
        <v>5.8258359174219712E-8</v>
      </c>
      <c r="G576" s="39">
        <f t="shared" si="114"/>
        <v>4.1831177792441802E-7</v>
      </c>
      <c r="H576" s="39">
        <f t="shared" si="114"/>
        <v>2.4533482840240266E-6</v>
      </c>
      <c r="I576" s="39">
        <f t="shared" si="114"/>
        <v>1.2086330027620809E-5</v>
      </c>
      <c r="J576" s="39">
        <f t="shared" si="114"/>
        <v>5.1050278952330636E-5</v>
      </c>
      <c r="K576" s="39">
        <f t="shared" si="114"/>
        <v>1.8778642589412182E-4</v>
      </c>
      <c r="L576" s="39">
        <f t="shared" si="115"/>
        <v>6.0906617840262222E-4</v>
      </c>
      <c r="M576" s="39">
        <f t="shared" si="115"/>
        <v>1.7594189785344568E-3</v>
      </c>
      <c r="N576" s="39">
        <f t="shared" si="115"/>
        <v>4.5648352636951314E-3</v>
      </c>
      <c r="O576" s="39">
        <f t="shared" si="115"/>
        <v>1.0713915539017231E-2</v>
      </c>
      <c r="P576" s="39">
        <f t="shared" si="115"/>
        <v>2.2891078839064761E-2</v>
      </c>
      <c r="Q576" s="39">
        <f t="shared" si="115"/>
        <v>4.4774201430410721E-2</v>
      </c>
      <c r="R576" s="39">
        <f t="shared" si="115"/>
        <v>8.0591999783215823E-2</v>
      </c>
      <c r="S576" s="39">
        <f t="shared" si="115"/>
        <v>0.13415439548511734</v>
      </c>
      <c r="T576" s="39">
        <f t="shared" si="115"/>
        <v>0.20752499805568411</v>
      </c>
      <c r="U576" s="39">
        <f t="shared" si="115"/>
        <v>0.29978822393646659</v>
      </c>
      <c r="V576" s="39">
        <f t="shared" si="115"/>
        <v>0.40648713511316947</v>
      </c>
      <c r="W576" s="37">
        <v>0.42699999999999999</v>
      </c>
    </row>
    <row r="577" spans="2:23" x14ac:dyDescent="0.25">
      <c r="B577" s="39">
        <f t="shared" si="114"/>
        <v>7.5791297723725249E-13</v>
      </c>
      <c r="C577" s="39">
        <f t="shared" si="114"/>
        <v>2.9295893945296297E-11</v>
      </c>
      <c r="D577" s="39">
        <f t="shared" si="114"/>
        <v>5.5545015022944618E-10</v>
      </c>
      <c r="E577" s="39">
        <f t="shared" si="114"/>
        <v>6.8860762233870891E-9</v>
      </c>
      <c r="F577" s="39">
        <f t="shared" si="114"/>
        <v>6.2783001688831615E-8</v>
      </c>
      <c r="G577" s="39">
        <f t="shared" si="114"/>
        <v>4.4894444522602717E-7</v>
      </c>
      <c r="H577" s="39">
        <f t="shared" si="114"/>
        <v>2.6222113747806832E-6</v>
      </c>
      <c r="I577" s="39">
        <f t="shared" si="114"/>
        <v>1.2865521289096627E-5</v>
      </c>
      <c r="J577" s="39">
        <f t="shared" si="114"/>
        <v>5.4120945792485051E-5</v>
      </c>
      <c r="K577" s="39">
        <f t="shared" si="114"/>
        <v>1.9827928245477316E-4</v>
      </c>
      <c r="L577" s="39">
        <f t="shared" si="115"/>
        <v>6.4052654310066577E-4</v>
      </c>
      <c r="M577" s="39">
        <f t="shared" si="115"/>
        <v>1.8429669682096051E-3</v>
      </c>
      <c r="N577" s="39">
        <f t="shared" si="115"/>
        <v>4.7628643380170678E-3</v>
      </c>
      <c r="O577" s="39">
        <f t="shared" si="115"/>
        <v>1.1135484058458772E-2</v>
      </c>
      <c r="P577" s="39">
        <f t="shared" si="115"/>
        <v>2.370131885879025E-2</v>
      </c>
      <c r="Q577" s="39">
        <f t="shared" si="115"/>
        <v>4.6186256731197667E-2</v>
      </c>
      <c r="R577" s="39">
        <f t="shared" si="115"/>
        <v>8.2831556240807708E-2</v>
      </c>
      <c r="S577" s="39">
        <f t="shared" si="115"/>
        <v>0.13739680990621658</v>
      </c>
      <c r="T577" s="39">
        <f t="shared" si="115"/>
        <v>0.21182112954811191</v>
      </c>
      <c r="U577" s="39">
        <f t="shared" si="115"/>
        <v>0.30500866596238063</v>
      </c>
      <c r="V577" s="39">
        <f t="shared" si="115"/>
        <v>0.41231500935762222</v>
      </c>
      <c r="W577" s="37">
        <v>0.42599999999999999</v>
      </c>
    </row>
    <row r="578" spans="2:23" x14ac:dyDescent="0.25">
      <c r="B578" s="39">
        <f t="shared" si="114"/>
        <v>8.3033157577942068E-13</v>
      </c>
      <c r="C578" s="39">
        <f t="shared" si="114"/>
        <v>3.1961409792004451E-11</v>
      </c>
      <c r="D578" s="39">
        <f t="shared" si="114"/>
        <v>6.0346968867057388E-10</v>
      </c>
      <c r="E578" s="39">
        <f t="shared" si="114"/>
        <v>7.4503767066185739E-9</v>
      </c>
      <c r="F578" s="39">
        <f t="shared" si="114"/>
        <v>6.7647235424676898E-8</v>
      </c>
      <c r="G578" s="39">
        <f t="shared" si="114"/>
        <v>4.8173535163384968E-7</v>
      </c>
      <c r="H578" s="39">
        <f t="shared" si="114"/>
        <v>2.8021985647534247E-6</v>
      </c>
      <c r="I578" s="39">
        <f t="shared" si="114"/>
        <v>1.3692489854687531E-5</v>
      </c>
      <c r="J578" s="39">
        <f t="shared" si="114"/>
        <v>5.7365951785287076E-5</v>
      </c>
      <c r="K578" s="39">
        <f t="shared" si="114"/>
        <v>2.0932043030456169E-4</v>
      </c>
      <c r="L578" s="39">
        <f t="shared" si="115"/>
        <v>6.7348916407763276E-4</v>
      </c>
      <c r="M578" s="39">
        <f t="shared" si="115"/>
        <v>1.9301297919747688E-3</v>
      </c>
      <c r="N578" s="39">
        <f t="shared" si="115"/>
        <v>4.9685771569863346E-3</v>
      </c>
      <c r="O578" s="39">
        <f t="shared" si="115"/>
        <v>1.1571535261934524E-2</v>
      </c>
      <c r="P578" s="39">
        <f t="shared" si="115"/>
        <v>2.4535806161494412E-2</v>
      </c>
      <c r="Q578" s="39">
        <f t="shared" si="115"/>
        <v>4.7634342483759126E-2</v>
      </c>
      <c r="R578" s="39">
        <f t="shared" si="115"/>
        <v>8.5118423352657471E-2</v>
      </c>
      <c r="S578" s="39">
        <f t="shared" si="115"/>
        <v>0.14069354142336496</v>
      </c>
      <c r="T578" s="39">
        <f t="shared" si="115"/>
        <v>0.21617052175779239</v>
      </c>
      <c r="U578" s="39">
        <f t="shared" si="115"/>
        <v>0.31027118933545217</v>
      </c>
      <c r="V578" s="39">
        <f t="shared" si="115"/>
        <v>0.41816469448957055</v>
      </c>
      <c r="W578" s="37">
        <v>0.42499999999999999</v>
      </c>
    </row>
    <row r="579" spans="2:23" x14ac:dyDescent="0.25">
      <c r="B579" s="39">
        <f t="shared" si="114"/>
        <v>9.0951854820790888E-13</v>
      </c>
      <c r="C579" s="39">
        <f t="shared" si="114"/>
        <v>3.4863580486959438E-11</v>
      </c>
      <c r="D579" s="39">
        <f t="shared" si="114"/>
        <v>6.5552889418496741E-10</v>
      </c>
      <c r="E579" s="39">
        <f t="shared" si="114"/>
        <v>8.0595314878897022E-9</v>
      </c>
      <c r="F579" s="39">
        <f t="shared" si="114"/>
        <v>7.2875639689878859E-8</v>
      </c>
      <c r="G579" s="39">
        <f t="shared" si="114"/>
        <v>5.1683036762723987E-7</v>
      </c>
      <c r="H579" s="39">
        <f t="shared" si="114"/>
        <v>2.9940083353826979E-6</v>
      </c>
      <c r="I579" s="39">
        <f t="shared" si="114"/>
        <v>1.4570005856801863E-5</v>
      </c>
      <c r="J579" s="39">
        <f t="shared" si="114"/>
        <v>6.0794563205597578E-5</v>
      </c>
      <c r="K579" s="39">
        <f t="shared" si="114"/>
        <v>2.2093634776052049E-4</v>
      </c>
      <c r="L579" s="39">
        <f t="shared" si="115"/>
        <v>7.0801922639124771E-4</v>
      </c>
      <c r="M579" s="39">
        <f t="shared" si="115"/>
        <v>2.0210463647310165E-3</v>
      </c>
      <c r="N579" s="39">
        <f t="shared" si="115"/>
        <v>5.1822301909379602E-3</v>
      </c>
      <c r="O579" s="39">
        <f t="shared" si="115"/>
        <v>1.2022477532298112E-2</v>
      </c>
      <c r="P579" s="39">
        <f t="shared" si="115"/>
        <v>2.5395094154644048E-2</v>
      </c>
      <c r="Q579" s="39">
        <f t="shared" si="115"/>
        <v>4.9119076461895513E-2</v>
      </c>
      <c r="R579" s="39">
        <f t="shared" si="115"/>
        <v>8.7453119975551566E-2</v>
      </c>
      <c r="S579" s="39">
        <f t="shared" si="115"/>
        <v>0.14404480100209874</v>
      </c>
      <c r="T579" s="39">
        <f t="shared" si="115"/>
        <v>0.22057290477601474</v>
      </c>
      <c r="U579" s="39">
        <f t="shared" si="115"/>
        <v>0.31557499808677747</v>
      </c>
      <c r="V579" s="39">
        <f t="shared" si="115"/>
        <v>0.42403499960218344</v>
      </c>
      <c r="W579" s="37">
        <v>0.42399999999999999</v>
      </c>
    </row>
    <row r="580" spans="2:23" x14ac:dyDescent="0.25">
      <c r="B580" s="39">
        <f t="shared" si="114"/>
        <v>9.8112257005416134E-13</v>
      </c>
      <c r="C580" s="39">
        <f t="shared" si="114"/>
        <v>3.747756483114724E-11</v>
      </c>
      <c r="D580" s="39">
        <f t="shared" si="114"/>
        <v>7.022349869976955E-10</v>
      </c>
      <c r="E580" s="39">
        <f t="shared" si="114"/>
        <v>8.6039078404174138E-9</v>
      </c>
      <c r="F580" s="39">
        <f t="shared" si="114"/>
        <v>7.7529742421943266E-8</v>
      </c>
      <c r="G580" s="39">
        <f t="shared" si="114"/>
        <v>5.4794803825162888E-7</v>
      </c>
      <c r="H580" s="39">
        <f t="shared" si="114"/>
        <v>3.1634135632827703E-6</v>
      </c>
      <c r="I580" s="39">
        <f t="shared" si="114"/>
        <v>1.5341984334899818E-5</v>
      </c>
      <c r="J580" s="39">
        <f t="shared" si="114"/>
        <v>6.3798993259589338E-5</v>
      </c>
      <c r="K580" s="39">
        <f t="shared" si="114"/>
        <v>2.310752432461887E-4</v>
      </c>
      <c r="L580" s="39">
        <f t="shared" si="115"/>
        <v>7.380403820141545E-4</v>
      </c>
      <c r="M580" s="39">
        <f t="shared" si="115"/>
        <v>2.0997809655013311E-3</v>
      </c>
      <c r="N580" s="39">
        <f t="shared" si="115"/>
        <v>5.3665295322290309E-3</v>
      </c>
      <c r="O580" s="39">
        <f t="shared" si="115"/>
        <v>1.2409938023692432E-2</v>
      </c>
      <c r="P580" s="39">
        <f t="shared" si="115"/>
        <v>2.6130516115237243E-2</v>
      </c>
      <c r="Q580" s="39">
        <f t="shared" si="115"/>
        <v>5.0384796001402506E-2</v>
      </c>
      <c r="R580" s="39">
        <f t="shared" si="115"/>
        <v>8.943560488935523E-2</v>
      </c>
      <c r="S580" s="39">
        <f t="shared" si="115"/>
        <v>0.14687930918733405</v>
      </c>
      <c r="T580" s="39">
        <f t="shared" si="115"/>
        <v>0.22428182331197896</v>
      </c>
      <c r="U580" s="39">
        <f t="shared" si="115"/>
        <v>0.32002578455808256</v>
      </c>
      <c r="V580" s="39">
        <f t="shared" si="115"/>
        <v>0.42894180260851195</v>
      </c>
      <c r="W580" s="37">
        <v>0.42299999999999999</v>
      </c>
    </row>
    <row r="581" spans="2:23" x14ac:dyDescent="0.25">
      <c r="B581" s="39">
        <f t="shared" si="114"/>
        <v>1.0743643301837732E-12</v>
      </c>
      <c r="C581" s="39">
        <f t="shared" si="114"/>
        <v>4.0868059898367163E-11</v>
      </c>
      <c r="D581" s="39">
        <f t="shared" si="114"/>
        <v>7.6257713760642049E-10</v>
      </c>
      <c r="E581" s="39">
        <f t="shared" si="114"/>
        <v>9.3044489614387036E-9</v>
      </c>
      <c r="F581" s="39">
        <f t="shared" si="114"/>
        <v>8.3495388783727676E-8</v>
      </c>
      <c r="G581" s="39">
        <f t="shared" si="114"/>
        <v>5.8767778530771817E-7</v>
      </c>
      <c r="H581" s="39">
        <f t="shared" si="114"/>
        <v>3.3788517733636361E-6</v>
      </c>
      <c r="I581" s="39">
        <f t="shared" si="114"/>
        <v>1.6319870588506959E-5</v>
      </c>
      <c r="J581" s="39">
        <f t="shared" si="114"/>
        <v>6.7589807402681029E-5</v>
      </c>
      <c r="K581" s="39">
        <f t="shared" si="114"/>
        <v>2.4381755740022999E-4</v>
      </c>
      <c r="L581" s="39">
        <f t="shared" si="115"/>
        <v>7.7562173018293863E-4</v>
      </c>
      <c r="M581" s="39">
        <f t="shared" si="115"/>
        <v>2.1979552823235262E-3</v>
      </c>
      <c r="N581" s="39">
        <f t="shared" si="115"/>
        <v>5.5954282548888274E-3</v>
      </c>
      <c r="O581" s="39">
        <f t="shared" si="115"/>
        <v>1.2889267744957853E-2</v>
      </c>
      <c r="P581" s="39">
        <f t="shared" si="115"/>
        <v>2.703673038104602E-2</v>
      </c>
      <c r="Q581" s="39">
        <f t="shared" si="115"/>
        <v>5.1938324305749156E-2</v>
      </c>
      <c r="R581" s="39">
        <f t="shared" si="115"/>
        <v>9.1859305545520534E-2</v>
      </c>
      <c r="S581" s="39">
        <f t="shared" si="115"/>
        <v>0.15033101859510359</v>
      </c>
      <c r="T581" s="39">
        <f t="shared" si="115"/>
        <v>0.22878056693662793</v>
      </c>
      <c r="U581" s="39">
        <f t="shared" si="115"/>
        <v>0.32540313283031408</v>
      </c>
      <c r="V581" s="39">
        <f t="shared" si="115"/>
        <v>0.43484676996758681</v>
      </c>
      <c r="W581" s="37">
        <v>0.42199999999999999</v>
      </c>
    </row>
    <row r="582" spans="2:23" x14ac:dyDescent="0.25">
      <c r="B582" s="39">
        <f t="shared" si="114"/>
        <v>1.1762738228250719E-12</v>
      </c>
      <c r="C582" s="39">
        <f t="shared" si="114"/>
        <v>4.4557853241700541E-11</v>
      </c>
      <c r="D582" s="39">
        <f t="shared" si="114"/>
        <v>8.2796456668362788E-10</v>
      </c>
      <c r="E582" s="39">
        <f t="shared" si="114"/>
        <v>1.0060309134940023E-8</v>
      </c>
      <c r="F582" s="39">
        <f t="shared" si="114"/>
        <v>8.9904524792412561E-8</v>
      </c>
      <c r="G582" s="39">
        <f t="shared" si="114"/>
        <v>6.301780598565114E-7</v>
      </c>
      <c r="H582" s="39">
        <f t="shared" si="114"/>
        <v>3.6083252101073835E-6</v>
      </c>
      <c r="I582" s="39">
        <f t="shared" si="114"/>
        <v>1.735699672793577E-5</v>
      </c>
      <c r="J582" s="39">
        <f t="shared" si="114"/>
        <v>7.1593023930224681E-5</v>
      </c>
      <c r="K582" s="39">
        <f t="shared" si="114"/>
        <v>2.5721611490706167E-4</v>
      </c>
      <c r="L582" s="39">
        <f t="shared" si="115"/>
        <v>8.1496903930158729E-4</v>
      </c>
      <c r="M582" s="39">
        <f t="shared" si="115"/>
        <v>2.300301856780373E-3</v>
      </c>
      <c r="N582" s="39">
        <f t="shared" si="115"/>
        <v>5.8330309328974827E-3</v>
      </c>
      <c r="O582" s="39">
        <f t="shared" si="115"/>
        <v>1.3384689022762512E-2</v>
      </c>
      <c r="P582" s="39">
        <f t="shared" si="115"/>
        <v>2.7969347366650191E-2</v>
      </c>
      <c r="Q582" s="39">
        <f t="shared" si="115"/>
        <v>5.3530252671251249E-2</v>
      </c>
      <c r="R582" s="39">
        <f t="shared" si="115"/>
        <v>9.4332253922172579E-2</v>
      </c>
      <c r="S582" s="39">
        <f t="shared" si="115"/>
        <v>0.15383774440006853</v>
      </c>
      <c r="T582" s="39">
        <f t="shared" si="115"/>
        <v>0.23333139191840649</v>
      </c>
      <c r="U582" s="39">
        <f t="shared" si="115"/>
        <v>0.33081937599004008</v>
      </c>
      <c r="V582" s="39">
        <f t="shared" si="115"/>
        <v>0.44076890603044455</v>
      </c>
      <c r="W582" s="37">
        <v>0.42099999999999999</v>
      </c>
    </row>
    <row r="583" spans="2:23" x14ac:dyDescent="0.25">
      <c r="B583" s="39">
        <f t="shared" ref="B583:K592" si="116">_xlfn.HYPGEOM.DIST(B$2,comau,tongtheN*$W583,tongtheN,TRUE)</f>
        <v>1.2876388715788627E-12</v>
      </c>
      <c r="C583" s="39">
        <f t="shared" si="116"/>
        <v>4.8572708207251614E-11</v>
      </c>
      <c r="D583" s="39">
        <f t="shared" si="116"/>
        <v>8.9880731886056768E-10</v>
      </c>
      <c r="E583" s="39">
        <f t="shared" si="116"/>
        <v>1.0875718637318459E-8</v>
      </c>
      <c r="F583" s="39">
        <f t="shared" si="116"/>
        <v>9.6788934894557563E-8</v>
      </c>
      <c r="G583" s="39">
        <f t="shared" si="116"/>
        <v>6.7563411234011285E-7</v>
      </c>
      <c r="H583" s="39">
        <f t="shared" si="116"/>
        <v>3.8527048021833257E-6</v>
      </c>
      <c r="I583" s="39">
        <f t="shared" si="116"/>
        <v>1.8456752943109853E-5</v>
      </c>
      <c r="J583" s="39">
        <f t="shared" si="116"/>
        <v>7.5819768958191352E-5</v>
      </c>
      <c r="K583" s="39">
        <f t="shared" si="116"/>
        <v>2.7130209056453668E-4</v>
      </c>
      <c r="L583" s="39">
        <f t="shared" ref="L583:V592" si="117">_xlfn.HYPGEOM.DIST(L$2,comau,tongtheN*$W583,tongtheN,TRUE)</f>
        <v>8.5615750742618253E-4</v>
      </c>
      <c r="M583" s="39">
        <f t="shared" si="117"/>
        <v>2.4069775372835009E-3</v>
      </c>
      <c r="N583" s="39">
        <f t="shared" si="117"/>
        <v>6.0796205254142789E-3</v>
      </c>
      <c r="O583" s="39">
        <f t="shared" si="117"/>
        <v>1.389664092470525E-2</v>
      </c>
      <c r="P583" s="39">
        <f t="shared" si="117"/>
        <v>2.892894399389833E-2</v>
      </c>
      <c r="Q583" s="39">
        <f t="shared" si="117"/>
        <v>5.5161198706121489E-2</v>
      </c>
      <c r="R583" s="39">
        <f t="shared" si="117"/>
        <v>9.6854930586812035E-2</v>
      </c>
      <c r="S583" s="39">
        <f t="shared" si="117"/>
        <v>0.15739961886297163</v>
      </c>
      <c r="T583" s="39">
        <f t="shared" si="117"/>
        <v>0.23793392568683033</v>
      </c>
      <c r="U583" s="39">
        <f t="shared" si="117"/>
        <v>0.33627362352324824</v>
      </c>
      <c r="V583" s="39">
        <f t="shared" si="117"/>
        <v>0.44670696766420204</v>
      </c>
      <c r="W583" s="37">
        <v>0.42</v>
      </c>
    </row>
    <row r="584" spans="2:23" x14ac:dyDescent="0.25">
      <c r="B584" s="39">
        <f t="shared" si="116"/>
        <v>1.3882826969463056E-12</v>
      </c>
      <c r="C584" s="39">
        <f t="shared" si="116"/>
        <v>5.2186808653390801E-11</v>
      </c>
      <c r="D584" s="39">
        <f t="shared" si="116"/>
        <v>9.6232834777547416E-10</v>
      </c>
      <c r="E584" s="39">
        <f t="shared" si="116"/>
        <v>1.1603983266741374E-8</v>
      </c>
      <c r="F584" s="39">
        <f t="shared" si="116"/>
        <v>1.029134419583589E-7</v>
      </c>
      <c r="G584" s="39">
        <f t="shared" si="116"/>
        <v>7.1591385513344926E-7</v>
      </c>
      <c r="H584" s="39">
        <f t="shared" si="116"/>
        <v>4.0684047683376182E-6</v>
      </c>
      <c r="I584" s="39">
        <f t="shared" si="116"/>
        <v>1.9423630195525867E-5</v>
      </c>
      <c r="J584" s="39">
        <f t="shared" si="116"/>
        <v>7.952120585446062E-5</v>
      </c>
      <c r="K584" s="39">
        <f t="shared" si="116"/>
        <v>2.835889310212051E-4</v>
      </c>
      <c r="L584" s="39">
        <f t="shared" si="117"/>
        <v>8.9194386655456277E-4</v>
      </c>
      <c r="M584" s="39">
        <f t="shared" si="117"/>
        <v>2.4992974726602731E-3</v>
      </c>
      <c r="N584" s="39">
        <f t="shared" si="117"/>
        <v>6.2921859427611179E-3</v>
      </c>
      <c r="O584" s="39">
        <f t="shared" si="117"/>
        <v>1.4336217384576128E-2</v>
      </c>
      <c r="P584" s="39">
        <f t="shared" si="117"/>
        <v>2.9749637469089051E-2</v>
      </c>
      <c r="Q584" s="39">
        <f t="shared" si="117"/>
        <v>5.655057044887047E-2</v>
      </c>
      <c r="R584" s="39">
        <f t="shared" si="117"/>
        <v>9.8995486932687241E-2</v>
      </c>
      <c r="S584" s="39">
        <f t="shared" si="117"/>
        <v>0.160410055475918</v>
      </c>
      <c r="T584" s="39">
        <f t="shared" si="117"/>
        <v>0.24180858271103856</v>
      </c>
      <c r="U584" s="39">
        <f t="shared" si="117"/>
        <v>0.34084720193381901</v>
      </c>
      <c r="V584" s="39">
        <f t="shared" si="117"/>
        <v>0.45166661262064212</v>
      </c>
      <c r="W584" s="37">
        <v>0.41899999999999998</v>
      </c>
    </row>
    <row r="585" spans="2:23" x14ac:dyDescent="0.25">
      <c r="B585" s="39">
        <f t="shared" si="116"/>
        <v>1.5192655234305238E-12</v>
      </c>
      <c r="C585" s="39">
        <f t="shared" si="116"/>
        <v>5.6871816127546437E-11</v>
      </c>
      <c r="D585" s="39">
        <f t="shared" si="116"/>
        <v>1.0443465894690662E-9</v>
      </c>
      <c r="E585" s="39">
        <f t="shared" si="116"/>
        <v>1.2540606707645773E-8</v>
      </c>
      <c r="F585" s="39">
        <f t="shared" si="116"/>
        <v>1.1075910827032779E-7</v>
      </c>
      <c r="G585" s="39">
        <f t="shared" si="116"/>
        <v>7.6730973231138698E-7</v>
      </c>
      <c r="H585" s="39">
        <f t="shared" si="116"/>
        <v>4.3425461416923409E-6</v>
      </c>
      <c r="I585" s="39">
        <f t="shared" si="116"/>
        <v>2.0647622747828596E-5</v>
      </c>
      <c r="J585" s="39">
        <f t="shared" si="116"/>
        <v>8.4188452144953545E-5</v>
      </c>
      <c r="K585" s="39">
        <f t="shared" si="116"/>
        <v>2.990206226694904E-4</v>
      </c>
      <c r="L585" s="39">
        <f t="shared" si="117"/>
        <v>9.3671249535771288E-4</v>
      </c>
      <c r="M585" s="39">
        <f t="shared" si="117"/>
        <v>2.6143337285840008E-3</v>
      </c>
      <c r="N585" s="39">
        <f t="shared" si="117"/>
        <v>6.5560102679717552E-3</v>
      </c>
      <c r="O585" s="39">
        <f t="shared" si="117"/>
        <v>1.4879642420488656E-2</v>
      </c>
      <c r="P585" s="39">
        <f t="shared" si="117"/>
        <v>3.0760213969254352E-2</v>
      </c>
      <c r="Q585" s="39">
        <f t="shared" si="117"/>
        <v>5.8254649289225843E-2</v>
      </c>
      <c r="R585" s="39">
        <f t="shared" si="117"/>
        <v>0.10161054238355641</v>
      </c>
      <c r="S585" s="39">
        <f t="shared" si="117"/>
        <v>0.16407330708839363</v>
      </c>
      <c r="T585" s="39">
        <f t="shared" si="117"/>
        <v>0.2465048581423441</v>
      </c>
      <c r="U585" s="39">
        <f t="shared" si="117"/>
        <v>0.34636873226736503</v>
      </c>
      <c r="V585" s="39">
        <f t="shared" si="117"/>
        <v>0.45763060345417395</v>
      </c>
      <c r="W585" s="37">
        <v>0.41799999999999998</v>
      </c>
    </row>
    <row r="586" spans="2:23" x14ac:dyDescent="0.25">
      <c r="B586" s="39">
        <f t="shared" si="116"/>
        <v>1.6623366298485541E-12</v>
      </c>
      <c r="C586" s="39">
        <f t="shared" si="116"/>
        <v>6.1967211652886994E-11</v>
      </c>
      <c r="D586" s="39">
        <f t="shared" si="116"/>
        <v>1.1331660013392103E-9</v>
      </c>
      <c r="E586" s="39">
        <f t="shared" si="116"/>
        <v>1.3550538573635546E-8</v>
      </c>
      <c r="F586" s="39">
        <f t="shared" si="116"/>
        <v>1.1918248624746792E-7</v>
      </c>
      <c r="G586" s="39">
        <f t="shared" si="116"/>
        <v>8.2225292976967701E-7</v>
      </c>
      <c r="H586" s="39">
        <f t="shared" si="116"/>
        <v>4.6343487774473351E-6</v>
      </c>
      <c r="I586" s="39">
        <f t="shared" si="116"/>
        <v>2.1944868232491977E-5</v>
      </c>
      <c r="J586" s="39">
        <f t="shared" si="116"/>
        <v>8.9113751872682602E-5</v>
      </c>
      <c r="K586" s="39">
        <f t="shared" si="116"/>
        <v>3.1523550573368792E-4</v>
      </c>
      <c r="L586" s="39">
        <f t="shared" si="117"/>
        <v>9.8355091158953663E-4</v>
      </c>
      <c r="M586" s="39">
        <f t="shared" si="117"/>
        <v>2.7341707640476148E-3</v>
      </c>
      <c r="N586" s="39">
        <f t="shared" si="117"/>
        <v>6.8296624080466739E-3</v>
      </c>
      <c r="O586" s="39">
        <f t="shared" si="117"/>
        <v>1.5440885674511302E-2</v>
      </c>
      <c r="P586" s="39">
        <f t="shared" si="117"/>
        <v>3.1799435050525612E-2</v>
      </c>
      <c r="Q586" s="39">
        <f t="shared" si="117"/>
        <v>5.9999488779423973E-2</v>
      </c>
      <c r="R586" s="39">
        <f t="shared" si="117"/>
        <v>0.1042766245372628</v>
      </c>
      <c r="S586" s="39">
        <f t="shared" si="117"/>
        <v>0.16779196291103968</v>
      </c>
      <c r="T586" s="39">
        <f t="shared" si="117"/>
        <v>0.25125163903791098</v>
      </c>
      <c r="U586" s="39">
        <f t="shared" si="117"/>
        <v>0.3519256153616438</v>
      </c>
      <c r="V586" s="39">
        <f t="shared" si="117"/>
        <v>0.46360693547917026</v>
      </c>
      <c r="W586" s="37">
        <v>0.41699999999999998</v>
      </c>
    </row>
    <row r="587" spans="2:23" x14ac:dyDescent="0.25">
      <c r="B587" s="39">
        <f t="shared" si="116"/>
        <v>1.818586825796337E-12</v>
      </c>
      <c r="C587" s="39">
        <f t="shared" si="116"/>
        <v>6.7508047667174257E-11</v>
      </c>
      <c r="D587" s="39">
        <f t="shared" si="116"/>
        <v>1.229334721457646E-9</v>
      </c>
      <c r="E587" s="39">
        <f t="shared" si="116"/>
        <v>1.4639334161111421E-8</v>
      </c>
      <c r="F587" s="39">
        <f t="shared" si="116"/>
        <v>1.2822457331731282E-7</v>
      </c>
      <c r="G587" s="39">
        <f t="shared" si="116"/>
        <v>8.8097809263316216E-7</v>
      </c>
      <c r="H587" s="39">
        <f t="shared" si="116"/>
        <v>4.9448956781060355E-6</v>
      </c>
      <c r="I587" s="39">
        <f t="shared" si="116"/>
        <v>2.3319503966832606E-5</v>
      </c>
      <c r="J587" s="39">
        <f t="shared" si="116"/>
        <v>9.4310424787599854E-5</v>
      </c>
      <c r="K587" s="39">
        <f t="shared" si="116"/>
        <v>3.3227017000421553E-4</v>
      </c>
      <c r="L587" s="39">
        <f t="shared" si="117"/>
        <v>1.0325455753143606E-3</v>
      </c>
      <c r="M587" s="39">
        <f t="shared" si="117"/>
        <v>2.8589850338756823E-3</v>
      </c>
      <c r="N587" s="39">
        <f t="shared" si="117"/>
        <v>7.1134532770158413E-3</v>
      </c>
      <c r="O587" s="39">
        <f t="shared" si="117"/>
        <v>1.6020416937810384E-2</v>
      </c>
      <c r="P587" s="39">
        <f t="shared" si="117"/>
        <v>3.2867898401793078E-2</v>
      </c>
      <c r="Q587" s="39">
        <f t="shared" si="117"/>
        <v>6.1785700319202816E-2</v>
      </c>
      <c r="R587" s="39">
        <f t="shared" si="117"/>
        <v>0.10699416765070589</v>
      </c>
      <c r="S587" s="39">
        <f t="shared" si="117"/>
        <v>0.17156606970008309</v>
      </c>
      <c r="T587" s="39">
        <f t="shared" si="117"/>
        <v>0.25604844829342127</v>
      </c>
      <c r="U587" s="39">
        <f t="shared" si="117"/>
        <v>0.35751687120067571</v>
      </c>
      <c r="V587" s="39">
        <f t="shared" si="117"/>
        <v>0.46959432400075785</v>
      </c>
      <c r="W587" s="37">
        <v>0.41599999999999998</v>
      </c>
    </row>
    <row r="588" spans="2:23" x14ac:dyDescent="0.25">
      <c r="B588" s="39">
        <f t="shared" si="116"/>
        <v>1.9597159723546075E-12</v>
      </c>
      <c r="C588" s="39">
        <f t="shared" si="116"/>
        <v>7.2492978173260217E-11</v>
      </c>
      <c r="D588" s="39">
        <f t="shared" si="116"/>
        <v>1.3155144081064673E-9</v>
      </c>
      <c r="E588" s="39">
        <f t="shared" si="116"/>
        <v>1.5611195454917212E-8</v>
      </c>
      <c r="F588" s="39">
        <f t="shared" si="116"/>
        <v>1.3626377775941501E-7</v>
      </c>
      <c r="G588" s="39">
        <f t="shared" si="116"/>
        <v>9.3298423829349596E-7</v>
      </c>
      <c r="H588" s="39">
        <f t="shared" si="116"/>
        <v>5.2188280017284332E-6</v>
      </c>
      <c r="I588" s="39">
        <f t="shared" si="116"/>
        <v>2.4527287069679074E-5</v>
      </c>
      <c r="J588" s="39">
        <f t="shared" si="116"/>
        <v>9.8858331353225736E-5</v>
      </c>
      <c r="K588" s="39">
        <f t="shared" si="116"/>
        <v>3.4711940750729474E-4</v>
      </c>
      <c r="L588" s="39">
        <f t="shared" si="117"/>
        <v>1.0750861519094961E-3</v>
      </c>
      <c r="M588" s="39">
        <f t="shared" si="117"/>
        <v>2.9669300110220236E-3</v>
      </c>
      <c r="N588" s="39">
        <f t="shared" si="117"/>
        <v>7.3579200358502433E-3</v>
      </c>
      <c r="O588" s="39">
        <f t="shared" si="117"/>
        <v>1.6517674109093536E-2</v>
      </c>
      <c r="P588" s="39">
        <f t="shared" si="117"/>
        <v>3.3781056962577327E-2</v>
      </c>
      <c r="Q588" s="39">
        <f t="shared" si="117"/>
        <v>6.330625283353998E-2</v>
      </c>
      <c r="R588" s="39">
        <f t="shared" si="117"/>
        <v>0.10929840139713888</v>
      </c>
      <c r="S588" s="39">
        <f t="shared" si="117"/>
        <v>0.17475353466285551</v>
      </c>
      <c r="T588" s="39">
        <f t="shared" si="117"/>
        <v>0.26008364227596914</v>
      </c>
      <c r="U588" s="39">
        <f t="shared" si="117"/>
        <v>0.36220178552260518</v>
      </c>
      <c r="V588" s="39">
        <f t="shared" si="117"/>
        <v>0.47459132728879511</v>
      </c>
      <c r="W588" s="37">
        <v>0.41499999999999998</v>
      </c>
    </row>
    <row r="589" spans="2:23" x14ac:dyDescent="0.25">
      <c r="B589" s="39">
        <f t="shared" si="116"/>
        <v>2.1432858824031965E-12</v>
      </c>
      <c r="C589" s="39">
        <f t="shared" si="116"/>
        <v>7.8951338081472669E-11</v>
      </c>
      <c r="D589" s="39">
        <f t="shared" si="116"/>
        <v>1.4267250648448688E-9</v>
      </c>
      <c r="E589" s="39">
        <f t="shared" si="116"/>
        <v>1.6860372928448103E-8</v>
      </c>
      <c r="F589" s="39">
        <f t="shared" si="116"/>
        <v>1.4655605077744718E-7</v>
      </c>
      <c r="G589" s="39">
        <f t="shared" si="116"/>
        <v>9.9930221419000759E-7</v>
      </c>
      <c r="H589" s="39">
        <f t="shared" si="116"/>
        <v>5.5667631059536008E-6</v>
      </c>
      <c r="I589" s="39">
        <f t="shared" si="116"/>
        <v>2.6055283328077749E-5</v>
      </c>
      <c r="J589" s="39">
        <f t="shared" si="116"/>
        <v>1.0458923690881175E-4</v>
      </c>
      <c r="K589" s="39">
        <f t="shared" si="116"/>
        <v>3.6575719042092656E-4</v>
      </c>
      <c r="L589" s="39">
        <f t="shared" si="117"/>
        <v>1.1282690312067322E-3</v>
      </c>
      <c r="M589" s="39">
        <f t="shared" si="117"/>
        <v>3.1013454925392877E-3</v>
      </c>
      <c r="N589" s="39">
        <f t="shared" si="117"/>
        <v>7.6611311020933631E-3</v>
      </c>
      <c r="O589" s="39">
        <f t="shared" si="117"/>
        <v>1.7131979982186629E-2</v>
      </c>
      <c r="P589" s="39">
        <f t="shared" si="117"/>
        <v>3.4904699536796209E-2</v>
      </c>
      <c r="Q589" s="39">
        <f t="shared" si="117"/>
        <v>6.5169891843252045E-2</v>
      </c>
      <c r="R589" s="39">
        <f t="shared" si="117"/>
        <v>0.11211137254658614</v>
      </c>
      <c r="S589" s="39">
        <f t="shared" si="117"/>
        <v>0.1786293452024327</v>
      </c>
      <c r="T589" s="39">
        <f t="shared" si="117"/>
        <v>0.26497083999415899</v>
      </c>
      <c r="U589" s="39">
        <f t="shared" si="117"/>
        <v>0.36785343885469068</v>
      </c>
      <c r="V589" s="39">
        <f t="shared" si="117"/>
        <v>0.48059562010602752</v>
      </c>
      <c r="W589" s="37">
        <v>0.41399999999999998</v>
      </c>
    </row>
    <row r="590" spans="2:23" x14ac:dyDescent="0.25">
      <c r="B590" s="39">
        <f t="shared" si="116"/>
        <v>2.3436759221901212E-12</v>
      </c>
      <c r="C590" s="39">
        <f t="shared" si="116"/>
        <v>8.5971092636021692E-11</v>
      </c>
      <c r="D590" s="39">
        <f t="shared" si="116"/>
        <v>1.5470819430179076E-9</v>
      </c>
      <c r="E590" s="39">
        <f t="shared" si="116"/>
        <v>1.8206460317405131E-8</v>
      </c>
      <c r="F590" s="39">
        <f t="shared" si="116"/>
        <v>1.5759899271765666E-7</v>
      </c>
      <c r="G590" s="39">
        <f t="shared" si="116"/>
        <v>1.0701504285498204E-6</v>
      </c>
      <c r="H590" s="39">
        <f t="shared" si="116"/>
        <v>5.9368637371607016E-6</v>
      </c>
      <c r="I590" s="39">
        <f t="shared" si="116"/>
        <v>2.7673615153086714E-5</v>
      </c>
      <c r="J590" s="39">
        <f t="shared" si="116"/>
        <v>1.1063278547511162E-4</v>
      </c>
      <c r="K590" s="39">
        <f t="shared" si="116"/>
        <v>3.8532698510157433E-4</v>
      </c>
      <c r="L590" s="39">
        <f t="shared" si="117"/>
        <v>1.1838705807920081E-3</v>
      </c>
      <c r="M590" s="39">
        <f t="shared" si="117"/>
        <v>3.2412678595378865E-3</v>
      </c>
      <c r="N590" s="39">
        <f t="shared" si="117"/>
        <v>7.9754029457255599E-3</v>
      </c>
      <c r="O590" s="39">
        <f t="shared" si="117"/>
        <v>1.7765948131897108E-2</v>
      </c>
      <c r="P590" s="39">
        <f t="shared" si="117"/>
        <v>3.6059303586320306E-2</v>
      </c>
      <c r="Q590" s="39">
        <f t="shared" si="117"/>
        <v>6.707661908718493E-2</v>
      </c>
      <c r="R590" s="39">
        <f t="shared" si="117"/>
        <v>0.11497696032942566</v>
      </c>
      <c r="S590" s="39">
        <f t="shared" si="117"/>
        <v>0.1825606109988715</v>
      </c>
      <c r="T590" s="39">
        <f t="shared" si="117"/>
        <v>0.26990656524762324</v>
      </c>
      <c r="U590" s="39">
        <f t="shared" si="117"/>
        <v>0.37353656832322868</v>
      </c>
      <c r="V590" s="39">
        <f t="shared" si="117"/>
        <v>0.48660728321748581</v>
      </c>
      <c r="W590" s="37">
        <v>0.41299999999999998</v>
      </c>
    </row>
    <row r="591" spans="2:23" x14ac:dyDescent="0.25">
      <c r="B591" s="39">
        <f t="shared" si="116"/>
        <v>2.5623930361413543E-12</v>
      </c>
      <c r="C591" s="39">
        <f t="shared" si="116"/>
        <v>9.3599822964299608E-11</v>
      </c>
      <c r="D591" s="39">
        <f t="shared" si="116"/>
        <v>1.6773160467459436E-9</v>
      </c>
      <c r="E591" s="39">
        <f t="shared" si="116"/>
        <v>1.9656735168780189E-8</v>
      </c>
      <c r="F591" s="39">
        <f t="shared" si="116"/>
        <v>1.69445351249982E-7</v>
      </c>
      <c r="G591" s="39">
        <f t="shared" si="116"/>
        <v>1.1458253168806231E-6</v>
      </c>
      <c r="H591" s="39">
        <f t="shared" si="116"/>
        <v>6.3304729676105732E-6</v>
      </c>
      <c r="I591" s="39">
        <f t="shared" si="116"/>
        <v>2.9387317392249037E-5</v>
      </c>
      <c r="J591" s="39">
        <f t="shared" si="116"/>
        <v>1.1700487572499032E-4</v>
      </c>
      <c r="K591" s="39">
        <f t="shared" si="116"/>
        <v>4.0587160233130834E-4</v>
      </c>
      <c r="L591" s="39">
        <f t="shared" si="117"/>
        <v>1.2419898753277857E-3</v>
      </c>
      <c r="M591" s="39">
        <f t="shared" si="117"/>
        <v>3.3868948940344759E-3</v>
      </c>
      <c r="N591" s="39">
        <f t="shared" si="117"/>
        <v>8.3010757763174754E-3</v>
      </c>
      <c r="O591" s="39">
        <f t="shared" si="117"/>
        <v>1.8420078719036732E-2</v>
      </c>
      <c r="P591" s="39">
        <f t="shared" si="117"/>
        <v>3.7245484206453343E-2</v>
      </c>
      <c r="Q591" s="39">
        <f t="shared" si="117"/>
        <v>6.9027033142587069E-2</v>
      </c>
      <c r="R591" s="39">
        <f t="shared" si="117"/>
        <v>0.11789554453844082</v>
      </c>
      <c r="S591" s="39">
        <f t="shared" si="117"/>
        <v>0.18654728708918758</v>
      </c>
      <c r="T591" s="39">
        <f t="shared" si="117"/>
        <v>0.27489023572494214</v>
      </c>
      <c r="U591" s="39">
        <f t="shared" si="117"/>
        <v>0.37925011074330317</v>
      </c>
      <c r="V591" s="39">
        <f t="shared" si="117"/>
        <v>0.49262500175097379</v>
      </c>
      <c r="W591" s="37">
        <v>0.41199999999999998</v>
      </c>
    </row>
    <row r="592" spans="2:23" x14ac:dyDescent="0.25">
      <c r="B592" s="39">
        <f t="shared" si="116"/>
        <v>2.7598353068271095E-12</v>
      </c>
      <c r="C592" s="39">
        <f t="shared" si="116"/>
        <v>1.0045932487457083E-10</v>
      </c>
      <c r="D592" s="39">
        <f t="shared" si="116"/>
        <v>1.7939560642717184E-9</v>
      </c>
      <c r="E592" s="39">
        <f t="shared" si="116"/>
        <v>2.0950499826054538E-8</v>
      </c>
      <c r="F592" s="39">
        <f t="shared" si="116"/>
        <v>1.799715493481335E-7</v>
      </c>
      <c r="G592" s="39">
        <f t="shared" si="116"/>
        <v>1.2128013987515357E-6</v>
      </c>
      <c r="H592" s="39">
        <f t="shared" si="116"/>
        <v>6.6774606735716566E-6</v>
      </c>
      <c r="I592" s="39">
        <f t="shared" si="116"/>
        <v>3.089206833303281E-5</v>
      </c>
      <c r="J592" s="39">
        <f t="shared" si="116"/>
        <v>1.2257790346354488E-4</v>
      </c>
      <c r="K592" s="39">
        <f t="shared" si="116"/>
        <v>4.2376887885650172E-4</v>
      </c>
      <c r="L592" s="39">
        <f t="shared" si="117"/>
        <v>1.2924198111671512E-3</v>
      </c>
      <c r="M592" s="39">
        <f t="shared" si="117"/>
        <v>3.5127552205515373E-3</v>
      </c>
      <c r="N592" s="39">
        <f t="shared" si="117"/>
        <v>8.5814297543069847E-3</v>
      </c>
      <c r="O592" s="39">
        <f t="shared" si="117"/>
        <v>1.8980955646329227E-2</v>
      </c>
      <c r="P592" s="39">
        <f t="shared" si="117"/>
        <v>3.8258535518301495E-2</v>
      </c>
      <c r="Q592" s="39">
        <f t="shared" si="117"/>
        <v>7.0686178802940966E-2</v>
      </c>
      <c r="R592" s="39">
        <f t="shared" si="117"/>
        <v>0.12036844468774804</v>
      </c>
      <c r="S592" s="39">
        <f t="shared" si="117"/>
        <v>0.18991179485250279</v>
      </c>
      <c r="T592" s="39">
        <f t="shared" si="117"/>
        <v>0.27907948022580631</v>
      </c>
      <c r="U592" s="39">
        <f t="shared" si="117"/>
        <v>0.38403384698849935</v>
      </c>
      <c r="V592" s="39">
        <f t="shared" si="117"/>
        <v>0.49764344013355899</v>
      </c>
      <c r="W592" s="37">
        <v>0.41099999999999998</v>
      </c>
    </row>
    <row r="593" spans="2:23" x14ac:dyDescent="0.25">
      <c r="B593" s="39">
        <f t="shared" ref="B593:K602" si="118">_xlfn.HYPGEOM.DIST(B$2,comau,tongtheN*$W593,tongtheN,TRUE)</f>
        <v>3.0165116166353281E-12</v>
      </c>
      <c r="C593" s="39">
        <f t="shared" si="118"/>
        <v>1.0934134679129663E-10</v>
      </c>
      <c r="D593" s="39">
        <f t="shared" si="118"/>
        <v>1.9443881367472997E-9</v>
      </c>
      <c r="E593" s="39">
        <f t="shared" si="118"/>
        <v>2.2612464325589896E-8</v>
      </c>
      <c r="F593" s="39">
        <f t="shared" si="118"/>
        <v>1.9343981237822816E-7</v>
      </c>
      <c r="G593" s="39">
        <f t="shared" si="118"/>
        <v>1.2981572644988502E-6</v>
      </c>
      <c r="H593" s="39">
        <f t="shared" si="118"/>
        <v>7.1179154237938467E-6</v>
      </c>
      <c r="I593" s="39">
        <f t="shared" si="118"/>
        <v>3.2794571561978368E-5</v>
      </c>
      <c r="J593" s="39">
        <f t="shared" si="118"/>
        <v>1.2959610029252285E-4</v>
      </c>
      <c r="K593" s="39">
        <f t="shared" si="118"/>
        <v>4.4621776718201052E-4</v>
      </c>
      <c r="L593" s="39">
        <f t="shared" ref="L593:V602" si="119">_xlfn.HYPGEOM.DIST(L$2,comau,tongtheN*$W593,tongtheN,TRUE)</f>
        <v>1.3554240616828173E-3</v>
      </c>
      <c r="M593" s="39">
        <f t="shared" si="119"/>
        <v>3.6693739951211501E-3</v>
      </c>
      <c r="N593" s="39">
        <f t="shared" si="119"/>
        <v>8.9289140757641602E-3</v>
      </c>
      <c r="O593" s="39">
        <f t="shared" si="119"/>
        <v>1.9673375607925665E-2</v>
      </c>
      <c r="P593" s="39">
        <f t="shared" si="119"/>
        <v>3.9504216835296715E-2</v>
      </c>
      <c r="Q593" s="39">
        <f t="shared" si="119"/>
        <v>7.2718224709160686E-2</v>
      </c>
      <c r="R593" s="39">
        <f t="shared" si="119"/>
        <v>0.12338512341487308</v>
      </c>
      <c r="S593" s="39">
        <f t="shared" si="119"/>
        <v>0.19399985694355848</v>
      </c>
      <c r="T593" s="39">
        <f t="shared" si="119"/>
        <v>0.28414944700199651</v>
      </c>
      <c r="U593" s="39">
        <f t="shared" si="119"/>
        <v>0.38980031749996757</v>
      </c>
      <c r="V593" s="39">
        <f t="shared" si="119"/>
        <v>0.50366882616008302</v>
      </c>
      <c r="W593" s="37">
        <v>0.41</v>
      </c>
    </row>
    <row r="594" spans="2:23" x14ac:dyDescent="0.25">
      <c r="B594" s="39">
        <f t="shared" si="118"/>
        <v>3.2965393622385322E-12</v>
      </c>
      <c r="C594" s="39">
        <f t="shared" si="118"/>
        <v>1.1898956016027679E-10</v>
      </c>
      <c r="D594" s="39">
        <f t="shared" si="118"/>
        <v>2.1070909434601598E-9</v>
      </c>
      <c r="E594" s="39">
        <f t="shared" si="118"/>
        <v>2.4402227884751859E-8</v>
      </c>
      <c r="F594" s="39">
        <f t="shared" si="118"/>
        <v>2.0788105568232858E-7</v>
      </c>
      <c r="G594" s="39">
        <f t="shared" si="118"/>
        <v>1.3892838732405794E-6</v>
      </c>
      <c r="H594" s="39">
        <f t="shared" si="118"/>
        <v>7.5861157797905145E-6</v>
      </c>
      <c r="I594" s="39">
        <f t="shared" si="118"/>
        <v>3.4808176241025506E-5</v>
      </c>
      <c r="J594" s="39">
        <f t="shared" si="118"/>
        <v>1.3699202503774638E-4</v>
      </c>
      <c r="K594" s="39">
        <f t="shared" si="118"/>
        <v>4.6977258074471656E-4</v>
      </c>
      <c r="L594" s="39">
        <f t="shared" si="119"/>
        <v>1.4212462527613161E-3</v>
      </c>
      <c r="M594" s="39">
        <f t="shared" si="119"/>
        <v>3.8322899886962815E-3</v>
      </c>
      <c r="N594" s="39">
        <f t="shared" si="119"/>
        <v>9.2888061551064816E-3</v>
      </c>
      <c r="O594" s="39">
        <f t="shared" si="119"/>
        <v>2.0387417330381897E-2</v>
      </c>
      <c r="P594" s="39">
        <f t="shared" si="119"/>
        <v>4.0783237773855466E-2</v>
      </c>
      <c r="Q594" s="39">
        <f t="shared" si="119"/>
        <v>7.4795627310551921E-2</v>
      </c>
      <c r="R594" s="39">
        <f t="shared" si="119"/>
        <v>0.12645578833788162</v>
      </c>
      <c r="S594" s="39">
        <f t="shared" si="119"/>
        <v>0.19814306573265475</v>
      </c>
      <c r="T594" s="39">
        <f t="shared" si="119"/>
        <v>0.28926556055445407</v>
      </c>
      <c r="U594" s="39">
        <f t="shared" si="119"/>
        <v>0.39559407908186239</v>
      </c>
      <c r="V594" s="39">
        <f t="shared" si="119"/>
        <v>0.50969651268905325</v>
      </c>
      <c r="W594" s="37">
        <v>0.40899999999999997</v>
      </c>
    </row>
    <row r="595" spans="2:23" x14ac:dyDescent="0.25">
      <c r="B595" s="39">
        <f t="shared" si="118"/>
        <v>3.6019957857422737E-12</v>
      </c>
      <c r="C595" s="39">
        <f t="shared" si="118"/>
        <v>1.294684061941862E-10</v>
      </c>
      <c r="D595" s="39">
        <f t="shared" si="118"/>
        <v>2.2830370775957208E-9</v>
      </c>
      <c r="E595" s="39">
        <f t="shared" si="118"/>
        <v>2.6329301173244913E-8</v>
      </c>
      <c r="F595" s="39">
        <f t="shared" si="118"/>
        <v>2.2336297510697309E-7</v>
      </c>
      <c r="G595" s="39">
        <f t="shared" si="118"/>
        <v>1.4865547509521767E-6</v>
      </c>
      <c r="H595" s="39">
        <f t="shared" si="118"/>
        <v>8.0837228411856132E-6</v>
      </c>
      <c r="I595" s="39">
        <f t="shared" si="118"/>
        <v>3.6938992173541667E-5</v>
      </c>
      <c r="J595" s="39">
        <f t="shared" si="118"/>
        <v>1.4478459831959777E-4</v>
      </c>
      <c r="K595" s="39">
        <f t="shared" si="118"/>
        <v>4.9448325122617342E-4</v>
      </c>
      <c r="L595" s="39">
        <f t="shared" si="119"/>
        <v>1.4899995290025079E-3</v>
      </c>
      <c r="M595" s="39">
        <f t="shared" si="119"/>
        <v>4.0017240602029901E-3</v>
      </c>
      <c r="N595" s="39">
        <f t="shared" si="119"/>
        <v>9.6614766705080696E-3</v>
      </c>
      <c r="O595" s="39">
        <f t="shared" si="119"/>
        <v>2.1123610545579607E-2</v>
      </c>
      <c r="P595" s="39">
        <f t="shared" si="119"/>
        <v>4.2096226836390305E-2</v>
      </c>
      <c r="Q595" s="39">
        <f t="shared" si="119"/>
        <v>7.6918965217650626E-2</v>
      </c>
      <c r="R595" s="39">
        <f t="shared" si="119"/>
        <v>0.1295807566139919</v>
      </c>
      <c r="S595" s="39">
        <f t="shared" si="119"/>
        <v>0.20234127904621657</v>
      </c>
      <c r="T595" s="39">
        <f t="shared" si="119"/>
        <v>0.29442713396709508</v>
      </c>
      <c r="U595" s="39">
        <f t="shared" si="119"/>
        <v>0.40141399295699259</v>
      </c>
      <c r="V595" s="39">
        <f t="shared" si="119"/>
        <v>0.51572516662087065</v>
      </c>
      <c r="W595" s="37">
        <v>0.40799999999999997</v>
      </c>
    </row>
    <row r="596" spans="2:23" x14ac:dyDescent="0.25">
      <c r="B596" s="39">
        <f t="shared" si="118"/>
        <v>3.9351387298951852E-12</v>
      </c>
      <c r="C596" s="39">
        <f t="shared" si="118"/>
        <v>1.4084760640948251E-10</v>
      </c>
      <c r="D596" s="39">
        <f t="shared" si="118"/>
        <v>2.4732739469325638E-9</v>
      </c>
      <c r="E596" s="39">
        <f t="shared" si="118"/>
        <v>2.840387852982991E-8</v>
      </c>
      <c r="F596" s="39">
        <f t="shared" si="118"/>
        <v>2.3995778965181669E-7</v>
      </c>
      <c r="G596" s="39">
        <f t="shared" si="118"/>
        <v>1.5903664721107415E-6</v>
      </c>
      <c r="H596" s="39">
        <f t="shared" si="118"/>
        <v>8.6124916208972186E-6</v>
      </c>
      <c r="I596" s="39">
        <f t="shared" si="118"/>
        <v>3.9193442526977779E-5</v>
      </c>
      <c r="J596" s="39">
        <f t="shared" si="118"/>
        <v>1.5299360977571785E-4</v>
      </c>
      <c r="K596" s="39">
        <f t="shared" si="118"/>
        <v>5.2040172819334696E-4</v>
      </c>
      <c r="L596" s="39">
        <f t="shared" si="119"/>
        <v>1.5618009572423749E-3</v>
      </c>
      <c r="M596" s="39">
        <f t="shared" si="119"/>
        <v>4.1779033777152317E-3</v>
      </c>
      <c r="N596" s="39">
        <f t="shared" si="119"/>
        <v>1.0047304416016483E-2</v>
      </c>
      <c r="O596" s="39">
        <f t="shared" si="119"/>
        <v>2.1882492507941234E-2</v>
      </c>
      <c r="P596" s="39">
        <f t="shared" si="119"/>
        <v>4.3443815284083205E-2</v>
      </c>
      <c r="Q596" s="39">
        <f t="shared" si="119"/>
        <v>7.9088810596981515E-2</v>
      </c>
      <c r="R596" s="39">
        <f t="shared" si="119"/>
        <v>0.13276032772709317</v>
      </c>
      <c r="S596" s="39">
        <f t="shared" si="119"/>
        <v>0.2065943285516825</v>
      </c>
      <c r="T596" s="39">
        <f t="shared" si="119"/>
        <v>0.299633453299055</v>
      </c>
      <c r="U596" s="39">
        <f t="shared" si="119"/>
        <v>0.40725890202191978</v>
      </c>
      <c r="V596" s="39">
        <f t="shared" si="119"/>
        <v>0.52175345211945656</v>
      </c>
      <c r="W596" s="37">
        <v>0.40699999999999997</v>
      </c>
    </row>
    <row r="597" spans="2:23" x14ac:dyDescent="0.25">
      <c r="B597" s="39">
        <f t="shared" si="118"/>
        <v>4.235671291914128E-12</v>
      </c>
      <c r="C597" s="39">
        <f t="shared" si="118"/>
        <v>1.5107227607827039E-10</v>
      </c>
      <c r="D597" s="39">
        <f t="shared" si="118"/>
        <v>2.6435323043912303E-9</v>
      </c>
      <c r="E597" s="39">
        <f t="shared" si="118"/>
        <v>3.0253228703304737E-8</v>
      </c>
      <c r="F597" s="39">
        <f t="shared" si="118"/>
        <v>2.5469235264944665E-7</v>
      </c>
      <c r="G597" s="39">
        <f t="shared" si="118"/>
        <v>1.6821756614838098E-6</v>
      </c>
      <c r="H597" s="39">
        <f t="shared" si="118"/>
        <v>9.0782707638393892E-6</v>
      </c>
      <c r="I597" s="39">
        <f t="shared" si="118"/>
        <v>4.1171454633003508E-5</v>
      </c>
      <c r="J597" s="39">
        <f t="shared" si="118"/>
        <v>1.6016746707278275E-4</v>
      </c>
      <c r="K597" s="39">
        <f t="shared" si="118"/>
        <v>5.4296200979954596E-4</v>
      </c>
      <c r="L597" s="39">
        <f t="shared" si="119"/>
        <v>1.6240511718249541E-3</v>
      </c>
      <c r="M597" s="39">
        <f t="shared" si="119"/>
        <v>4.3300404265790163E-3</v>
      </c>
      <c r="N597" s="39">
        <f t="shared" si="119"/>
        <v>1.0379157132588203E-2</v>
      </c>
      <c r="O597" s="39">
        <f t="shared" si="119"/>
        <v>2.2532618563861559E-2</v>
      </c>
      <c r="P597" s="39">
        <f t="shared" si="119"/>
        <v>4.4593692854872094E-2</v>
      </c>
      <c r="Q597" s="39">
        <f t="shared" si="119"/>
        <v>8.0932949603805912E-2</v>
      </c>
      <c r="R597" s="39">
        <f t="shared" si="119"/>
        <v>0.13545188430042188</v>
      </c>
      <c r="S597" s="39">
        <f t="shared" si="119"/>
        <v>0.21018028550062134</v>
      </c>
      <c r="T597" s="39">
        <f t="shared" si="119"/>
        <v>0.3040056999988856</v>
      </c>
      <c r="U597" s="39">
        <f t="shared" si="119"/>
        <v>0.41214790607143353</v>
      </c>
      <c r="V597" s="39">
        <f t="shared" si="119"/>
        <v>0.52677577685997157</v>
      </c>
      <c r="W597" s="37">
        <v>0.40600000000000003</v>
      </c>
    </row>
    <row r="598" spans="2:23" x14ac:dyDescent="0.25">
      <c r="B598" s="39">
        <f t="shared" si="118"/>
        <v>4.6260986923641289E-12</v>
      </c>
      <c r="C598" s="39">
        <f t="shared" si="118"/>
        <v>1.6430244219987281E-10</v>
      </c>
      <c r="D598" s="39">
        <f t="shared" si="118"/>
        <v>2.8629601241555055E-9</v>
      </c>
      <c r="E598" s="39">
        <f t="shared" si="118"/>
        <v>3.2627168054728273E-8</v>
      </c>
      <c r="F598" s="39">
        <f t="shared" si="118"/>
        <v>2.7353122599280354E-7</v>
      </c>
      <c r="G598" s="39">
        <f t="shared" si="118"/>
        <v>1.7990908673400946E-6</v>
      </c>
      <c r="H598" s="39">
        <f t="shared" si="118"/>
        <v>9.6690592770369585E-6</v>
      </c>
      <c r="I598" s="39">
        <f t="shared" si="118"/>
        <v>4.3670350100862262E-5</v>
      </c>
      <c r="J598" s="39">
        <f t="shared" si="118"/>
        <v>1.6919437464051775E-4</v>
      </c>
      <c r="K598" s="39">
        <f t="shared" si="118"/>
        <v>5.7123670129629212E-4</v>
      </c>
      <c r="L598" s="39">
        <f t="shared" si="119"/>
        <v>1.7017583764721684E-3</v>
      </c>
      <c r="M598" s="39">
        <f t="shared" si="119"/>
        <v>4.5191974511444646E-3</v>
      </c>
      <c r="N598" s="39">
        <f t="shared" si="119"/>
        <v>1.0790117455273727E-2</v>
      </c>
      <c r="O598" s="39">
        <f t="shared" si="119"/>
        <v>2.3334516500465356E-2</v>
      </c>
      <c r="P598" s="39">
        <f t="shared" si="119"/>
        <v>4.6006360864551635E-2</v>
      </c>
      <c r="Q598" s="39">
        <f t="shared" si="119"/>
        <v>8.3189521223677315E-2</v>
      </c>
      <c r="R598" s="39">
        <f t="shared" si="119"/>
        <v>0.13873227760155629</v>
      </c>
      <c r="S598" s="39">
        <f t="shared" si="119"/>
        <v>0.21453334282612083</v>
      </c>
      <c r="T598" s="39">
        <f t="shared" si="119"/>
        <v>0.30929211020784103</v>
      </c>
      <c r="U598" s="39">
        <f t="shared" si="119"/>
        <v>0.41803557605993147</v>
      </c>
      <c r="V598" s="39">
        <f t="shared" si="119"/>
        <v>0.53279991174927821</v>
      </c>
      <c r="W598" s="37">
        <v>0.40500000000000003</v>
      </c>
    </row>
    <row r="599" spans="2:23" x14ac:dyDescent="0.25">
      <c r="B599" s="39">
        <f t="shared" si="118"/>
        <v>5.0517299768033692E-12</v>
      </c>
      <c r="C599" s="39">
        <f t="shared" si="118"/>
        <v>1.7866299933018603E-10</v>
      </c>
      <c r="D599" s="39">
        <f t="shared" si="118"/>
        <v>3.1001030473645614E-9</v>
      </c>
      <c r="E599" s="39">
        <f t="shared" si="118"/>
        <v>3.5181635306924099E-8</v>
      </c>
      <c r="F599" s="39">
        <f t="shared" si="118"/>
        <v>2.9371477967738006E-7</v>
      </c>
      <c r="G599" s="39">
        <f t="shared" si="118"/>
        <v>1.9238078062641822E-6</v>
      </c>
      <c r="H599" s="39">
        <f t="shared" si="118"/>
        <v>1.0296536507829183E-5</v>
      </c>
      <c r="I599" s="39">
        <f t="shared" si="118"/>
        <v>4.6312912491218897E-5</v>
      </c>
      <c r="J599" s="39">
        <f t="shared" si="118"/>
        <v>1.7869882779286442E-4</v>
      </c>
      <c r="K599" s="39">
        <f t="shared" si="118"/>
        <v>6.0087796662422303E-4</v>
      </c>
      <c r="L599" s="39">
        <f t="shared" si="119"/>
        <v>1.7828676704212418E-3</v>
      </c>
      <c r="M599" s="39">
        <f t="shared" si="119"/>
        <v>4.7157786703961122E-3</v>
      </c>
      <c r="N599" s="39">
        <f t="shared" si="119"/>
        <v>1.1215352848606967E-2</v>
      </c>
      <c r="O599" s="39">
        <f t="shared" si="119"/>
        <v>2.4160665367582775E-2</v>
      </c>
      <c r="P599" s="39">
        <f t="shared" si="119"/>
        <v>4.7455428893063457E-2</v>
      </c>
      <c r="Q599" s="39">
        <f t="shared" si="119"/>
        <v>8.5494181823116452E-2</v>
      </c>
      <c r="R599" s="39">
        <f t="shared" si="119"/>
        <v>0.14206802153968659</v>
      </c>
      <c r="S599" s="39">
        <f t="shared" si="119"/>
        <v>0.21894061479546853</v>
      </c>
      <c r="T599" s="39">
        <f t="shared" si="119"/>
        <v>0.31462109820494888</v>
      </c>
      <c r="U599" s="39">
        <f t="shared" si="119"/>
        <v>0.42394486872243287</v>
      </c>
      <c r="V599" s="39">
        <f t="shared" si="119"/>
        <v>0.53881988589611718</v>
      </c>
      <c r="W599" s="37">
        <v>0.40400000000000003</v>
      </c>
    </row>
    <row r="600" spans="2:23" x14ac:dyDescent="0.25">
      <c r="B600" s="39">
        <f t="shared" si="118"/>
        <v>5.5156689446303997E-12</v>
      </c>
      <c r="C600" s="39">
        <f t="shared" si="118"/>
        <v>1.9424810763357648E-10</v>
      </c>
      <c r="D600" s="39">
        <f t="shared" si="118"/>
        <v>3.356350570753048E-9</v>
      </c>
      <c r="E600" s="39">
        <f t="shared" si="118"/>
        <v>3.7929912700648271E-8</v>
      </c>
      <c r="F600" s="39">
        <f t="shared" si="118"/>
        <v>3.1533540866823465E-7</v>
      </c>
      <c r="G600" s="39">
        <f t="shared" si="118"/>
        <v>2.0568245593324623E-6</v>
      </c>
      <c r="H600" s="39">
        <f t="shared" si="118"/>
        <v>1.0962865676362365E-5</v>
      </c>
      <c r="I600" s="39">
        <f t="shared" si="118"/>
        <v>4.9106908629744247E-5</v>
      </c>
      <c r="J600" s="39">
        <f t="shared" si="118"/>
        <v>1.8870428935747896E-4</v>
      </c>
      <c r="K600" s="39">
        <f t="shared" si="118"/>
        <v>6.3194615410860076E-4</v>
      </c>
      <c r="L600" s="39">
        <f t="shared" si="119"/>
        <v>1.8675121670404956E-3</v>
      </c>
      <c r="M600" s="39">
        <f t="shared" si="119"/>
        <v>4.9200365406130882E-3</v>
      </c>
      <c r="N600" s="39">
        <f t="shared" si="119"/>
        <v>1.165527374355377E-2</v>
      </c>
      <c r="O600" s="39">
        <f t="shared" si="119"/>
        <v>2.5011630270700119E-2</v>
      </c>
      <c r="P600" s="39">
        <f t="shared" si="119"/>
        <v>4.8941535630647182E-2</v>
      </c>
      <c r="Q600" s="39">
        <f t="shared" si="119"/>
        <v>8.7847473925280792E-2</v>
      </c>
      <c r="R600" s="39">
        <f t="shared" si="119"/>
        <v>0.14545934282933204</v>
      </c>
      <c r="S600" s="39">
        <f t="shared" si="119"/>
        <v>0.2234018301820723</v>
      </c>
      <c r="T600" s="39">
        <f t="shared" si="119"/>
        <v>0.31999184811114112</v>
      </c>
      <c r="U600" s="39">
        <f t="shared" si="119"/>
        <v>0.42987456257787077</v>
      </c>
      <c r="V600" s="39">
        <f t="shared" si="119"/>
        <v>0.54483436084755366</v>
      </c>
      <c r="W600" s="37">
        <v>0.40300000000000002</v>
      </c>
    </row>
    <row r="601" spans="2:23" x14ac:dyDescent="0.25">
      <c r="B601" s="39">
        <f t="shared" si="118"/>
        <v>5.9339712127363647E-12</v>
      </c>
      <c r="C601" s="39">
        <f t="shared" si="118"/>
        <v>2.0824431994596464E-10</v>
      </c>
      <c r="D601" s="39">
        <f t="shared" si="118"/>
        <v>3.5855593560803644E-9</v>
      </c>
      <c r="E601" s="39">
        <f t="shared" si="118"/>
        <v>4.0378426690909419E-8</v>
      </c>
      <c r="F601" s="39">
        <f t="shared" si="118"/>
        <v>3.3452122774952009E-7</v>
      </c>
      <c r="G601" s="39">
        <f t="shared" si="118"/>
        <v>2.1743922299267036E-6</v>
      </c>
      <c r="H601" s="39">
        <f t="shared" si="118"/>
        <v>1.1549462220450494E-5</v>
      </c>
      <c r="I601" s="39">
        <f t="shared" si="118"/>
        <v>5.155679044423843E-5</v>
      </c>
      <c r="J601" s="39">
        <f t="shared" si="118"/>
        <v>1.9744254347172814E-4</v>
      </c>
      <c r="K601" s="39">
        <f t="shared" si="118"/>
        <v>6.589714975103535E-4</v>
      </c>
      <c r="L601" s="39">
        <f t="shared" si="119"/>
        <v>1.9408488636027106E-3</v>
      </c>
      <c r="M601" s="39">
        <f t="shared" si="119"/>
        <v>5.0963024312244845E-3</v>
      </c>
      <c r="N601" s="39">
        <f t="shared" si="119"/>
        <v>1.2033394470690876E-2</v>
      </c>
      <c r="O601" s="39">
        <f t="shared" si="119"/>
        <v>2.5740136896516903E-2</v>
      </c>
      <c r="P601" s="39">
        <f t="shared" si="119"/>
        <v>5.0208712896785225E-2</v>
      </c>
      <c r="Q601" s="39">
        <f t="shared" si="119"/>
        <v>8.984608489815793E-2</v>
      </c>
      <c r="R601" s="39">
        <f t="shared" si="119"/>
        <v>0.14832804838611782</v>
      </c>
      <c r="S601" s="39">
        <f t="shared" si="119"/>
        <v>0.2271605018048645</v>
      </c>
      <c r="T601" s="39">
        <f t="shared" si="119"/>
        <v>0.32449876786119713</v>
      </c>
      <c r="U601" s="39">
        <f t="shared" si="119"/>
        <v>0.4348306666229414</v>
      </c>
      <c r="V601" s="39">
        <f t="shared" si="119"/>
        <v>0.5498412578431533</v>
      </c>
      <c r="W601" s="37">
        <v>0.40200000000000002</v>
      </c>
    </row>
    <row r="602" spans="2:23" x14ac:dyDescent="0.25">
      <c r="B602" s="39">
        <f t="shared" si="118"/>
        <v>6.4771053353758315E-12</v>
      </c>
      <c r="C602" s="39">
        <f t="shared" si="118"/>
        <v>2.2634476735143894E-10</v>
      </c>
      <c r="D602" s="39">
        <f t="shared" si="118"/>
        <v>3.8807971408607246E-9</v>
      </c>
      <c r="E602" s="39">
        <f t="shared" si="118"/>
        <v>4.3519695698384833E-8</v>
      </c>
      <c r="F602" s="39">
        <f t="shared" si="118"/>
        <v>3.5903695134308098E-7</v>
      </c>
      <c r="G602" s="39">
        <f t="shared" si="118"/>
        <v>2.3240206487331592E-6</v>
      </c>
      <c r="H602" s="39">
        <f t="shared" si="118"/>
        <v>1.2293041782895991E-5</v>
      </c>
      <c r="I602" s="39">
        <f t="shared" si="118"/>
        <v>5.4649896555698448E-5</v>
      </c>
      <c r="J602" s="39">
        <f t="shared" si="118"/>
        <v>2.0843098406856479E-4</v>
      </c>
      <c r="K602" s="39">
        <f t="shared" si="118"/>
        <v>6.9282037676003042E-4</v>
      </c>
      <c r="L602" s="39">
        <f t="shared" si="119"/>
        <v>2.0323351631944282E-3</v>
      </c>
      <c r="M602" s="39">
        <f t="shared" si="119"/>
        <v>5.3153127672691675E-3</v>
      </c>
      <c r="N602" s="39">
        <f t="shared" si="119"/>
        <v>1.2501332559497091E-2</v>
      </c>
      <c r="O602" s="39">
        <f t="shared" si="119"/>
        <v>2.6638088573922854E-2</v>
      </c>
      <c r="P602" s="39">
        <f t="shared" si="119"/>
        <v>5.1764386012832814E-2</v>
      </c>
      <c r="Q602" s="39">
        <f t="shared" si="119"/>
        <v>9.2289913374220003E-2</v>
      </c>
      <c r="R602" s="39">
        <f t="shared" si="119"/>
        <v>0.15182178268471028</v>
      </c>
      <c r="S602" s="39">
        <f t="shared" si="119"/>
        <v>0.23171981781194745</v>
      </c>
      <c r="T602" s="39">
        <f t="shared" si="119"/>
        <v>0.32994387600159514</v>
      </c>
      <c r="U602" s="39">
        <f t="shared" si="119"/>
        <v>0.44079454033644777</v>
      </c>
      <c r="V602" s="39">
        <f t="shared" si="119"/>
        <v>0.55584217986785667</v>
      </c>
      <c r="W602" s="37">
        <v>0.40100000000000002</v>
      </c>
    </row>
    <row r="603" spans="2:23" x14ac:dyDescent="0.25">
      <c r="B603" s="39">
        <f t="shared" ref="B603:K612" si="120">_xlfn.HYPGEOM.DIST(B$2,comau,tongtheN*$W603,tongtheN,TRUE)</f>
        <v>7.0688697093153169E-12</v>
      </c>
      <c r="C603" s="39">
        <f t="shared" si="120"/>
        <v>2.4598008202561721E-10</v>
      </c>
      <c r="D603" s="39">
        <f t="shared" si="120"/>
        <v>4.1996769781940996E-9</v>
      </c>
      <c r="E603" s="39">
        <f t="shared" si="120"/>
        <v>4.6897749437166909E-8</v>
      </c>
      <c r="F603" s="39">
        <f t="shared" si="120"/>
        <v>3.8528591612527907E-7</v>
      </c>
      <c r="G603" s="39">
        <f t="shared" si="120"/>
        <v>2.4835304323097971E-6</v>
      </c>
      <c r="H603" s="39">
        <f t="shared" si="120"/>
        <v>1.3082276524310695E-5</v>
      </c>
      <c r="I603" s="39">
        <f t="shared" si="120"/>
        <v>5.7918624788046024E-5</v>
      </c>
      <c r="J603" s="39">
        <f t="shared" si="120"/>
        <v>2.1999277306624301E-4</v>
      </c>
      <c r="K603" s="39">
        <f t="shared" si="120"/>
        <v>7.2828031552091515E-4</v>
      </c>
      <c r="L603" s="39">
        <f t="shared" ref="L603:V612" si="121">_xlfn.HYPGEOM.DIST(L$2,comau,tongtheN*$W603,tongtheN,TRUE)</f>
        <v>2.1277584113534053E-3</v>
      </c>
      <c r="M603" s="39">
        <f t="shared" si="121"/>
        <v>5.5427528078824985E-3</v>
      </c>
      <c r="N603" s="39">
        <f t="shared" si="121"/>
        <v>1.298516459488115E-2</v>
      </c>
      <c r="O603" s="39">
        <f t="shared" si="121"/>
        <v>2.7562494735787091E-2</v>
      </c>
      <c r="P603" s="39">
        <f t="shared" si="121"/>
        <v>5.3358911940190136E-2</v>
      </c>
      <c r="Q603" s="39">
        <f t="shared" si="121"/>
        <v>9.4783859474269136E-2</v>
      </c>
      <c r="R603" s="39">
        <f t="shared" si="121"/>
        <v>0.15537162489135753</v>
      </c>
      <c r="S603" s="39">
        <f t="shared" si="121"/>
        <v>0.23633215906515534</v>
      </c>
      <c r="T603" s="39">
        <f t="shared" si="121"/>
        <v>0.3354282938811361</v>
      </c>
      <c r="U603" s="39">
        <f t="shared" si="121"/>
        <v>0.44677527432657677</v>
      </c>
      <c r="V603" s="39">
        <f t="shared" si="121"/>
        <v>0.56183382078687083</v>
      </c>
      <c r="W603" s="37">
        <v>0.4</v>
      </c>
    </row>
    <row r="604" spans="2:23" x14ac:dyDescent="0.25">
      <c r="B604" s="39">
        <f t="shared" si="120"/>
        <v>7.7135219282167066E-12</v>
      </c>
      <c r="C604" s="39">
        <f t="shared" si="120"/>
        <v>2.6727714770354252E-10</v>
      </c>
      <c r="D604" s="39">
        <f t="shared" si="120"/>
        <v>4.5440379597540415E-9</v>
      </c>
      <c r="E604" s="39">
        <f t="shared" si="120"/>
        <v>5.0529852285231055E-8</v>
      </c>
      <c r="F604" s="39">
        <f t="shared" si="120"/>
        <v>4.1338603797482136E-7</v>
      </c>
      <c r="G604" s="39">
        <f t="shared" si="120"/>
        <v>2.6535455422584585E-6</v>
      </c>
      <c r="H604" s="39">
        <f t="shared" si="120"/>
        <v>1.3919825656610989E-5</v>
      </c>
      <c r="I604" s="39">
        <f t="shared" si="120"/>
        <v>6.1372340196865356E-5</v>
      </c>
      <c r="J604" s="39">
        <f t="shared" si="120"/>
        <v>2.3215564515703576E-4</v>
      </c>
      <c r="K604" s="39">
        <f t="shared" si="120"/>
        <v>7.6542119454298758E-4</v>
      </c>
      <c r="L604" s="39">
        <f t="shared" si="121"/>
        <v>2.2272694407283133E-3</v>
      </c>
      <c r="M604" s="39">
        <f t="shared" si="121"/>
        <v>5.7789020210161765E-3</v>
      </c>
      <c r="N604" s="39">
        <f t="shared" si="121"/>
        <v>1.3485333263216546E-2</v>
      </c>
      <c r="O604" s="39">
        <f t="shared" si="121"/>
        <v>2.8513946348546825E-2</v>
      </c>
      <c r="P604" s="39">
        <f t="shared" si="121"/>
        <v>5.4992931308414844E-2</v>
      </c>
      <c r="Q604" s="39">
        <f t="shared" si="121"/>
        <v>9.7328427961451053E-2</v>
      </c>
      <c r="R604" s="39">
        <f t="shared" si="121"/>
        <v>0.158977721214943</v>
      </c>
      <c r="S604" s="39">
        <f t="shared" si="121"/>
        <v>0.24099714807841741</v>
      </c>
      <c r="T604" s="39">
        <f t="shared" si="121"/>
        <v>0.34095110735247303</v>
      </c>
      <c r="U604" s="39">
        <f t="shared" si="121"/>
        <v>0.45277159282792517</v>
      </c>
      <c r="V604" s="39">
        <f t="shared" si="121"/>
        <v>0.56781485212058536</v>
      </c>
      <c r="W604" s="37">
        <v>0.39900000000000002</v>
      </c>
    </row>
    <row r="605" spans="2:23" x14ac:dyDescent="0.25">
      <c r="B605" s="39">
        <f t="shared" si="120"/>
        <v>8.2944553933622774E-12</v>
      </c>
      <c r="C605" s="39">
        <f t="shared" si="120"/>
        <v>2.8639268211614879E-10</v>
      </c>
      <c r="D605" s="39">
        <f t="shared" si="120"/>
        <v>4.8518927493125541E-9</v>
      </c>
      <c r="E605" s="39">
        <f t="shared" si="120"/>
        <v>5.3763963583150628E-8</v>
      </c>
      <c r="F605" s="39">
        <f t="shared" si="120"/>
        <v>4.3830726463273789E-7</v>
      </c>
      <c r="G605" s="39">
        <f t="shared" si="120"/>
        <v>2.8037257366072419E-6</v>
      </c>
      <c r="H605" s="39">
        <f t="shared" si="120"/>
        <v>1.4656709279404132E-5</v>
      </c>
      <c r="I605" s="39">
        <f t="shared" si="120"/>
        <v>6.4398822715581875E-5</v>
      </c>
      <c r="J605" s="39">
        <f t="shared" si="120"/>
        <v>2.4277138606983699E-4</v>
      </c>
      <c r="K605" s="39">
        <f t="shared" si="120"/>
        <v>7.9770824983863204E-4</v>
      </c>
      <c r="L605" s="39">
        <f t="shared" si="121"/>
        <v>2.3134301181237521E-3</v>
      </c>
      <c r="M605" s="39">
        <f t="shared" si="121"/>
        <v>5.9825525549041993E-3</v>
      </c>
      <c r="N605" s="39">
        <f t="shared" si="121"/>
        <v>1.3914945095784569E-2</v>
      </c>
      <c r="O605" s="39">
        <f t="shared" si="121"/>
        <v>2.9327913156349916E-2</v>
      </c>
      <c r="P605" s="39">
        <f t="shared" si="121"/>
        <v>5.6385244577590574E-2</v>
      </c>
      <c r="Q605" s="39">
        <f t="shared" si="121"/>
        <v>9.9487927994484027E-2</v>
      </c>
      <c r="R605" s="39">
        <f t="shared" si="121"/>
        <v>0.16202586350722439</v>
      </c>
      <c r="S605" s="39">
        <f t="shared" si="121"/>
        <v>0.24492456417526232</v>
      </c>
      <c r="T605" s="39">
        <f t="shared" si="121"/>
        <v>0.34558210516965687</v>
      </c>
      <c r="U605" s="39">
        <f t="shared" si="121"/>
        <v>0.45777950076665808</v>
      </c>
      <c r="V605" s="39">
        <f t="shared" si="121"/>
        <v>0.57278998513408363</v>
      </c>
      <c r="W605" s="37">
        <v>0.39800000000000002</v>
      </c>
    </row>
    <row r="606" spans="2:23" x14ac:dyDescent="0.25">
      <c r="B606" s="39">
        <f t="shared" si="120"/>
        <v>9.0483566668295988E-12</v>
      </c>
      <c r="C606" s="39">
        <f t="shared" si="120"/>
        <v>3.1110029792312193E-10</v>
      </c>
      <c r="D606" s="39">
        <f t="shared" si="120"/>
        <v>5.2482132928186531E-9</v>
      </c>
      <c r="E606" s="39">
        <f t="shared" si="120"/>
        <v>5.791075190503714E-8</v>
      </c>
      <c r="F606" s="39">
        <f t="shared" si="120"/>
        <v>4.7013329813384427E-7</v>
      </c>
      <c r="G606" s="39">
        <f t="shared" si="120"/>
        <v>2.9947470898554075E-6</v>
      </c>
      <c r="H606" s="39">
        <f t="shared" si="120"/>
        <v>1.5590230670494219E-5</v>
      </c>
      <c r="I606" s="39">
        <f t="shared" si="120"/>
        <v>6.8217558512231012E-5</v>
      </c>
      <c r="J606" s="39">
        <f t="shared" si="120"/>
        <v>2.56112367652486E-4</v>
      </c>
      <c r="K606" s="39">
        <f t="shared" si="120"/>
        <v>8.3812132522229879E-4</v>
      </c>
      <c r="L606" s="39">
        <f t="shared" si="121"/>
        <v>2.4208435308790545E-3</v>
      </c>
      <c r="M606" s="39">
        <f t="shared" si="121"/>
        <v>6.235418804755412E-3</v>
      </c>
      <c r="N606" s="39">
        <f t="shared" si="121"/>
        <v>1.444624215277846E-2</v>
      </c>
      <c r="O606" s="39">
        <f t="shared" si="121"/>
        <v>3.0330503895320375E-2</v>
      </c>
      <c r="P606" s="39">
        <f t="shared" si="121"/>
        <v>5.8093330560156003E-2</v>
      </c>
      <c r="Q606" s="39">
        <f t="shared" si="121"/>
        <v>0.10212657752499364</v>
      </c>
      <c r="R606" s="39">
        <f t="shared" si="121"/>
        <v>0.16573539801975637</v>
      </c>
      <c r="S606" s="39">
        <f t="shared" si="121"/>
        <v>0.24968500020628193</v>
      </c>
      <c r="T606" s="39">
        <f t="shared" si="121"/>
        <v>0.35117285406911591</v>
      </c>
      <c r="U606" s="39">
        <f t="shared" si="121"/>
        <v>0.46380103686028806</v>
      </c>
      <c r="V606" s="39">
        <f t="shared" si="121"/>
        <v>0.57874813130817748</v>
      </c>
      <c r="W606" s="37">
        <v>0.39700000000000002</v>
      </c>
    </row>
    <row r="607" spans="2:23" x14ac:dyDescent="0.25">
      <c r="B607" s="39">
        <f t="shared" si="120"/>
        <v>9.8692902669397473E-12</v>
      </c>
      <c r="C607" s="39">
        <f t="shared" si="120"/>
        <v>3.3788735594064406E-10</v>
      </c>
      <c r="D607" s="39">
        <f t="shared" si="120"/>
        <v>5.6760136201054917E-9</v>
      </c>
      <c r="E607" s="39">
        <f t="shared" si="120"/>
        <v>6.2367380757436999E-8</v>
      </c>
      <c r="F607" s="39">
        <f t="shared" si="120"/>
        <v>5.0418798670774369E-7</v>
      </c>
      <c r="G607" s="39">
        <f t="shared" si="120"/>
        <v>3.1982524415416357E-6</v>
      </c>
      <c r="H607" s="39">
        <f t="shared" si="120"/>
        <v>1.6580418156325284E-5</v>
      </c>
      <c r="I607" s="39">
        <f t="shared" si="120"/>
        <v>7.2250405417625694E-5</v>
      </c>
      <c r="J607" s="39">
        <f t="shared" si="120"/>
        <v>2.7013981326053142E-4</v>
      </c>
      <c r="K607" s="39">
        <f t="shared" si="120"/>
        <v>8.8042821664003864E-4</v>
      </c>
      <c r="L607" s="39">
        <f t="shared" si="121"/>
        <v>2.5327991398285017E-3</v>
      </c>
      <c r="M607" s="39">
        <f t="shared" si="121"/>
        <v>6.4978261907451913E-3</v>
      </c>
      <c r="N607" s="39">
        <f t="shared" si="121"/>
        <v>1.4995176192502783E-2</v>
      </c>
      <c r="O607" s="39">
        <f t="shared" si="121"/>
        <v>3.1361848318250667E-2</v>
      </c>
      <c r="P607" s="39">
        <f t="shared" si="121"/>
        <v>5.9842721068704835E-2</v>
      </c>
      <c r="Q607" s="39">
        <f t="shared" si="121"/>
        <v>0.10481721673312927</v>
      </c>
      <c r="R607" s="39">
        <f t="shared" si="121"/>
        <v>0.16950147859677692</v>
      </c>
      <c r="S607" s="39">
        <f t="shared" si="121"/>
        <v>0.2544968612485759</v>
      </c>
      <c r="T607" s="39">
        <f t="shared" si="121"/>
        <v>0.35679927471570666</v>
      </c>
      <c r="U607" s="39">
        <f t="shared" si="121"/>
        <v>0.46983447810246426</v>
      </c>
      <c r="V607" s="39">
        <f t="shared" si="121"/>
        <v>0.58469193208843895</v>
      </c>
      <c r="W607" s="37">
        <v>0.39600000000000002</v>
      </c>
    </row>
    <row r="608" spans="2:23" x14ac:dyDescent="0.25">
      <c r="B608" s="39">
        <f t="shared" si="120"/>
        <v>1.0763084170383834E-11</v>
      </c>
      <c r="C608" s="39">
        <f t="shared" si="120"/>
        <v>3.6692446206793905E-10</v>
      </c>
      <c r="D608" s="39">
        <f t="shared" si="120"/>
        <v>6.1377223692089082E-9</v>
      </c>
      <c r="E608" s="39">
        <f t="shared" si="120"/>
        <v>6.7156237641925767E-8</v>
      </c>
      <c r="F608" s="39">
        <f t="shared" si="120"/>
        <v>5.4062144719302244E-7</v>
      </c>
      <c r="G608" s="39">
        <f t="shared" si="120"/>
        <v>3.4150214460663557E-6</v>
      </c>
      <c r="H608" s="39">
        <f t="shared" si="120"/>
        <v>1.7630531893456033E-5</v>
      </c>
      <c r="I608" s="39">
        <f t="shared" si="120"/>
        <v>7.6508623682188258E-5</v>
      </c>
      <c r="J608" s="39">
        <f t="shared" si="120"/>
        <v>2.8488640885163358E-4</v>
      </c>
      <c r="K608" s="39">
        <f t="shared" si="120"/>
        <v>9.2470958211342746E-4</v>
      </c>
      <c r="L608" s="39">
        <f t="shared" si="121"/>
        <v>2.6494672527968433E-3</v>
      </c>
      <c r="M608" s="39">
        <f t="shared" si="121"/>
        <v>6.7700828533857841E-3</v>
      </c>
      <c r="N608" s="39">
        <f t="shared" si="121"/>
        <v>1.5562222444642459E-2</v>
      </c>
      <c r="O608" s="39">
        <f t="shared" si="121"/>
        <v>3.2422560659095281E-2</v>
      </c>
      <c r="P608" s="39">
        <f t="shared" si="121"/>
        <v>6.1634052527874565E-2</v>
      </c>
      <c r="Q608" s="39">
        <f t="shared" si="121"/>
        <v>0.10756030420966586</v>
      </c>
      <c r="R608" s="39">
        <f t="shared" si="121"/>
        <v>0.17332416362698153</v>
      </c>
      <c r="S608" s="39">
        <f t="shared" si="121"/>
        <v>0.25935966133067823</v>
      </c>
      <c r="T608" s="39">
        <f t="shared" si="121"/>
        <v>0.36246035975077567</v>
      </c>
      <c r="U608" s="39">
        <f t="shared" si="121"/>
        <v>0.47587850546644889</v>
      </c>
      <c r="V608" s="39">
        <f t="shared" si="121"/>
        <v>0.59062008154060752</v>
      </c>
      <c r="W608" s="37">
        <v>0.39500000000000002</v>
      </c>
    </row>
    <row r="609" spans="2:23" x14ac:dyDescent="0.25">
      <c r="B609" s="39">
        <f t="shared" si="120"/>
        <v>1.1568115677438511E-11</v>
      </c>
      <c r="C609" s="39">
        <f t="shared" si="120"/>
        <v>3.929733233351458E-10</v>
      </c>
      <c r="D609" s="39">
        <f t="shared" si="120"/>
        <v>6.5502594260589429E-9</v>
      </c>
      <c r="E609" s="39">
        <f t="shared" si="120"/>
        <v>7.1417965367232567E-8</v>
      </c>
      <c r="F609" s="39">
        <f t="shared" si="120"/>
        <v>5.7291477291765957E-7</v>
      </c>
      <c r="G609" s="39">
        <f t="shared" si="120"/>
        <v>3.6063886757583749E-6</v>
      </c>
      <c r="H609" s="39">
        <f t="shared" si="120"/>
        <v>1.8553877506949442E-5</v>
      </c>
      <c r="I609" s="39">
        <f t="shared" si="120"/>
        <v>8.0237800360634577E-5</v>
      </c>
      <c r="J609" s="39">
        <f t="shared" si="120"/>
        <v>2.977491469866848E-4</v>
      </c>
      <c r="K609" s="39">
        <f t="shared" si="120"/>
        <v>9.6317928254157855E-4</v>
      </c>
      <c r="L609" s="39">
        <f t="shared" si="121"/>
        <v>2.750417094057139E-3</v>
      </c>
      <c r="M609" s="39">
        <f t="shared" si="121"/>
        <v>7.0047148166835693E-3</v>
      </c>
      <c r="N609" s="39">
        <f t="shared" si="121"/>
        <v>1.6048945431065817E-2</v>
      </c>
      <c r="O609" s="39">
        <f t="shared" si="121"/>
        <v>3.332936842785636E-2</v>
      </c>
      <c r="P609" s="39">
        <f t="shared" si="121"/>
        <v>6.3159324617985665E-2</v>
      </c>
      <c r="Q609" s="39">
        <f t="shared" si="121"/>
        <v>0.10988659665115191</v>
      </c>
      <c r="R609" s="39">
        <f t="shared" si="121"/>
        <v>0.17655299950853076</v>
      </c>
      <c r="S609" s="39">
        <f t="shared" si="121"/>
        <v>0.26345053618101216</v>
      </c>
      <c r="T609" s="39">
        <f t="shared" si="121"/>
        <v>0.36720366746568484</v>
      </c>
      <c r="U609" s="39">
        <f t="shared" si="121"/>
        <v>0.48092232344640273</v>
      </c>
      <c r="V609" s="39">
        <f t="shared" si="121"/>
        <v>0.59554731350308932</v>
      </c>
      <c r="W609" s="37">
        <v>0.39400000000000002</v>
      </c>
    </row>
    <row r="610" spans="2:23" x14ac:dyDescent="0.25">
      <c r="B610" s="39">
        <f t="shared" si="120"/>
        <v>1.2612295291852343E-11</v>
      </c>
      <c r="C610" s="39">
        <f t="shared" si="120"/>
        <v>4.2662459726352848E-10</v>
      </c>
      <c r="D610" s="39">
        <f t="shared" si="120"/>
        <v>7.0810535644512758E-9</v>
      </c>
      <c r="E610" s="39">
        <f t="shared" si="120"/>
        <v>7.6879305025614281E-8</v>
      </c>
      <c r="F610" s="39">
        <f t="shared" si="120"/>
        <v>6.1413178879639804E-7</v>
      </c>
      <c r="G610" s="39">
        <f t="shared" si="120"/>
        <v>3.8496547666229201E-6</v>
      </c>
      <c r="H610" s="39">
        <f t="shared" si="120"/>
        <v>1.9722915106466409E-5</v>
      </c>
      <c r="I610" s="39">
        <f t="shared" si="120"/>
        <v>8.4940283853948901E-5</v>
      </c>
      <c r="J610" s="39">
        <f t="shared" si="120"/>
        <v>3.1390380718227098E-4</v>
      </c>
      <c r="K610" s="39">
        <f t="shared" si="120"/>
        <v>1.0113001258759526E-3</v>
      </c>
      <c r="L610" s="39">
        <f t="shared" si="121"/>
        <v>2.8761850606516394E-3</v>
      </c>
      <c r="M610" s="39">
        <f t="shared" si="121"/>
        <v>7.2958545592530094E-3</v>
      </c>
      <c r="N610" s="39">
        <f t="shared" si="121"/>
        <v>1.6650459850210571E-2</v>
      </c>
      <c r="O610" s="39">
        <f t="shared" si="121"/>
        <v>3.4445535559672433E-2</v>
      </c>
      <c r="P610" s="39">
        <f t="shared" si="121"/>
        <v>6.5029193173120878E-2</v>
      </c>
      <c r="Q610" s="39">
        <f t="shared" si="121"/>
        <v>0.11272698528942966</v>
      </c>
      <c r="R610" s="39">
        <f t="shared" si="121"/>
        <v>0.18047953090918514</v>
      </c>
      <c r="S610" s="39">
        <f t="shared" si="121"/>
        <v>0.2684053676655811</v>
      </c>
      <c r="T610" s="39">
        <f t="shared" si="121"/>
        <v>0.37292561049377743</v>
      </c>
      <c r="U610" s="39">
        <f t="shared" si="121"/>
        <v>0.48698230235801693</v>
      </c>
      <c r="V610" s="39">
        <f t="shared" si="121"/>
        <v>0.60144340393973761</v>
      </c>
      <c r="W610" s="37">
        <v>0.39300000000000002</v>
      </c>
    </row>
    <row r="611" spans="2:23" x14ac:dyDescent="0.25">
      <c r="B611" s="39">
        <f t="shared" si="120"/>
        <v>1.3748676065711544E-11</v>
      </c>
      <c r="C611" s="39">
        <f t="shared" si="120"/>
        <v>4.6308691727581407E-10</v>
      </c>
      <c r="D611" s="39">
        <f t="shared" si="120"/>
        <v>7.6536685898195992E-9</v>
      </c>
      <c r="E611" s="39">
        <f t="shared" si="120"/>
        <v>8.274513341310003E-8</v>
      </c>
      <c r="F611" s="39">
        <f t="shared" si="120"/>
        <v>6.582075646173549E-7</v>
      </c>
      <c r="G611" s="39">
        <f t="shared" si="120"/>
        <v>4.1086536911385941E-6</v>
      </c>
      <c r="H611" s="39">
        <f t="shared" si="120"/>
        <v>2.0962104072196573E-5</v>
      </c>
      <c r="I611" s="39">
        <f t="shared" si="120"/>
        <v>8.9903106101371785E-5</v>
      </c>
      <c r="J611" s="39">
        <f t="shared" si="120"/>
        <v>3.3087808706069876E-4</v>
      </c>
      <c r="K611" s="39">
        <f t="shared" si="120"/>
        <v>1.0616407458320795E-3</v>
      </c>
      <c r="L611" s="39">
        <f t="shared" si="121"/>
        <v>3.0071776945091552E-3</v>
      </c>
      <c r="M611" s="39">
        <f t="shared" si="121"/>
        <v>7.5977590275362683E-3</v>
      </c>
      <c r="N611" s="39">
        <f t="shared" si="121"/>
        <v>1.7271479021506646E-2</v>
      </c>
      <c r="O611" s="39">
        <f t="shared" si="121"/>
        <v>3.5592840378200055E-2</v>
      </c>
      <c r="P611" s="39">
        <f t="shared" si="121"/>
        <v>6.6942792432392761E-2</v>
      </c>
      <c r="Q611" s="39">
        <f t="shared" si="121"/>
        <v>0.11562104651538771</v>
      </c>
      <c r="R611" s="39">
        <f t="shared" si="121"/>
        <v>0.1844627001396732</v>
      </c>
      <c r="S611" s="39">
        <f t="shared" si="121"/>
        <v>0.27340960629132899</v>
      </c>
      <c r="T611" s="39">
        <f t="shared" si="121"/>
        <v>0.37867923867026032</v>
      </c>
      <c r="U611" s="39">
        <f t="shared" si="121"/>
        <v>0.49304908197477276</v>
      </c>
      <c r="V611" s="39">
        <f t="shared" si="121"/>
        <v>0.60732018872392257</v>
      </c>
      <c r="W611" s="37">
        <v>0.39200000000000002</v>
      </c>
    </row>
    <row r="612" spans="2:23" x14ac:dyDescent="0.25">
      <c r="B612" s="39">
        <f t="shared" si="120"/>
        <v>1.4985218980251778E-11</v>
      </c>
      <c r="C612" s="39">
        <f t="shared" si="120"/>
        <v>5.0258918146591179E-10</v>
      </c>
      <c r="D612" s="39">
        <f t="shared" si="120"/>
        <v>8.2713044647993848E-9</v>
      </c>
      <c r="E612" s="39">
        <f t="shared" si="120"/>
        <v>8.9044413484585434E-8</v>
      </c>
      <c r="F612" s="39">
        <f t="shared" si="120"/>
        <v>7.0533274529139663E-7</v>
      </c>
      <c r="G612" s="39">
        <f t="shared" si="120"/>
        <v>4.3843571583751684E-6</v>
      </c>
      <c r="H612" s="39">
        <f t="shared" si="120"/>
        <v>2.2275430594946485E-5</v>
      </c>
      <c r="I612" s="39">
        <f t="shared" si="120"/>
        <v>9.5139767739736122E-5</v>
      </c>
      <c r="J612" s="39">
        <f t="shared" si="120"/>
        <v>3.4871039157836155E-4</v>
      </c>
      <c r="K612" s="39">
        <f t="shared" si="120"/>
        <v>1.114293936943202E-3</v>
      </c>
      <c r="L612" s="39">
        <f t="shared" si="121"/>
        <v>3.1435866049854743E-3</v>
      </c>
      <c r="M612" s="39">
        <f t="shared" si="121"/>
        <v>7.9107665949507012E-3</v>
      </c>
      <c r="N612" s="39">
        <f t="shared" si="121"/>
        <v>1.7912510619391021E-2</v>
      </c>
      <c r="O612" s="39">
        <f t="shared" si="121"/>
        <v>3.6771917147739967E-2</v>
      </c>
      <c r="P612" s="39">
        <f t="shared" si="121"/>
        <v>6.8900747837762261E-2</v>
      </c>
      <c r="Q612" s="39">
        <f t="shared" si="121"/>
        <v>0.11856918414268182</v>
      </c>
      <c r="R612" s="39">
        <f t="shared" si="121"/>
        <v>0.18850247102369141</v>
      </c>
      <c r="S612" s="39">
        <f t="shared" si="121"/>
        <v>0.27846265662048297</v>
      </c>
      <c r="T612" s="39">
        <f t="shared" si="121"/>
        <v>0.38446345785353403</v>
      </c>
      <c r="U612" s="39">
        <f t="shared" si="121"/>
        <v>0.49912131181886438</v>
      </c>
      <c r="V612" s="39">
        <f t="shared" si="121"/>
        <v>0.61317639683057479</v>
      </c>
      <c r="W612" s="37">
        <v>0.39100000000000001</v>
      </c>
    </row>
    <row r="613" spans="2:23" x14ac:dyDescent="0.25">
      <c r="B613" s="39">
        <f t="shared" ref="B613:K622" si="122">_xlfn.HYPGEOM.DIST(B$2,comau,tongtheN*$W613,tongtheN,TRUE)</f>
        <v>1.6330556876578619E-11</v>
      </c>
      <c r="C613" s="39">
        <f t="shared" si="122"/>
        <v>5.4537844184878115E-10</v>
      </c>
      <c r="D613" s="39">
        <f t="shared" si="122"/>
        <v>8.9373986108788897E-9</v>
      </c>
      <c r="E613" s="39">
        <f t="shared" si="122"/>
        <v>9.5808108833231036E-8</v>
      </c>
      <c r="F613" s="39">
        <f t="shared" si="122"/>
        <v>7.5571015908755571E-7</v>
      </c>
      <c r="G613" s="39">
        <f t="shared" si="122"/>
        <v>4.6777938999366561E-6</v>
      </c>
      <c r="H613" s="39">
        <f t="shared" si="122"/>
        <v>2.3667093670272794E-5</v>
      </c>
      <c r="I613" s="39">
        <f t="shared" si="122"/>
        <v>1.0066441723940834E-4</v>
      </c>
      <c r="J613" s="39">
        <f t="shared" si="122"/>
        <v>3.6744075559117645E-4</v>
      </c>
      <c r="K613" s="39">
        <f t="shared" si="122"/>
        <v>1.1693558977061045E-3</v>
      </c>
      <c r="L613" s="39">
        <f t="shared" ref="L613:V622" si="123">_xlfn.HYPGEOM.DIST(L$2,comau,tongtheN*$W613,tongtheN,TRUE)</f>
        <v>3.2856092658448029E-3</v>
      </c>
      <c r="M613" s="39">
        <f t="shared" si="123"/>
        <v>8.2352237616639228E-3</v>
      </c>
      <c r="N613" s="39">
        <f t="shared" si="123"/>
        <v>1.8574070712258202E-2</v>
      </c>
      <c r="O613" s="39">
        <f t="shared" si="123"/>
        <v>3.7983404742187005E-2</v>
      </c>
      <c r="P613" s="39">
        <f t="shared" si="123"/>
        <v>7.0903680776287711E-2</v>
      </c>
      <c r="Q613" s="39">
        <f t="shared" si="123"/>
        <v>0.121571786267945</v>
      </c>
      <c r="R613" s="39">
        <f t="shared" si="123"/>
        <v>0.1925987816922955</v>
      </c>
      <c r="S613" s="39">
        <f t="shared" si="123"/>
        <v>0.28356389466114196</v>
      </c>
      <c r="T613" s="39">
        <f t="shared" si="123"/>
        <v>0.39027715248638295</v>
      </c>
      <c r="U613" s="39">
        <f t="shared" si="123"/>
        <v>0.50519763523178041</v>
      </c>
      <c r="V613" s="39">
        <f t="shared" si="123"/>
        <v>0.6190107683298518</v>
      </c>
      <c r="W613" s="37">
        <v>0.39</v>
      </c>
    </row>
    <row r="614" spans="2:23" x14ac:dyDescent="0.25">
      <c r="B614" s="39">
        <f t="shared" si="122"/>
        <v>1.7541508695542737E-11</v>
      </c>
      <c r="C614" s="39">
        <f t="shared" si="122"/>
        <v>5.837387804405281E-10</v>
      </c>
      <c r="D614" s="39">
        <f t="shared" si="122"/>
        <v>9.5321492889386797E-9</v>
      </c>
      <c r="E614" s="39">
        <f t="shared" si="122"/>
        <v>1.0182309392910409E-7</v>
      </c>
      <c r="F614" s="39">
        <f t="shared" si="122"/>
        <v>8.0033093176846414E-7</v>
      </c>
      <c r="G614" s="39">
        <f t="shared" si="122"/>
        <v>4.9366544802232844E-6</v>
      </c>
      <c r="H614" s="39">
        <f t="shared" si="122"/>
        <v>2.4889836864984664E-5</v>
      </c>
      <c r="I614" s="39">
        <f t="shared" si="122"/>
        <v>1.0549895671643569E-4</v>
      </c>
      <c r="J614" s="39">
        <f t="shared" si="122"/>
        <v>3.8376546042777338E-4</v>
      </c>
      <c r="K614" s="39">
        <f t="shared" si="122"/>
        <v>1.217152721758395E-3</v>
      </c>
      <c r="L614" s="39">
        <f t="shared" si="123"/>
        <v>3.4083963730106455E-3</v>
      </c>
      <c r="M614" s="39">
        <f t="shared" si="123"/>
        <v>8.5146066197625148E-3</v>
      </c>
      <c r="N614" s="39">
        <f t="shared" si="123"/>
        <v>1.9141430370231895E-2</v>
      </c>
      <c r="O614" s="39">
        <f t="shared" si="123"/>
        <v>3.9018199923587397E-2</v>
      </c>
      <c r="P614" s="39">
        <f t="shared" si="123"/>
        <v>7.2607594550542692E-2</v>
      </c>
      <c r="Q614" s="39">
        <f t="shared" si="123"/>
        <v>0.12411582826125497</v>
      </c>
      <c r="R614" s="39">
        <f t="shared" si="123"/>
        <v>0.19605550136513603</v>
      </c>
      <c r="S614" s="39">
        <f t="shared" si="123"/>
        <v>0.28785126652950355</v>
      </c>
      <c r="T614" s="39">
        <f t="shared" si="123"/>
        <v>0.39514359472424965</v>
      </c>
      <c r="U614" s="39">
        <f t="shared" si="123"/>
        <v>0.5102633826445151</v>
      </c>
      <c r="V614" s="39">
        <f t="shared" si="123"/>
        <v>0.62385516307048605</v>
      </c>
      <c r="W614" s="37">
        <v>0.38900000000000001</v>
      </c>
    </row>
    <row r="615" spans="2:23" x14ac:dyDescent="0.25">
      <c r="B615" s="39">
        <f t="shared" si="122"/>
        <v>1.9111180263831197E-11</v>
      </c>
      <c r="C615" s="39">
        <f t="shared" si="122"/>
        <v>6.3326178489054708E-10</v>
      </c>
      <c r="D615" s="39">
        <f t="shared" si="122"/>
        <v>1.0296868604674167E-8</v>
      </c>
      <c r="E615" s="39">
        <f t="shared" si="122"/>
        <v>1.0952581493226561E-7</v>
      </c>
      <c r="F615" s="39">
        <f t="shared" si="122"/>
        <v>8.5724100347527856E-7</v>
      </c>
      <c r="G615" s="39">
        <f t="shared" si="122"/>
        <v>5.2654760788751414E-6</v>
      </c>
      <c r="H615" s="39">
        <f t="shared" si="122"/>
        <v>2.6436771543607515E-5</v>
      </c>
      <c r="I615" s="39">
        <f t="shared" si="122"/>
        <v>1.1159059449911321E-4</v>
      </c>
      <c r="J615" s="39">
        <f t="shared" si="122"/>
        <v>4.0425189931897411E-4</v>
      </c>
      <c r="K615" s="39">
        <f t="shared" si="122"/>
        <v>1.2768923180113605E-3</v>
      </c>
      <c r="L615" s="39">
        <f t="shared" si="123"/>
        <v>3.5612437718401135E-3</v>
      </c>
      <c r="M615" s="39">
        <f t="shared" si="123"/>
        <v>8.8609819997489143E-3</v>
      </c>
      <c r="N615" s="39">
        <f t="shared" si="123"/>
        <v>1.9841994051486719E-2</v>
      </c>
      <c r="O615" s="39">
        <f t="shared" si="123"/>
        <v>4.0290780833243743E-2</v>
      </c>
      <c r="P615" s="39">
        <f t="shared" si="123"/>
        <v>7.4694584662123809E-2</v>
      </c>
      <c r="Q615" s="39">
        <f t="shared" si="123"/>
        <v>0.12721923540894636</v>
      </c>
      <c r="R615" s="39">
        <f t="shared" si="123"/>
        <v>0.20025522077321803</v>
      </c>
      <c r="S615" s="39">
        <f t="shared" si="123"/>
        <v>0.29303913351066202</v>
      </c>
      <c r="T615" s="39">
        <f t="shared" si="123"/>
        <v>0.40100836148588481</v>
      </c>
      <c r="U615" s="39">
        <f t="shared" si="123"/>
        <v>0.51634367031856065</v>
      </c>
      <c r="V615" s="39">
        <f t="shared" si="123"/>
        <v>0.62964626851958039</v>
      </c>
      <c r="W615" s="37">
        <v>0.38800000000000001</v>
      </c>
    </row>
    <row r="616" spans="2:23" x14ac:dyDescent="0.25">
      <c r="B616" s="39">
        <f t="shared" si="122"/>
        <v>2.0818257893501315E-11</v>
      </c>
      <c r="C616" s="39">
        <f t="shared" si="122"/>
        <v>6.8688303698256114E-10</v>
      </c>
      <c r="D616" s="39">
        <f t="shared" si="122"/>
        <v>1.1121229169639857E-8</v>
      </c>
      <c r="E616" s="39">
        <f t="shared" si="122"/>
        <v>1.1779274363392643E-7</v>
      </c>
      <c r="F616" s="39">
        <f t="shared" si="122"/>
        <v>9.1805082473071348E-7</v>
      </c>
      <c r="G616" s="39">
        <f t="shared" si="122"/>
        <v>5.6152836405511188E-6</v>
      </c>
      <c r="H616" s="39">
        <f t="shared" si="122"/>
        <v>2.8075189833675243E-5</v>
      </c>
      <c r="I616" s="39">
        <f t="shared" si="122"/>
        <v>1.1801407678519731E-4</v>
      </c>
      <c r="J616" s="39">
        <f t="shared" si="122"/>
        <v>4.2575921799399807E-4</v>
      </c>
      <c r="K616" s="39">
        <f t="shared" si="122"/>
        <v>1.3393326365189844E-3</v>
      </c>
      <c r="L616" s="39">
        <f t="shared" si="123"/>
        <v>3.7202974065334085E-3</v>
      </c>
      <c r="M616" s="39">
        <f t="shared" si="123"/>
        <v>9.2198336681352626E-3</v>
      </c>
      <c r="N616" s="39">
        <f t="shared" si="123"/>
        <v>2.0564593575059378E-2</v>
      </c>
      <c r="O616" s="39">
        <f t="shared" si="123"/>
        <v>4.1597605255295128E-2</v>
      </c>
      <c r="P616" s="39">
        <f t="shared" si="123"/>
        <v>7.6828286361193723E-2</v>
      </c>
      <c r="Q616" s="39">
        <f t="shared" si="123"/>
        <v>0.13037811613930436</v>
      </c>
      <c r="R616" s="39">
        <f t="shared" si="123"/>
        <v>0.20451116173837577</v>
      </c>
      <c r="S616" s="39">
        <f t="shared" si="123"/>
        <v>0.29827326568373175</v>
      </c>
      <c r="T616" s="39">
        <f t="shared" si="123"/>
        <v>0.40689933156712355</v>
      </c>
      <c r="U616" s="39">
        <f t="shared" si="123"/>
        <v>0.5224241816578713</v>
      </c>
      <c r="V616" s="39">
        <f t="shared" si="123"/>
        <v>0.63541203482667874</v>
      </c>
      <c r="W616" s="37">
        <v>0.38700000000000001</v>
      </c>
    </row>
    <row r="617" spans="2:23" x14ac:dyDescent="0.25">
      <c r="B617" s="39">
        <f t="shared" si="122"/>
        <v>2.2674503516930719E-11</v>
      </c>
      <c r="C617" s="39">
        <f t="shared" si="122"/>
        <v>7.4493310881131368E-10</v>
      </c>
      <c r="D617" s="39">
        <f t="shared" si="122"/>
        <v>1.2009747412777694E-8</v>
      </c>
      <c r="E617" s="39">
        <f t="shared" si="122"/>
        <v>1.266638207407511E-7</v>
      </c>
      <c r="F617" s="39">
        <f t="shared" si="122"/>
        <v>9.8301719455923874E-7</v>
      </c>
      <c r="G617" s="39">
        <f t="shared" si="122"/>
        <v>5.9873551936633209E-6</v>
      </c>
      <c r="H617" s="39">
        <f t="shared" si="122"/>
        <v>2.9810208497464679E-5</v>
      </c>
      <c r="I617" s="39">
        <f t="shared" si="122"/>
        <v>1.2478630636194367E-4</v>
      </c>
      <c r="J617" s="39">
        <f t="shared" si="122"/>
        <v>4.4833427611318391E-4</v>
      </c>
      <c r="K617" s="39">
        <f t="shared" si="122"/>
        <v>1.4045838915806863E-3</v>
      </c>
      <c r="L617" s="39">
        <f t="shared" si="123"/>
        <v>3.885778429543023E-3</v>
      </c>
      <c r="M617" s="39">
        <f t="shared" si="123"/>
        <v>9.5915401153456748E-3</v>
      </c>
      <c r="N617" s="39">
        <f t="shared" si="123"/>
        <v>2.1309776690078303E-2</v>
      </c>
      <c r="O617" s="39">
        <f t="shared" si="123"/>
        <v>4.2939327043088421E-2</v>
      </c>
      <c r="P617" s="39">
        <f t="shared" si="123"/>
        <v>7.9009300659541301E-2</v>
      </c>
      <c r="Q617" s="39">
        <f t="shared" si="123"/>
        <v>0.13359279283120065</v>
      </c>
      <c r="R617" s="39">
        <f t="shared" si="123"/>
        <v>0.20882316036635112</v>
      </c>
      <c r="S617" s="39">
        <f t="shared" si="123"/>
        <v>0.30355293026518804</v>
      </c>
      <c r="T617" s="39">
        <f t="shared" si="123"/>
        <v>0.41281531262142751</v>
      </c>
      <c r="U617" s="39">
        <f t="shared" si="123"/>
        <v>0.52850354431573965</v>
      </c>
      <c r="V617" s="39">
        <f t="shared" si="123"/>
        <v>0.64115125197193801</v>
      </c>
      <c r="W617" s="37">
        <v>0.38600000000000001</v>
      </c>
    </row>
    <row r="618" spans="2:23" x14ac:dyDescent="0.25">
      <c r="B618" s="39">
        <f t="shared" si="122"/>
        <v>2.4344486868556305E-11</v>
      </c>
      <c r="C618" s="39">
        <f t="shared" si="122"/>
        <v>7.9694769569759304E-10</v>
      </c>
      <c r="D618" s="39">
        <f t="shared" si="122"/>
        <v>1.2802675740015299E-8</v>
      </c>
      <c r="E618" s="39">
        <f t="shared" si="122"/>
        <v>1.3454858345529177E-7</v>
      </c>
      <c r="F618" s="39">
        <f t="shared" si="122"/>
        <v>1.0405274188626522E-6</v>
      </c>
      <c r="G618" s="39">
        <f t="shared" si="122"/>
        <v>6.3153950497001463E-6</v>
      </c>
      <c r="H618" s="39">
        <f t="shared" si="122"/>
        <v>3.1333726100844638E-5</v>
      </c>
      <c r="I618" s="39">
        <f t="shared" si="122"/>
        <v>1.307089782470482E-4</v>
      </c>
      <c r="J618" s="39">
        <f t="shared" si="122"/>
        <v>4.6799760525027226E-4</v>
      </c>
      <c r="K618" s="39">
        <f t="shared" si="122"/>
        <v>1.4611894013174082E-3</v>
      </c>
      <c r="L618" s="39">
        <f t="shared" si="123"/>
        <v>4.0287531286110762E-3</v>
      </c>
      <c r="M618" s="39">
        <f t="shared" si="123"/>
        <v>9.9113940803216873E-3</v>
      </c>
      <c r="N618" s="39">
        <f t="shared" si="123"/>
        <v>2.1948414744557415E-2</v>
      </c>
      <c r="O618" s="39">
        <f t="shared" si="123"/>
        <v>4.4084560149057039E-2</v>
      </c>
      <c r="P618" s="39">
        <f t="shared" si="123"/>
        <v>8.0863383179755013E-2</v>
      </c>
      <c r="Q618" s="39">
        <f t="shared" si="123"/>
        <v>0.1363145317491154</v>
      </c>
      <c r="R618" s="39">
        <f t="shared" si="123"/>
        <v>0.21245917716068577</v>
      </c>
      <c r="S618" s="39">
        <f t="shared" si="123"/>
        <v>0.3079868843598258</v>
      </c>
      <c r="T618" s="39">
        <f t="shared" si="123"/>
        <v>0.41776352938201039</v>
      </c>
      <c r="U618" s="39">
        <f t="shared" si="123"/>
        <v>0.53356781093553052</v>
      </c>
      <c r="V618" s="39">
        <f t="shared" si="123"/>
        <v>0.64591278962614984</v>
      </c>
      <c r="W618" s="37">
        <v>0.38500000000000001</v>
      </c>
    </row>
    <row r="619" spans="2:23" x14ac:dyDescent="0.25">
      <c r="B619" s="39">
        <f t="shared" si="122"/>
        <v>2.6508076883323805E-11</v>
      </c>
      <c r="C619" s="39">
        <f t="shared" si="122"/>
        <v>8.6406339017280694E-10</v>
      </c>
      <c r="D619" s="39">
        <f t="shared" si="122"/>
        <v>1.3821663346898578E-8</v>
      </c>
      <c r="E619" s="39">
        <f t="shared" si="122"/>
        <v>1.4464017249904774E-7</v>
      </c>
      <c r="F619" s="39">
        <f t="shared" si="122"/>
        <v>1.1138355038566552E-6</v>
      </c>
      <c r="G619" s="39">
        <f t="shared" si="122"/>
        <v>6.7318511570553075E-6</v>
      </c>
      <c r="H619" s="39">
        <f t="shared" si="122"/>
        <v>3.3260034566513399E-5</v>
      </c>
      <c r="I619" s="39">
        <f t="shared" si="122"/>
        <v>1.3816713810640746E-4</v>
      </c>
      <c r="J619" s="39">
        <f t="shared" si="122"/>
        <v>4.9265837590874758E-4</v>
      </c>
      <c r="K619" s="39">
        <f t="shared" si="122"/>
        <v>1.5318933722010758E-3</v>
      </c>
      <c r="L619" s="39">
        <f t="shared" si="123"/>
        <v>4.2066137141253237E-3</v>
      </c>
      <c r="M619" s="39">
        <f t="shared" si="123"/>
        <v>1.0307679062291764E-2</v>
      </c>
      <c r="N619" s="39">
        <f t="shared" si="123"/>
        <v>2.2736450529457445E-2</v>
      </c>
      <c r="O619" s="39">
        <f t="shared" si="123"/>
        <v>4.5491968851133401E-2</v>
      </c>
      <c r="P619" s="39">
        <f t="shared" si="123"/>
        <v>8.3132675849394974E-2</v>
      </c>
      <c r="Q619" s="39">
        <f t="shared" si="123"/>
        <v>0.13963227631982195</v>
      </c>
      <c r="R619" s="39">
        <f t="shared" si="123"/>
        <v>0.21687343114264546</v>
      </c>
      <c r="S619" s="39">
        <f t="shared" si="123"/>
        <v>0.31334802872408113</v>
      </c>
      <c r="T619" s="39">
        <f t="shared" si="123"/>
        <v>0.42372220600821359</v>
      </c>
      <c r="U619" s="39">
        <f t="shared" si="123"/>
        <v>0.5396414974621222</v>
      </c>
      <c r="V619" s="39">
        <f t="shared" si="123"/>
        <v>0.65160024055991062</v>
      </c>
      <c r="W619" s="37">
        <v>0.38400000000000001</v>
      </c>
    </row>
    <row r="620" spans="2:23" x14ac:dyDescent="0.25">
      <c r="B620" s="39">
        <f t="shared" si="122"/>
        <v>2.8859775981919387E-11</v>
      </c>
      <c r="C620" s="39">
        <f t="shared" si="122"/>
        <v>9.366922388111221E-10</v>
      </c>
      <c r="D620" s="39">
        <f t="shared" si="122"/>
        <v>1.4919485376038194E-8</v>
      </c>
      <c r="E620" s="39">
        <f t="shared" si="122"/>
        <v>1.5546448306303728E-7</v>
      </c>
      <c r="F620" s="39">
        <f t="shared" si="122"/>
        <v>1.1921189419352139E-6</v>
      </c>
      <c r="G620" s="39">
        <f t="shared" si="122"/>
        <v>7.1746069574927017E-6</v>
      </c>
      <c r="H620" s="39">
        <f t="shared" si="122"/>
        <v>3.5298942162995414E-5</v>
      </c>
      <c r="I620" s="39">
        <f t="shared" si="122"/>
        <v>1.4602636384938232E-4</v>
      </c>
      <c r="J620" s="39">
        <f t="shared" si="122"/>
        <v>5.1853042115848668E-4</v>
      </c>
      <c r="K620" s="39">
        <f t="shared" si="122"/>
        <v>1.6057422061715857E-3</v>
      </c>
      <c r="L620" s="39">
        <f t="shared" si="123"/>
        <v>4.3915639759131691E-3</v>
      </c>
      <c r="M620" s="39">
        <f t="shared" si="123"/>
        <v>1.0717937874432119E-2</v>
      </c>
      <c r="N620" s="39">
        <f t="shared" si="123"/>
        <v>2.3548665499817132E-2</v>
      </c>
      <c r="O620" s="39">
        <f t="shared" si="123"/>
        <v>4.6936143455091693E-2</v>
      </c>
      <c r="P620" s="39">
        <f t="shared" si="123"/>
        <v>8.5450946178613763E-2</v>
      </c>
      <c r="Q620" s="39">
        <f t="shared" si="123"/>
        <v>0.14300662752286131</v>
      </c>
      <c r="R620" s="39">
        <f t="shared" si="123"/>
        <v>0.22134312824544555</v>
      </c>
      <c r="S620" s="39">
        <f t="shared" si="123"/>
        <v>0.31875247732784351</v>
      </c>
      <c r="T620" s="39">
        <f t="shared" si="123"/>
        <v>0.42970241677914228</v>
      </c>
      <c r="U620" s="39">
        <f t="shared" si="123"/>
        <v>0.5457101392421122</v>
      </c>
      <c r="V620" s="39">
        <f t="shared" si="123"/>
        <v>0.6572577972973872</v>
      </c>
      <c r="W620" s="37">
        <v>0.38300000000000001</v>
      </c>
    </row>
    <row r="621" spans="2:23" x14ac:dyDescent="0.25">
      <c r="B621" s="39">
        <f t="shared" si="122"/>
        <v>3.1415576998862419E-11</v>
      </c>
      <c r="C621" s="39">
        <f t="shared" si="122"/>
        <v>1.0152756363969328E-9</v>
      </c>
      <c r="D621" s="39">
        <f t="shared" si="122"/>
        <v>1.6102062891462516E-8</v>
      </c>
      <c r="E621" s="39">
        <f t="shared" si="122"/>
        <v>1.6707291692508837E-7</v>
      </c>
      <c r="F621" s="39">
        <f t="shared" si="122"/>
        <v>1.2757020786252522E-6</v>
      </c>
      <c r="G621" s="39">
        <f t="shared" si="122"/>
        <v>7.6452461570641946E-6</v>
      </c>
      <c r="H621" s="39">
        <f t="shared" si="122"/>
        <v>3.7456667291445938E-5</v>
      </c>
      <c r="I621" s="39">
        <f t="shared" si="122"/>
        <v>1.5430679120210275E-4</v>
      </c>
      <c r="J621" s="39">
        <f t="shared" si="122"/>
        <v>5.4566842106504201E-4</v>
      </c>
      <c r="K621" s="39">
        <f t="shared" si="122"/>
        <v>1.6828617544032763E-3</v>
      </c>
      <c r="L621" s="39">
        <f t="shared" si="123"/>
        <v>4.5838506631110595E-3</v>
      </c>
      <c r="M621" s="39">
        <f t="shared" si="123"/>
        <v>1.1142582165514101E-2</v>
      </c>
      <c r="N621" s="39">
        <f t="shared" si="123"/>
        <v>2.4385637901217151E-2</v>
      </c>
      <c r="O621" s="39">
        <f t="shared" si="123"/>
        <v>4.8417747989075284E-2</v>
      </c>
      <c r="P621" s="39">
        <f t="shared" si="123"/>
        <v>8.7818766747888369E-2</v>
      </c>
      <c r="Q621" s="39">
        <f t="shared" si="123"/>
        <v>0.14643783343191871</v>
      </c>
      <c r="R621" s="39">
        <f t="shared" si="123"/>
        <v>0.22586799764265555</v>
      </c>
      <c r="S621" s="39">
        <f t="shared" si="123"/>
        <v>0.32419939073073512</v>
      </c>
      <c r="T621" s="39">
        <f t="shared" si="123"/>
        <v>0.43570290189603594</v>
      </c>
      <c r="U621" s="39">
        <f t="shared" si="123"/>
        <v>0.55177236121479256</v>
      </c>
      <c r="V621" s="39">
        <f t="shared" si="123"/>
        <v>0.66288431093514055</v>
      </c>
      <c r="W621" s="37">
        <v>0.38200000000000001</v>
      </c>
    </row>
    <row r="622" spans="2:23" x14ac:dyDescent="0.25">
      <c r="B622" s="39">
        <f t="shared" si="122"/>
        <v>3.3713776836533855E-11</v>
      </c>
      <c r="C622" s="39">
        <f t="shared" si="122"/>
        <v>1.0856525937309457E-9</v>
      </c>
      <c r="D622" s="39">
        <f t="shared" si="122"/>
        <v>1.7156857061213639E-8</v>
      </c>
      <c r="E622" s="39">
        <f t="shared" si="122"/>
        <v>1.7738507677905351E-7</v>
      </c>
      <c r="F622" s="39">
        <f t="shared" si="122"/>
        <v>1.349651036073305E-6</v>
      </c>
      <c r="G622" s="39">
        <f t="shared" si="122"/>
        <v>8.0599502814641278E-6</v>
      </c>
      <c r="H622" s="39">
        <f t="shared" si="122"/>
        <v>3.9350243229785021E-5</v>
      </c>
      <c r="I622" s="39">
        <f t="shared" si="122"/>
        <v>1.6154406809301504E-4</v>
      </c>
      <c r="J622" s="39">
        <f t="shared" si="122"/>
        <v>5.6929145014425193E-4</v>
      </c>
      <c r="K622" s="39">
        <f t="shared" si="122"/>
        <v>1.7497203138616148E-3</v>
      </c>
      <c r="L622" s="39">
        <f t="shared" si="123"/>
        <v>4.7498766325392069E-3</v>
      </c>
      <c r="M622" s="39">
        <f t="shared" si="123"/>
        <v>1.1507744390729019E-2</v>
      </c>
      <c r="N622" s="39">
        <f t="shared" si="123"/>
        <v>2.5102449324962639E-2</v>
      </c>
      <c r="O622" s="39">
        <f t="shared" si="123"/>
        <v>4.9681491041232491E-2</v>
      </c>
      <c r="P622" s="39">
        <f t="shared" si="123"/>
        <v>8.983020845072992E-2</v>
      </c>
      <c r="Q622" s="39">
        <f t="shared" si="123"/>
        <v>0.14934076699306106</v>
      </c>
      <c r="R622" s="39">
        <f t="shared" si="123"/>
        <v>0.22968065250396863</v>
      </c>
      <c r="S622" s="39">
        <f t="shared" si="123"/>
        <v>0.32877029913128486</v>
      </c>
      <c r="T622" s="39">
        <f t="shared" si="123"/>
        <v>0.44071787360385795</v>
      </c>
      <c r="U622" s="39">
        <f t="shared" si="123"/>
        <v>0.55681831778701163</v>
      </c>
      <c r="V622" s="39">
        <f t="shared" si="123"/>
        <v>0.66754854215938175</v>
      </c>
      <c r="W622" s="37">
        <v>0.38100000000000001</v>
      </c>
    </row>
    <row r="623" spans="2:23" x14ac:dyDescent="0.25">
      <c r="B623" s="39">
        <f t="shared" ref="B623:K632" si="124">_xlfn.HYPGEOM.DIST(B$2,comau,tongtheN*$W623,tongtheN,TRUE)</f>
        <v>3.6689786675156484E-11</v>
      </c>
      <c r="C623" s="39">
        <f t="shared" si="124"/>
        <v>1.1764150748821446E-9</v>
      </c>
      <c r="D623" s="39">
        <f t="shared" si="124"/>
        <v>1.8511649637895508E-8</v>
      </c>
      <c r="E623" s="39">
        <f t="shared" si="124"/>
        <v>1.9057626307196649E-7</v>
      </c>
      <c r="F623" s="39">
        <f t="shared" si="124"/>
        <v>1.4438606699791913E-6</v>
      </c>
      <c r="G623" s="39">
        <f t="shared" si="124"/>
        <v>8.586125720756375E-6</v>
      </c>
      <c r="H623" s="39">
        <f t="shared" si="124"/>
        <v>4.1743028984102306E-5</v>
      </c>
      <c r="I623" s="39">
        <f t="shared" si="124"/>
        <v>1.7065211083038123E-4</v>
      </c>
      <c r="J623" s="39">
        <f t="shared" si="124"/>
        <v>5.9889979641320693E-4</v>
      </c>
      <c r="K623" s="39">
        <f t="shared" si="124"/>
        <v>1.8331775866938184E-3</v>
      </c>
      <c r="L623" s="39">
        <f t="shared" ref="L623:V632" si="125">_xlfn.HYPGEOM.DIST(L$2,comau,tongtheN*$W623,tongtheN,TRUE)</f>
        <v>4.9562775947493577E-3</v>
      </c>
      <c r="M623" s="39">
        <f t="shared" si="125"/>
        <v>1.1959860485386983E-2</v>
      </c>
      <c r="N623" s="39">
        <f t="shared" si="125"/>
        <v>2.5986337616544335E-2</v>
      </c>
      <c r="O623" s="39">
        <f t="shared" si="125"/>
        <v>5.1233447363681746E-2</v>
      </c>
      <c r="P623" s="39">
        <f t="shared" si="125"/>
        <v>9.229032863280405E-2</v>
      </c>
      <c r="Q623" s="39">
        <f t="shared" si="125"/>
        <v>0.15287678151211037</v>
      </c>
      <c r="R623" s="39">
        <f t="shared" si="125"/>
        <v>0.23430587270979836</v>
      </c>
      <c r="S623" s="39">
        <f t="shared" si="125"/>
        <v>0.33429279406748202</v>
      </c>
      <c r="T623" s="39">
        <f t="shared" si="125"/>
        <v>0.4467522040624341</v>
      </c>
      <c r="U623" s="39">
        <f t="shared" si="125"/>
        <v>0.56286520423013353</v>
      </c>
      <c r="V623" s="39">
        <f t="shared" si="125"/>
        <v>0.673115218681128</v>
      </c>
      <c r="W623" s="37">
        <v>0.38</v>
      </c>
    </row>
    <row r="624" spans="2:23" x14ac:dyDescent="0.25">
      <c r="B624" s="39">
        <f t="shared" si="124"/>
        <v>3.9922792836904701E-11</v>
      </c>
      <c r="C624" s="39">
        <f t="shared" si="124"/>
        <v>1.2745784081838266E-9</v>
      </c>
      <c r="D624" s="39">
        <f t="shared" si="124"/>
        <v>1.9970417480496277E-8</v>
      </c>
      <c r="E624" s="39">
        <f t="shared" si="124"/>
        <v>2.0471684649056452E-7</v>
      </c>
      <c r="F624" s="39">
        <f t="shared" si="124"/>
        <v>1.5444029103371252E-6</v>
      </c>
      <c r="G624" s="39">
        <f t="shared" si="124"/>
        <v>9.1451790621070114E-6</v>
      </c>
      <c r="H624" s="39">
        <f t="shared" si="124"/>
        <v>4.427404904522329E-5</v>
      </c>
      <c r="I624" s="39">
        <f t="shared" si="124"/>
        <v>1.8024359015035818E-4</v>
      </c>
      <c r="J624" s="39">
        <f t="shared" si="124"/>
        <v>6.2994132589063389E-4</v>
      </c>
      <c r="K624" s="39">
        <f t="shared" si="124"/>
        <v>1.9202862276135086E-3</v>
      </c>
      <c r="L624" s="39">
        <f t="shared" si="125"/>
        <v>5.1707525160636768E-3</v>
      </c>
      <c r="M624" s="39">
        <f t="shared" si="125"/>
        <v>1.2427576434413171E-2</v>
      </c>
      <c r="N624" s="39">
        <f t="shared" si="125"/>
        <v>2.6896663028812801E-2</v>
      </c>
      <c r="O624" s="39">
        <f t="shared" si="125"/>
        <v>5.2824723367842295E-2</v>
      </c>
      <c r="P624" s="39">
        <f t="shared" si="125"/>
        <v>9.4801571619479566E-2</v>
      </c>
      <c r="Q624" s="39">
        <f t="shared" si="125"/>
        <v>0.15647023895221029</v>
      </c>
      <c r="R624" s="39">
        <f t="shared" si="125"/>
        <v>0.2389853418950344</v>
      </c>
      <c r="S624" s="39">
        <f t="shared" si="125"/>
        <v>0.33985522809748647</v>
      </c>
      <c r="T624" s="39">
        <f t="shared" si="125"/>
        <v>0.45280315544659294</v>
      </c>
      <c r="U624" s="39">
        <f t="shared" si="125"/>
        <v>0.56890178575641503</v>
      </c>
      <c r="V624" s="39">
        <f t="shared" si="125"/>
        <v>0.67864769523871782</v>
      </c>
      <c r="W624" s="37">
        <v>0.379</v>
      </c>
    </row>
    <row r="625" spans="2:23" x14ac:dyDescent="0.25">
      <c r="B625" s="39">
        <f t="shared" si="124"/>
        <v>4.3434497606200052E-11</v>
      </c>
      <c r="C625" s="39">
        <f t="shared" si="124"/>
        <v>1.3807307343365274E-9</v>
      </c>
      <c r="D625" s="39">
        <f t="shared" si="124"/>
        <v>2.1540906181020298E-8</v>
      </c>
      <c r="E625" s="39">
        <f t="shared" si="124"/>
        <v>2.1987282716201676E-7</v>
      </c>
      <c r="F625" s="39">
        <f t="shared" si="124"/>
        <v>1.651686430430544E-6</v>
      </c>
      <c r="G625" s="39">
        <f t="shared" si="124"/>
        <v>9.7390678244584801E-6</v>
      </c>
      <c r="H625" s="39">
        <f t="shared" si="124"/>
        <v>4.6950840345399057E-5</v>
      </c>
      <c r="I625" s="39">
        <f t="shared" si="124"/>
        <v>1.9034242440576853E-4</v>
      </c>
      <c r="J625" s="39">
        <f t="shared" si="124"/>
        <v>6.6247964741606043E-4</v>
      </c>
      <c r="K625" s="39">
        <f t="shared" si="124"/>
        <v>2.0111894579522621E-3</v>
      </c>
      <c r="L625" s="39">
        <f t="shared" si="125"/>
        <v>5.3935756604670381E-3</v>
      </c>
      <c r="M625" s="39">
        <f t="shared" si="125"/>
        <v>1.2911337955930158E-2</v>
      </c>
      <c r="N625" s="39">
        <f t="shared" si="125"/>
        <v>2.7834032546226753E-2</v>
      </c>
      <c r="O625" s="39">
        <f t="shared" si="125"/>
        <v>5.4455987730528878E-2</v>
      </c>
      <c r="P625" s="39">
        <f t="shared" si="125"/>
        <v>9.7364473043174735E-2</v>
      </c>
      <c r="Q625" s="39">
        <f t="shared" si="125"/>
        <v>0.16012130472995628</v>
      </c>
      <c r="R625" s="39">
        <f t="shared" si="125"/>
        <v>0.2437186784427875</v>
      </c>
      <c r="S625" s="39">
        <f t="shared" si="125"/>
        <v>0.34545665872263304</v>
      </c>
      <c r="T625" s="39">
        <f t="shared" si="125"/>
        <v>0.4588694109845079</v>
      </c>
      <c r="U625" s="39">
        <f t="shared" si="125"/>
        <v>0.57492669777613825</v>
      </c>
      <c r="V625" s="39">
        <f t="shared" si="125"/>
        <v>0.68414489445326521</v>
      </c>
      <c r="W625" s="37">
        <v>0.378</v>
      </c>
    </row>
    <row r="626" spans="2:23" x14ac:dyDescent="0.25">
      <c r="B626" s="39">
        <f t="shared" si="124"/>
        <v>4.6590705392231117E-11</v>
      </c>
      <c r="C626" s="39">
        <f t="shared" si="124"/>
        <v>1.4757494125819269E-9</v>
      </c>
      <c r="D626" s="39">
        <f t="shared" si="124"/>
        <v>2.2940962916502892E-8</v>
      </c>
      <c r="E626" s="39">
        <f t="shared" si="124"/>
        <v>2.333291277788614E-7</v>
      </c>
      <c r="F626" s="39">
        <f t="shared" si="124"/>
        <v>1.7465511964891511E-6</v>
      </c>
      <c r="G626" s="39">
        <f t="shared" si="124"/>
        <v>1.0262073964876124E-5</v>
      </c>
      <c r="H626" s="39">
        <f t="shared" si="124"/>
        <v>4.9298555558891183E-5</v>
      </c>
      <c r="I626" s="39">
        <f t="shared" si="124"/>
        <v>1.9916368871343153E-4</v>
      </c>
      <c r="J626" s="39">
        <f t="shared" si="124"/>
        <v>6.9078593342136252E-4</v>
      </c>
      <c r="K626" s="39">
        <f t="shared" si="124"/>
        <v>2.0899474580314365E-3</v>
      </c>
      <c r="L626" s="39">
        <f t="shared" si="125"/>
        <v>5.5858417725767823E-3</v>
      </c>
      <c r="M626" s="39">
        <f t="shared" si="125"/>
        <v>1.3327057376960123E-2</v>
      </c>
      <c r="N626" s="39">
        <f t="shared" si="125"/>
        <v>2.8636275346056346E-2</v>
      </c>
      <c r="O626" s="39">
        <f t="shared" si="125"/>
        <v>5.5846403937594429E-2</v>
      </c>
      <c r="P626" s="39">
        <f t="shared" si="125"/>
        <v>9.9540064316049948E-2</v>
      </c>
      <c r="Q626" s="39">
        <f t="shared" si="125"/>
        <v>0.16320796943894259</v>
      </c>
      <c r="R626" s="39">
        <f t="shared" si="125"/>
        <v>0.24770397860980295</v>
      </c>
      <c r="S626" s="39">
        <f t="shared" si="125"/>
        <v>0.3501536086162928</v>
      </c>
      <c r="T626" s="39">
        <f t="shared" si="125"/>
        <v>0.46393535560673893</v>
      </c>
      <c r="U626" s="39">
        <f t="shared" si="125"/>
        <v>0.57993756247340034</v>
      </c>
      <c r="V626" s="39">
        <f t="shared" si="125"/>
        <v>0.68869818254240722</v>
      </c>
      <c r="W626" s="37">
        <v>0.377</v>
      </c>
    </row>
    <row r="627" spans="2:23" x14ac:dyDescent="0.25">
      <c r="B627" s="39">
        <f t="shared" si="124"/>
        <v>5.0675767823866945E-11</v>
      </c>
      <c r="C627" s="39">
        <f t="shared" si="124"/>
        <v>1.5982291623323163E-9</v>
      </c>
      <c r="D627" s="39">
        <f t="shared" si="124"/>
        <v>2.4738273114538476E-8</v>
      </c>
      <c r="E627" s="39">
        <f t="shared" si="124"/>
        <v>2.5053295551015162E-7</v>
      </c>
      <c r="F627" s="39">
        <f t="shared" si="124"/>
        <v>1.8673398801154101E-6</v>
      </c>
      <c r="G627" s="39">
        <f t="shared" si="124"/>
        <v>1.0925282187794063E-5</v>
      </c>
      <c r="H627" s="39">
        <f t="shared" si="124"/>
        <v>5.2263456834292723E-5</v>
      </c>
      <c r="I627" s="39">
        <f t="shared" si="124"/>
        <v>2.1025843223776902E-4</v>
      </c>
      <c r="J627" s="39">
        <f t="shared" si="124"/>
        <v>7.2624202279595641E-4</v>
      </c>
      <c r="K627" s="39">
        <f t="shared" si="124"/>
        <v>2.1881955293774932E-3</v>
      </c>
      <c r="L627" s="39">
        <f t="shared" si="125"/>
        <v>5.8247072627292309E-3</v>
      </c>
      <c r="M627" s="39">
        <f t="shared" si="125"/>
        <v>1.3841423302219921E-2</v>
      </c>
      <c r="N627" s="39">
        <f t="shared" si="125"/>
        <v>2.962482574355502E-2</v>
      </c>
      <c r="O627" s="39">
        <f t="shared" si="125"/>
        <v>5.7552717401310412E-2</v>
      </c>
      <c r="P627" s="39">
        <f t="shared" si="125"/>
        <v>0.10219902681158473</v>
      </c>
      <c r="Q627" s="39">
        <f t="shared" si="125"/>
        <v>0.16696500378653359</v>
      </c>
      <c r="R627" s="39">
        <f t="shared" si="125"/>
        <v>0.2525349831886014</v>
      </c>
      <c r="S627" s="39">
        <f t="shared" si="125"/>
        <v>0.35582399872948201</v>
      </c>
      <c r="T627" s="39">
        <f t="shared" si="125"/>
        <v>0.47002620618819596</v>
      </c>
      <c r="U627" s="39">
        <f t="shared" si="125"/>
        <v>0.58593755315694462</v>
      </c>
      <c r="V627" s="39">
        <f t="shared" si="125"/>
        <v>0.69412797608875554</v>
      </c>
      <c r="W627" s="37">
        <v>0.376</v>
      </c>
    </row>
    <row r="628" spans="2:23" x14ac:dyDescent="0.25">
      <c r="B628" s="39">
        <f t="shared" si="124"/>
        <v>5.5111234025883443E-11</v>
      </c>
      <c r="C628" s="39">
        <f t="shared" si="124"/>
        <v>1.7306230056906787E-9</v>
      </c>
      <c r="D628" s="39">
        <f t="shared" si="124"/>
        <v>2.6672418492751547E-8</v>
      </c>
      <c r="E628" s="39">
        <f t="shared" si="124"/>
        <v>2.6896414608134269E-7</v>
      </c>
      <c r="F628" s="39">
        <f t="shared" si="124"/>
        <v>1.9961697099273047E-6</v>
      </c>
      <c r="G628" s="39">
        <f t="shared" si="124"/>
        <v>1.1629491264504315E-5</v>
      </c>
      <c r="H628" s="39">
        <f t="shared" si="124"/>
        <v>5.5397631061500465E-5</v>
      </c>
      <c r="I628" s="39">
        <f t="shared" si="124"/>
        <v>2.2193434918153218E-4</v>
      </c>
      <c r="J628" s="39">
        <f t="shared" si="124"/>
        <v>7.6338913385275045E-4</v>
      </c>
      <c r="K628" s="39">
        <f t="shared" si="124"/>
        <v>2.2906706348409266E-3</v>
      </c>
      <c r="L628" s="39">
        <f t="shared" si="125"/>
        <v>6.0727391556152678E-3</v>
      </c>
      <c r="M628" s="39">
        <f t="shared" si="125"/>
        <v>1.4373146652998886E-2</v>
      </c>
      <c r="N628" s="39">
        <f t="shared" si="125"/>
        <v>3.0642178178375348E-2</v>
      </c>
      <c r="O628" s="39">
        <f t="shared" si="125"/>
        <v>5.9300913508314013E-2</v>
      </c>
      <c r="P628" s="39">
        <f t="shared" si="125"/>
        <v>0.10491110312508367</v>
      </c>
      <c r="Q628" s="39">
        <f t="shared" si="125"/>
        <v>0.17077998907163289</v>
      </c>
      <c r="R628" s="39">
        <f t="shared" si="125"/>
        <v>0.25741861374670366</v>
      </c>
      <c r="S628" s="39">
        <f t="shared" si="125"/>
        <v>0.3615305744906992</v>
      </c>
      <c r="T628" s="39">
        <f t="shared" si="125"/>
        <v>0.47612856208457205</v>
      </c>
      <c r="U628" s="39">
        <f t="shared" si="125"/>
        <v>0.59192203761409434</v>
      </c>
      <c r="V628" s="39">
        <f t="shared" si="125"/>
        <v>0.69951955177742131</v>
      </c>
      <c r="W628" s="37">
        <v>0.375</v>
      </c>
    </row>
    <row r="629" spans="2:23" x14ac:dyDescent="0.25">
      <c r="B629" s="39">
        <f t="shared" si="124"/>
        <v>5.9926496048897528E-11</v>
      </c>
      <c r="C629" s="39">
        <f t="shared" si="124"/>
        <v>1.873712998652478E-9</v>
      </c>
      <c r="D629" s="39">
        <f t="shared" si="124"/>
        <v>2.8753509432771946E-8</v>
      </c>
      <c r="E629" s="39">
        <f t="shared" si="124"/>
        <v>2.8870725102809601E-7</v>
      </c>
      <c r="F629" s="39">
        <f t="shared" si="124"/>
        <v>2.1335543770396998E-6</v>
      </c>
      <c r="G629" s="39">
        <f t="shared" si="124"/>
        <v>1.2377114631267727E-5</v>
      </c>
      <c r="H629" s="39">
        <f t="shared" si="124"/>
        <v>5.8710188712453682E-5</v>
      </c>
      <c r="I629" s="39">
        <f t="shared" si="124"/>
        <v>2.3421976938790408E-4</v>
      </c>
      <c r="J629" s="39">
        <f t="shared" si="124"/>
        <v>8.0230103198628217E-4</v>
      </c>
      <c r="K629" s="39">
        <f t="shared" si="124"/>
        <v>2.3975352053029935E-3</v>
      </c>
      <c r="L629" s="39">
        <f t="shared" si="125"/>
        <v>6.3302411165791061E-3</v>
      </c>
      <c r="M629" s="39">
        <f t="shared" si="125"/>
        <v>1.4922707813484922E-2</v>
      </c>
      <c r="N629" s="39">
        <f t="shared" si="125"/>
        <v>3.1688965988797002E-2</v>
      </c>
      <c r="O629" s="39">
        <f t="shared" si="125"/>
        <v>6.1091659335518592E-2</v>
      </c>
      <c r="P629" s="39">
        <f t="shared" si="125"/>
        <v>0.10767678305110534</v>
      </c>
      <c r="Q629" s="39">
        <f t="shared" si="125"/>
        <v>0.17465300009088475</v>
      </c>
      <c r="R629" s="39">
        <f t="shared" si="125"/>
        <v>0.26235437520066374</v>
      </c>
      <c r="S629" s="39">
        <f t="shared" si="125"/>
        <v>0.36727229542427864</v>
      </c>
      <c r="T629" s="39">
        <f t="shared" si="125"/>
        <v>0.48224106104812292</v>
      </c>
      <c r="U629" s="39">
        <f t="shared" si="125"/>
        <v>0.59788967492269118</v>
      </c>
      <c r="V629" s="39">
        <f t="shared" si="125"/>
        <v>0.70487191320598908</v>
      </c>
      <c r="W629" s="37">
        <v>0.374</v>
      </c>
    </row>
    <row r="630" spans="2:23" x14ac:dyDescent="0.25">
      <c r="B630" s="39">
        <f t="shared" si="124"/>
        <v>6.5153355820148951E-11</v>
      </c>
      <c r="C630" s="39">
        <f t="shared" si="124"/>
        <v>2.0283412646465434E-9</v>
      </c>
      <c r="D630" s="39">
        <f t="shared" si="124"/>
        <v>3.0992380202100697E-8</v>
      </c>
      <c r="E630" s="39">
        <f t="shared" si="124"/>
        <v>3.098524322142704E-7</v>
      </c>
      <c r="F630" s="39">
        <f t="shared" si="124"/>
        <v>2.2800389386622677E-6</v>
      </c>
      <c r="G630" s="39">
        <f t="shared" si="124"/>
        <v>1.3170700148254677E-5</v>
      </c>
      <c r="H630" s="39">
        <f t="shared" si="124"/>
        <v>6.2210697978062624E-5</v>
      </c>
      <c r="I630" s="39">
        <f t="shared" si="124"/>
        <v>2.4714428761845068E-4</v>
      </c>
      <c r="J630" s="39">
        <f t="shared" si="124"/>
        <v>8.4305434945085821E-4</v>
      </c>
      <c r="K630" s="39">
        <f t="shared" si="124"/>
        <v>2.5089569975915694E-3</v>
      </c>
      <c r="L630" s="39">
        <f t="shared" si="125"/>
        <v>6.5975247835458693E-3</v>
      </c>
      <c r="M630" s="39">
        <f t="shared" si="125"/>
        <v>1.5490596264282301E-2</v>
      </c>
      <c r="N630" s="39">
        <f t="shared" si="125"/>
        <v>3.2765828912841667E-2</v>
      </c>
      <c r="O630" s="39">
        <f t="shared" si="125"/>
        <v>6.2925620426341214E-2</v>
      </c>
      <c r="P630" s="39">
        <f t="shared" si="125"/>
        <v>0.11049654292853486</v>
      </c>
      <c r="Q630" s="39">
        <f t="shared" si="125"/>
        <v>0.17858408675569637</v>
      </c>
      <c r="R630" s="39">
        <f t="shared" si="125"/>
        <v>0.26734174258595661</v>
      </c>
      <c r="S630" s="39">
        <f t="shared" si="125"/>
        <v>0.37304809651446025</v>
      </c>
      <c r="T630" s="39">
        <f t="shared" si="125"/>
        <v>0.48836233097028314</v>
      </c>
      <c r="U630" s="39">
        <f t="shared" si="125"/>
        <v>0.60383913248595578</v>
      </c>
      <c r="V630" s="39">
        <f t="shared" si="125"/>
        <v>0.71018408651775689</v>
      </c>
      <c r="W630" s="37">
        <v>0.373</v>
      </c>
    </row>
    <row r="631" spans="2:23" x14ac:dyDescent="0.25">
      <c r="B631" s="39">
        <f t="shared" si="124"/>
        <v>6.9848225674230109E-11</v>
      </c>
      <c r="C631" s="39">
        <f t="shared" si="124"/>
        <v>2.1666641854270775E-9</v>
      </c>
      <c r="D631" s="39">
        <f t="shared" si="124"/>
        <v>3.2986982422516575E-8</v>
      </c>
      <c r="E631" s="39">
        <f t="shared" si="124"/>
        <v>3.2861361175963699E-7</v>
      </c>
      <c r="F631" s="39">
        <f t="shared" si="124"/>
        <v>2.4094768483507498E-6</v>
      </c>
      <c r="G631" s="39">
        <f t="shared" si="124"/>
        <v>1.3869067170590134E-5</v>
      </c>
      <c r="H631" s="39">
        <f t="shared" si="124"/>
        <v>6.5278596741206817E-5</v>
      </c>
      <c r="I631" s="39">
        <f t="shared" si="124"/>
        <v>2.5842517870402646E-4</v>
      </c>
      <c r="J631" s="39">
        <f t="shared" si="124"/>
        <v>8.7847941861268839E-4</v>
      </c>
      <c r="K631" s="39">
        <f t="shared" si="124"/>
        <v>2.6054145019905931E-3</v>
      </c>
      <c r="L631" s="39">
        <f t="shared" si="125"/>
        <v>6.8279637344901669E-3</v>
      </c>
      <c r="M631" s="39">
        <f t="shared" si="125"/>
        <v>1.5978196084168197E-2</v>
      </c>
      <c r="N631" s="39">
        <f t="shared" si="125"/>
        <v>3.3686654544819984E-2</v>
      </c>
      <c r="O631" s="39">
        <f t="shared" si="125"/>
        <v>6.4487411766919175E-2</v>
      </c>
      <c r="P631" s="39">
        <f t="shared" si="125"/>
        <v>0.11288798783298515</v>
      </c>
      <c r="Q631" s="39">
        <f t="shared" si="125"/>
        <v>0.18190437412300575</v>
      </c>
      <c r="R631" s="39">
        <f t="shared" si="125"/>
        <v>0.2715369038288199</v>
      </c>
      <c r="S631" s="39">
        <f t="shared" si="125"/>
        <v>0.37788651253468808</v>
      </c>
      <c r="T631" s="39">
        <f t="shared" si="125"/>
        <v>0.49346909312235454</v>
      </c>
      <c r="U631" s="39">
        <f t="shared" si="125"/>
        <v>0.60878217142506275</v>
      </c>
      <c r="V631" s="39">
        <f t="shared" si="125"/>
        <v>0.71457951172020095</v>
      </c>
      <c r="W631" s="37">
        <v>0.372</v>
      </c>
    </row>
    <row r="632" spans="2:23" x14ac:dyDescent="0.25">
      <c r="B632" s="39">
        <f t="shared" si="124"/>
        <v>7.5921059793680695E-11</v>
      </c>
      <c r="C632" s="39">
        <f t="shared" si="124"/>
        <v>2.3448506913129373E-9</v>
      </c>
      <c r="D632" s="39">
        <f t="shared" si="124"/>
        <v>3.5545860823408875E-8</v>
      </c>
      <c r="E632" s="39">
        <f t="shared" si="124"/>
        <v>3.5258350325830852E-7</v>
      </c>
      <c r="F632" s="39">
        <f t="shared" si="124"/>
        <v>2.5741716478204717E-6</v>
      </c>
      <c r="G632" s="39">
        <f t="shared" si="124"/>
        <v>1.4754008487965621E-5</v>
      </c>
      <c r="H632" s="39">
        <f t="shared" si="124"/>
        <v>6.9150139099418033E-5</v>
      </c>
      <c r="I632" s="39">
        <f t="shared" si="124"/>
        <v>2.7260264180661208E-4</v>
      </c>
      <c r="J632" s="39">
        <f t="shared" si="124"/>
        <v>9.2281759648603302E-4</v>
      </c>
      <c r="K632" s="39">
        <f t="shared" si="124"/>
        <v>2.7256451137840543E-3</v>
      </c>
      <c r="L632" s="39">
        <f t="shared" si="125"/>
        <v>7.1140168694289914E-3</v>
      </c>
      <c r="M632" s="39">
        <f t="shared" si="125"/>
        <v>1.6580986072371413E-2</v>
      </c>
      <c r="N632" s="39">
        <f t="shared" si="125"/>
        <v>3.4820337063909822E-2</v>
      </c>
      <c r="O632" s="39">
        <f t="shared" si="125"/>
        <v>6.6402322358815186E-2</v>
      </c>
      <c r="P632" s="39">
        <f t="shared" si="125"/>
        <v>0.11580808427310028</v>
      </c>
      <c r="Q632" s="39">
        <f t="shared" si="125"/>
        <v>0.18594197787773883</v>
      </c>
      <c r="R632" s="39">
        <f t="shared" si="125"/>
        <v>0.27661741921078065</v>
      </c>
      <c r="S632" s="39">
        <f t="shared" si="125"/>
        <v>0.38372194829996487</v>
      </c>
      <c r="T632" s="39">
        <f t="shared" si="125"/>
        <v>0.49960285018179285</v>
      </c>
      <c r="U632" s="39">
        <f t="shared" si="125"/>
        <v>0.61469486956051111</v>
      </c>
      <c r="V632" s="39">
        <f t="shared" si="125"/>
        <v>0.71981555450167467</v>
      </c>
      <c r="W632" s="37">
        <v>0.371</v>
      </c>
    </row>
    <row r="633" spans="2:23" x14ac:dyDescent="0.25">
      <c r="B633" s="39">
        <f t="shared" ref="B633:K642" si="126">_xlfn.HYPGEOM.DIST(B$2,comau,tongtheN*$W633,tongtheN,TRUE)</f>
        <v>8.2510434453720405E-11</v>
      </c>
      <c r="C633" s="39">
        <f t="shared" si="126"/>
        <v>2.5373282722339645E-9</v>
      </c>
      <c r="D633" s="39">
        <f t="shared" si="126"/>
        <v>3.8297599450132285E-8</v>
      </c>
      <c r="E633" s="39">
        <f t="shared" si="126"/>
        <v>3.7824461248856244E-7</v>
      </c>
      <c r="F633" s="39">
        <f t="shared" si="126"/>
        <v>2.7496973429448182E-6</v>
      </c>
      <c r="G633" s="39">
        <f t="shared" si="126"/>
        <v>1.5692923709206385E-5</v>
      </c>
      <c r="H633" s="39">
        <f t="shared" si="126"/>
        <v>7.3239417189638353E-5</v>
      </c>
      <c r="I633" s="39">
        <f t="shared" si="126"/>
        <v>2.8751037153957725E-4</v>
      </c>
      <c r="J633" s="39">
        <f t="shared" si="126"/>
        <v>9.6923072159966204E-4</v>
      </c>
      <c r="K633" s="39">
        <f t="shared" si="126"/>
        <v>2.8509383545140144E-3</v>
      </c>
      <c r="L633" s="39">
        <f t="shared" ref="L633:V642" si="127">_xlfn.HYPGEOM.DIST(L$2,comau,tongtheN*$W633,tongtheN,TRUE)</f>
        <v>7.4107790419240087E-3</v>
      </c>
      <c r="M633" s="39">
        <f t="shared" si="127"/>
        <v>1.7203539650869751E-2</v>
      </c>
      <c r="N633" s="39">
        <f t="shared" si="127"/>
        <v>3.5985940059220831E-2</v>
      </c>
      <c r="O633" s="39">
        <f t="shared" si="127"/>
        <v>6.8362321291632888E-2</v>
      </c>
      <c r="P633" s="39">
        <f t="shared" si="127"/>
        <v>0.11878353171918823</v>
      </c>
      <c r="Q633" s="39">
        <f t="shared" si="127"/>
        <v>0.19003765928253197</v>
      </c>
      <c r="R633" s="39">
        <f t="shared" si="127"/>
        <v>0.28174789034502878</v>
      </c>
      <c r="S633" s="39">
        <f t="shared" si="127"/>
        <v>0.38958831764608265</v>
      </c>
      <c r="T633" s="39">
        <f t="shared" si="127"/>
        <v>0.50574144455159309</v>
      </c>
      <c r="U633" s="39">
        <f t="shared" si="127"/>
        <v>0.62058566514680913</v>
      </c>
      <c r="V633" s="39">
        <f t="shared" si="127"/>
        <v>0.72500877705197819</v>
      </c>
      <c r="W633" s="37">
        <v>0.37</v>
      </c>
    </row>
    <row r="634" spans="2:23" x14ac:dyDescent="0.25">
      <c r="B634" s="39">
        <f t="shared" si="126"/>
        <v>8.9659314645199994E-11</v>
      </c>
      <c r="C634" s="39">
        <f t="shared" si="126"/>
        <v>2.7452138275414767E-9</v>
      </c>
      <c r="D634" s="39">
        <f t="shared" si="126"/>
        <v>4.1256302080372362E-8</v>
      </c>
      <c r="E634" s="39">
        <f t="shared" si="126"/>
        <v>4.0571211471869188E-7</v>
      </c>
      <c r="F634" s="39">
        <f t="shared" si="126"/>
        <v>2.9367369922843893E-6</v>
      </c>
      <c r="G634" s="39">
        <f t="shared" si="126"/>
        <v>1.6688944081009363E-5</v>
      </c>
      <c r="H634" s="39">
        <f t="shared" si="126"/>
        <v>7.7557957510027622E-5</v>
      </c>
      <c r="I634" s="39">
        <f t="shared" si="126"/>
        <v>3.0318329320082142E-4</v>
      </c>
      <c r="J634" s="39">
        <f t="shared" si="126"/>
        <v>1.0178073098908273E-3</v>
      </c>
      <c r="K634" s="39">
        <f t="shared" si="126"/>
        <v>2.9814836459942551E-3</v>
      </c>
      <c r="L634" s="39">
        <f t="shared" si="127"/>
        <v>7.7185935666382322E-3</v>
      </c>
      <c r="M634" s="39">
        <f t="shared" si="127"/>
        <v>1.7846381176411248E-2</v>
      </c>
      <c r="N634" s="39">
        <f t="shared" si="127"/>
        <v>3.718412564382155E-2</v>
      </c>
      <c r="O634" s="39">
        <f t="shared" si="127"/>
        <v>7.0368063621648505E-2</v>
      </c>
      <c r="P634" s="39">
        <f t="shared" si="127"/>
        <v>0.12181474909488743</v>
      </c>
      <c r="Q634" s="39">
        <f t="shared" si="127"/>
        <v>0.19419136839179371</v>
      </c>
      <c r="R634" s="39">
        <f t="shared" si="127"/>
        <v>0.28692767729772783</v>
      </c>
      <c r="S634" s="39">
        <f t="shared" si="127"/>
        <v>0.39548446608637083</v>
      </c>
      <c r="T634" s="39">
        <f t="shared" si="127"/>
        <v>0.51188347436459425</v>
      </c>
      <c r="U634" s="39">
        <f t="shared" si="127"/>
        <v>0.62645326559533021</v>
      </c>
      <c r="V634" s="39">
        <f t="shared" si="127"/>
        <v>0.73015829682895039</v>
      </c>
      <c r="W634" s="37">
        <v>0.36899999999999999</v>
      </c>
    </row>
    <row r="635" spans="2:23" x14ac:dyDescent="0.25">
      <c r="B635" s="39">
        <f t="shared" si="126"/>
        <v>9.6077520910376638E-11</v>
      </c>
      <c r="C635" s="39">
        <f t="shared" si="126"/>
        <v>2.9310861721472696E-9</v>
      </c>
      <c r="D635" s="39">
        <f t="shared" si="126"/>
        <v>4.389084955051853E-8</v>
      </c>
      <c r="E635" s="39">
        <f t="shared" si="126"/>
        <v>4.3006988669742935E-7</v>
      </c>
      <c r="F635" s="39">
        <f t="shared" si="126"/>
        <v>3.1019199306108641E-6</v>
      </c>
      <c r="G635" s="39">
        <f t="shared" si="126"/>
        <v>1.7564960562983165E-5</v>
      </c>
      <c r="H635" s="39">
        <f t="shared" si="126"/>
        <v>8.1340580133904935E-5</v>
      </c>
      <c r="I635" s="39">
        <f t="shared" si="126"/>
        <v>3.1685483240652407E-4</v>
      </c>
      <c r="J635" s="39">
        <f t="shared" si="126"/>
        <v>1.060006615247599E-3</v>
      </c>
      <c r="K635" s="39">
        <f t="shared" si="126"/>
        <v>3.0944241647575467E-3</v>
      </c>
      <c r="L635" s="39">
        <f t="shared" si="127"/>
        <v>7.9838020289586635E-3</v>
      </c>
      <c r="M635" s="39">
        <f t="shared" si="127"/>
        <v>1.839796474849115E-2</v>
      </c>
      <c r="N635" s="39">
        <f t="shared" si="127"/>
        <v>3.8207984401526833E-2</v>
      </c>
      <c r="O635" s="39">
        <f t="shared" si="127"/>
        <v>7.207492827783496E-2</v>
      </c>
      <c r="P635" s="39">
        <f t="shared" si="127"/>
        <v>0.1243836564369022</v>
      </c>
      <c r="Q635" s="39">
        <f t="shared" si="127"/>
        <v>0.19769706457292421</v>
      </c>
      <c r="R635" s="39">
        <f t="shared" si="127"/>
        <v>0.2912813558188736</v>
      </c>
      <c r="S635" s="39">
        <f t="shared" si="127"/>
        <v>0.40041982289517641</v>
      </c>
      <c r="T635" s="39">
        <f t="shared" si="127"/>
        <v>0.51700344156101041</v>
      </c>
      <c r="U635" s="39">
        <f t="shared" si="127"/>
        <v>0.63132429021951919</v>
      </c>
      <c r="V635" s="39">
        <f t="shared" si="127"/>
        <v>0.73441555980553619</v>
      </c>
      <c r="W635" s="37">
        <v>0.36799999999999999</v>
      </c>
    </row>
    <row r="636" spans="2:23" x14ac:dyDescent="0.25">
      <c r="B636" s="39">
        <f t="shared" si="126"/>
        <v>1.0437553534542368E-10</v>
      </c>
      <c r="C636" s="39">
        <f t="shared" si="126"/>
        <v>3.1704068861172494E-9</v>
      </c>
      <c r="D636" s="39">
        <f t="shared" si="126"/>
        <v>4.7268979990956353E-8</v>
      </c>
      <c r="E636" s="39">
        <f t="shared" si="126"/>
        <v>4.6117363283059711E-7</v>
      </c>
      <c r="F636" s="39">
        <f t="shared" si="126"/>
        <v>3.311980700515487E-6</v>
      </c>
      <c r="G636" s="39">
        <f t="shared" si="126"/>
        <v>1.86743819832351E-5</v>
      </c>
      <c r="H636" s="39">
        <f t="shared" si="126"/>
        <v>8.6111275270069532E-5</v>
      </c>
      <c r="I636" s="39">
        <f t="shared" si="126"/>
        <v>3.3402641469820873E-4</v>
      </c>
      <c r="J636" s="39">
        <f t="shared" si="126"/>
        <v>1.1127906196581514E-3</v>
      </c>
      <c r="K636" s="39">
        <f t="shared" si="126"/>
        <v>3.2351101427465136E-3</v>
      </c>
      <c r="L636" s="39">
        <f t="shared" si="127"/>
        <v>8.3127992959908543E-3</v>
      </c>
      <c r="M636" s="39">
        <f t="shared" si="127"/>
        <v>1.907939276622948E-2</v>
      </c>
      <c r="N636" s="39">
        <f t="shared" si="127"/>
        <v>3.94676414922032E-2</v>
      </c>
      <c r="O636" s="39">
        <f t="shared" si="127"/>
        <v>7.4166221198470092E-2</v>
      </c>
      <c r="P636" s="39">
        <f t="shared" si="127"/>
        <v>0.12751815149136547</v>
      </c>
      <c r="Q636" s="39">
        <f t="shared" si="127"/>
        <v>0.20195693768641076</v>
      </c>
      <c r="R636" s="39">
        <f t="shared" si="127"/>
        <v>0.29654979358778805</v>
      </c>
      <c r="S636" s="39">
        <f t="shared" si="127"/>
        <v>0.40636749521223337</v>
      </c>
      <c r="T636" s="39">
        <f t="shared" si="127"/>
        <v>0.52314811073564105</v>
      </c>
      <c r="U636" s="39">
        <f t="shared" si="127"/>
        <v>0.63714605120991519</v>
      </c>
      <c r="V636" s="39">
        <f t="shared" si="127"/>
        <v>0.73948274892000798</v>
      </c>
      <c r="W636" s="37">
        <v>0.36699999999999999</v>
      </c>
    </row>
    <row r="637" spans="2:23" x14ac:dyDescent="0.25">
      <c r="B637" s="39">
        <f t="shared" si="126"/>
        <v>1.1337469577223685E-10</v>
      </c>
      <c r="C637" s="39">
        <f t="shared" si="126"/>
        <v>3.4287828125726584E-9</v>
      </c>
      <c r="D637" s="39">
        <f t="shared" si="126"/>
        <v>5.0899691490220368E-8</v>
      </c>
      <c r="E637" s="39">
        <f t="shared" si="126"/>
        <v>4.9445270516562623E-7</v>
      </c>
      <c r="F637" s="39">
        <f t="shared" si="126"/>
        <v>3.5357220595310155E-6</v>
      </c>
      <c r="G637" s="39">
        <f t="shared" si="126"/>
        <v>1.9850742091841415E-5</v>
      </c>
      <c r="H637" s="39">
        <f t="shared" si="126"/>
        <v>9.1147063362917574E-5</v>
      </c>
      <c r="I637" s="39">
        <f t="shared" si="126"/>
        <v>3.5207061975649635E-4</v>
      </c>
      <c r="J637" s="39">
        <f t="shared" si="126"/>
        <v>1.1680073955726484E-3</v>
      </c>
      <c r="K637" s="39">
        <f t="shared" si="126"/>
        <v>3.3816178294276585E-3</v>
      </c>
      <c r="L637" s="39">
        <f t="shared" si="127"/>
        <v>8.6538684063271754E-3</v>
      </c>
      <c r="M637" s="39">
        <f t="shared" si="127"/>
        <v>1.9782643507807677E-2</v>
      </c>
      <c r="N637" s="39">
        <f t="shared" si="127"/>
        <v>4.0761784516777415E-2</v>
      </c>
      <c r="O637" s="39">
        <f t="shared" si="127"/>
        <v>7.630509000729005E-2</v>
      </c>
      <c r="P637" s="39">
        <f t="shared" si="127"/>
        <v>0.13070951165889569</v>
      </c>
      <c r="Q637" s="39">
        <f t="shared" si="127"/>
        <v>0.20627454814073928</v>
      </c>
      <c r="R637" s="39">
        <f t="shared" si="127"/>
        <v>0.30186557140354991</v>
      </c>
      <c r="S637" s="39">
        <f t="shared" si="127"/>
        <v>0.41234155797951072</v>
      </c>
      <c r="T637" s="39">
        <f t="shared" si="127"/>
        <v>0.52929221595568687</v>
      </c>
      <c r="U637" s="39">
        <f t="shared" si="127"/>
        <v>0.64294102544943299</v>
      </c>
      <c r="V637" s="39">
        <f t="shared" si="127"/>
        <v>0.74450387189219325</v>
      </c>
      <c r="W637" s="37">
        <v>0.36599999999999999</v>
      </c>
    </row>
    <row r="638" spans="2:23" x14ac:dyDescent="0.25">
      <c r="B638" s="39">
        <f t="shared" si="126"/>
        <v>1.2313293771533409E-10</v>
      </c>
      <c r="C638" s="39">
        <f t="shared" si="126"/>
        <v>3.7076922956243717E-9</v>
      </c>
      <c r="D638" s="39">
        <f t="shared" si="126"/>
        <v>5.4801304909229776E-8</v>
      </c>
      <c r="E638" s="39">
        <f t="shared" si="126"/>
        <v>5.300539008192946E-7</v>
      </c>
      <c r="F638" s="39">
        <f t="shared" si="126"/>
        <v>3.7739979683381733E-6</v>
      </c>
      <c r="G638" s="39">
        <f t="shared" si="126"/>
        <v>2.1097879356348061E-5</v>
      </c>
      <c r="H638" s="39">
        <f t="shared" si="126"/>
        <v>9.6461792444635421E-5</v>
      </c>
      <c r="I638" s="39">
        <f t="shared" si="126"/>
        <v>3.7102854332634043E-4</v>
      </c>
      <c r="J638" s="39">
        <f t="shared" si="126"/>
        <v>1.2257588598318225E-3</v>
      </c>
      <c r="K638" s="39">
        <f t="shared" si="126"/>
        <v>3.5341603499888497E-3</v>
      </c>
      <c r="L638" s="39">
        <f t="shared" si="127"/>
        <v>9.0073860206859729E-3</v>
      </c>
      <c r="M638" s="39">
        <f t="shared" si="127"/>
        <v>2.0508275864337618E-2</v>
      </c>
      <c r="N638" s="39">
        <f t="shared" si="127"/>
        <v>4.2091093983848089E-2</v>
      </c>
      <c r="O638" s="39">
        <f t="shared" si="127"/>
        <v>7.8492171461774493E-2</v>
      </c>
      <c r="P638" s="39">
        <f t="shared" si="127"/>
        <v>0.13395808912419885</v>
      </c>
      <c r="Q638" s="39">
        <f t="shared" si="127"/>
        <v>0.21064973964607822</v>
      </c>
      <c r="R638" s="39">
        <f t="shared" si="127"/>
        <v>0.30722793478218863</v>
      </c>
      <c r="S638" s="39">
        <f t="shared" si="127"/>
        <v>0.4183407756030651</v>
      </c>
      <c r="T638" s="39">
        <f t="shared" si="127"/>
        <v>0.53543433881955371</v>
      </c>
      <c r="U638" s="39">
        <f t="shared" si="127"/>
        <v>0.64870797283149928</v>
      </c>
      <c r="V638" s="39">
        <f t="shared" si="127"/>
        <v>0.74947814429539505</v>
      </c>
      <c r="W638" s="37">
        <v>0.36499999999999999</v>
      </c>
    </row>
    <row r="639" spans="2:23" x14ac:dyDescent="0.25">
      <c r="B639" s="39">
        <f t="shared" si="126"/>
        <v>1.3188968450848338E-10</v>
      </c>
      <c r="C639" s="39">
        <f t="shared" si="126"/>
        <v>3.9569457820865795E-9</v>
      </c>
      <c r="D639" s="39">
        <f t="shared" si="126"/>
        <v>5.8273693874187541E-8</v>
      </c>
      <c r="E639" s="39">
        <f t="shared" si="126"/>
        <v>5.616078922761467E-7</v>
      </c>
      <c r="F639" s="39">
        <f t="shared" si="126"/>
        <v>3.9843152020585283E-6</v>
      </c>
      <c r="G639" s="39">
        <f t="shared" si="126"/>
        <v>2.2194138947293326E-5</v>
      </c>
      <c r="H639" s="39">
        <f t="shared" si="126"/>
        <v>1.0111426822416389E-4</v>
      </c>
      <c r="I639" s="39">
        <f t="shared" si="126"/>
        <v>3.8755565695794479E-4</v>
      </c>
      <c r="J639" s="39">
        <f t="shared" si="126"/>
        <v>1.2758974265916457E-3</v>
      </c>
      <c r="K639" s="39">
        <f t="shared" si="126"/>
        <v>3.666047328153219E-3</v>
      </c>
      <c r="L639" s="39">
        <f t="shared" si="127"/>
        <v>9.3117712365605107E-3</v>
      </c>
      <c r="M639" s="39">
        <f t="shared" si="127"/>
        <v>2.1130475921879718E-2</v>
      </c>
      <c r="N639" s="39">
        <f t="shared" si="127"/>
        <v>4.3226208888899331E-2</v>
      </c>
      <c r="O639" s="39">
        <f t="shared" si="127"/>
        <v>8.0352023604326694E-2</v>
      </c>
      <c r="P639" s="39">
        <f t="shared" si="127"/>
        <v>0.13670918567086904</v>
      </c>
      <c r="Q639" s="39">
        <f t="shared" si="127"/>
        <v>0.21433958550342763</v>
      </c>
      <c r="R639" s="39">
        <f t="shared" si="127"/>
        <v>0.31173159231428316</v>
      </c>
      <c r="S639" s="39">
        <f t="shared" si="127"/>
        <v>0.42335843414208846</v>
      </c>
      <c r="T639" s="39">
        <f t="shared" si="127"/>
        <v>0.54055023547580372</v>
      </c>
      <c r="U639" s="39">
        <f t="shared" si="127"/>
        <v>0.65349146904956412</v>
      </c>
      <c r="V639" s="39">
        <f t="shared" si="127"/>
        <v>0.75358703509185854</v>
      </c>
      <c r="W639" s="37">
        <v>0.36399999999999999</v>
      </c>
    </row>
    <row r="640" spans="2:23" x14ac:dyDescent="0.25">
      <c r="B640" s="39">
        <f t="shared" si="126"/>
        <v>1.4320583162608261E-10</v>
      </c>
      <c r="C640" s="39">
        <f t="shared" si="126"/>
        <v>4.2777159028621292E-9</v>
      </c>
      <c r="D640" s="39">
        <f t="shared" si="126"/>
        <v>6.2723875862681904E-8</v>
      </c>
      <c r="E640" s="39">
        <f t="shared" si="126"/>
        <v>6.0187962456788932E-7</v>
      </c>
      <c r="F640" s="39">
        <f t="shared" si="126"/>
        <v>4.2516265133656912E-6</v>
      </c>
      <c r="G640" s="39">
        <f t="shared" si="126"/>
        <v>2.358170035815471E-5</v>
      </c>
      <c r="H640" s="39">
        <f t="shared" si="126"/>
        <v>1.0697860798096694E-4</v>
      </c>
      <c r="I640" s="39">
        <f t="shared" si="126"/>
        <v>4.0830135605214661E-4</v>
      </c>
      <c r="J640" s="39">
        <f t="shared" si="126"/>
        <v>1.3385730839557868E-3</v>
      </c>
      <c r="K640" s="39">
        <f t="shared" si="126"/>
        <v>3.8302290036580076E-3</v>
      </c>
      <c r="L640" s="39">
        <f t="shared" si="127"/>
        <v>9.6891191608807249E-3</v>
      </c>
      <c r="M640" s="39">
        <f t="shared" si="127"/>
        <v>2.1898622258584046E-2</v>
      </c>
      <c r="N640" s="39">
        <f t="shared" si="127"/>
        <v>4.4621770807164104E-2</v>
      </c>
      <c r="O640" s="39">
        <f t="shared" si="127"/>
        <v>8.2629127939315095E-2</v>
      </c>
      <c r="P640" s="39">
        <f t="shared" si="127"/>
        <v>0.14006351291252842</v>
      </c>
      <c r="Q640" s="39">
        <f t="shared" si="127"/>
        <v>0.21881984085820061</v>
      </c>
      <c r="R640" s="39">
        <f t="shared" si="127"/>
        <v>0.3171773047808647</v>
      </c>
      <c r="S640" s="39">
        <f t="shared" si="127"/>
        <v>0.42940049527465918</v>
      </c>
      <c r="T640" s="39">
        <f t="shared" si="127"/>
        <v>0.54668503387451561</v>
      </c>
      <c r="U640" s="39">
        <f t="shared" si="127"/>
        <v>0.65920386556903643</v>
      </c>
      <c r="V640" s="39">
        <f t="shared" si="127"/>
        <v>0.75847346580496411</v>
      </c>
      <c r="W640" s="37">
        <v>0.36299999999999999</v>
      </c>
    </row>
    <row r="641" spans="2:23" x14ac:dyDescent="0.25">
      <c r="B641" s="39">
        <f t="shared" si="126"/>
        <v>1.5547186819858169E-10</v>
      </c>
      <c r="C641" s="39">
        <f t="shared" si="126"/>
        <v>4.6238421776810986E-9</v>
      </c>
      <c r="D641" s="39">
        <f t="shared" si="126"/>
        <v>6.7504152462567845E-8</v>
      </c>
      <c r="E641" s="39">
        <f t="shared" si="126"/>
        <v>6.4494316819908277E-7</v>
      </c>
      <c r="F641" s="39">
        <f t="shared" si="126"/>
        <v>4.5361778240099441E-6</v>
      </c>
      <c r="G641" s="39">
        <f t="shared" si="126"/>
        <v>2.5052077931707105E-5</v>
      </c>
      <c r="H641" s="39">
        <f t="shared" si="126"/>
        <v>1.1316487675693713E-4</v>
      </c>
      <c r="I641" s="39">
        <f t="shared" si="126"/>
        <v>4.3008699695677981E-4</v>
      </c>
      <c r="J641" s="39">
        <f t="shared" si="126"/>
        <v>1.4040930056031377E-3</v>
      </c>
      <c r="K641" s="39">
        <f t="shared" si="126"/>
        <v>4.0010852889447055E-3</v>
      </c>
      <c r="L641" s="39">
        <f t="shared" si="127"/>
        <v>1.008003173953622E-2</v>
      </c>
      <c r="M641" s="39">
        <f t="shared" si="127"/>
        <v>2.2690781777186916E-2</v>
      </c>
      <c r="N641" s="39">
        <f t="shared" si="127"/>
        <v>4.6054448141584131E-2</v>
      </c>
      <c r="O641" s="39">
        <f t="shared" si="127"/>
        <v>8.4956213791572574E-2</v>
      </c>
      <c r="P641" s="39">
        <f t="shared" si="127"/>
        <v>0.14347595033977495</v>
      </c>
      <c r="Q641" s="39">
        <f t="shared" si="127"/>
        <v>0.22335707740727445</v>
      </c>
      <c r="R641" s="39">
        <f t="shared" si="127"/>
        <v>0.32266730475853034</v>
      </c>
      <c r="S641" s="39">
        <f t="shared" si="127"/>
        <v>0.43546410619452713</v>
      </c>
      <c r="T641" s="39">
        <f t="shared" si="127"/>
        <v>0.55281382295635828</v>
      </c>
      <c r="U641" s="39">
        <f t="shared" si="127"/>
        <v>0.66488480929597216</v>
      </c>
      <c r="V641" s="39">
        <f t="shared" si="127"/>
        <v>0.76331096872146231</v>
      </c>
      <c r="W641" s="37">
        <v>0.36199999999999999</v>
      </c>
    </row>
    <row r="642" spans="2:23" x14ac:dyDescent="0.25">
      <c r="B642" s="39">
        <f t="shared" si="126"/>
        <v>1.6876576908590499E-10</v>
      </c>
      <c r="C642" s="39">
        <f t="shared" si="126"/>
        <v>4.9972774568256628E-9</v>
      </c>
      <c r="D642" s="39">
        <f t="shared" si="126"/>
        <v>7.2638272250793471E-8</v>
      </c>
      <c r="E642" s="39">
        <f t="shared" si="126"/>
        <v>6.9098520513774878E-7</v>
      </c>
      <c r="F642" s="39">
        <f t="shared" si="126"/>
        <v>4.83903421843435E-6</v>
      </c>
      <c r="G642" s="39">
        <f t="shared" si="126"/>
        <v>2.6609965165055383E-5</v>
      </c>
      <c r="H642" s="39">
        <f t="shared" si="126"/>
        <v>1.1968966649933803E-4</v>
      </c>
      <c r="I642" s="39">
        <f t="shared" si="126"/>
        <v>4.529607939353391E-4</v>
      </c>
      <c r="J642" s="39">
        <f t="shared" si="126"/>
        <v>1.4725741598234957E-3</v>
      </c>
      <c r="K642" s="39">
        <f t="shared" si="126"/>
        <v>4.1788551112082331E-3</v>
      </c>
      <c r="L642" s="39">
        <f t="shared" si="127"/>
        <v>1.0484920475177212E-2</v>
      </c>
      <c r="M642" s="39">
        <f t="shared" si="127"/>
        <v>2.3507547040500388E-2</v>
      </c>
      <c r="N642" s="39">
        <f t="shared" si="127"/>
        <v>4.7524935049791196E-2</v>
      </c>
      <c r="O642" s="39">
        <f t="shared" si="127"/>
        <v>8.7333891184909876E-2</v>
      </c>
      <c r="P642" s="39">
        <f t="shared" si="127"/>
        <v>0.14694677410035784</v>
      </c>
      <c r="Q642" s="39">
        <f t="shared" si="127"/>
        <v>0.2279510269498935</v>
      </c>
      <c r="R642" s="39">
        <f t="shared" si="127"/>
        <v>0.32820072514681159</v>
      </c>
      <c r="S642" s="39">
        <f t="shared" si="127"/>
        <v>0.44154795991999324</v>
      </c>
      <c r="T642" s="39">
        <f t="shared" si="127"/>
        <v>0.5589351814747523</v>
      </c>
      <c r="U642" s="39">
        <f t="shared" si="127"/>
        <v>0.67053312443539248</v>
      </c>
      <c r="V642" s="39">
        <f t="shared" si="127"/>
        <v>0.76809886299174512</v>
      </c>
      <c r="W642" s="37">
        <v>0.36099999999999999</v>
      </c>
    </row>
    <row r="643" spans="2:23" x14ac:dyDescent="0.25">
      <c r="B643" s="39">
        <f t="shared" ref="B643:K652" si="128">_xlfn.HYPGEOM.DIST(B$2,comau,tongtheN*$W643,tongtheN,TRUE)</f>
        <v>1.8068976375093405E-10</v>
      </c>
      <c r="C643" s="39">
        <f t="shared" si="128"/>
        <v>5.330844431102393E-9</v>
      </c>
      <c r="D643" s="39">
        <f t="shared" si="128"/>
        <v>7.7205277035367882E-8</v>
      </c>
      <c r="E643" s="39">
        <f t="shared" si="128"/>
        <v>7.3177177363566034E-7</v>
      </c>
      <c r="F643" s="39">
        <f t="shared" si="128"/>
        <v>5.1062093048546615E-6</v>
      </c>
      <c r="G643" s="39">
        <f t="shared" si="128"/>
        <v>2.7978611382193108E-5</v>
      </c>
      <c r="H643" s="39">
        <f t="shared" si="128"/>
        <v>1.2539810171159732E-4</v>
      </c>
      <c r="I643" s="39">
        <f t="shared" si="128"/>
        <v>4.7288970588163368E-4</v>
      </c>
      <c r="J643" s="39">
        <f t="shared" si="128"/>
        <v>1.5319911388819217E-3</v>
      </c>
      <c r="K643" s="39">
        <f t="shared" si="128"/>
        <v>4.3324550705487906E-3</v>
      </c>
      <c r="L643" s="39">
        <f t="shared" ref="L643:V652" si="129">_xlfn.HYPGEOM.DIST(L$2,comau,tongtheN*$W643,tongtheN,TRUE)</f>
        <v>1.0833307298440724E-2</v>
      </c>
      <c r="M643" s="39">
        <f t="shared" si="129"/>
        <v>2.4207414247976754E-2</v>
      </c>
      <c r="N643" s="39">
        <f t="shared" si="129"/>
        <v>4.8779725783853582E-2</v>
      </c>
      <c r="O643" s="39">
        <f t="shared" si="129"/>
        <v>8.9354369615338242E-2</v>
      </c>
      <c r="P643" s="39">
        <f t="shared" si="129"/>
        <v>0.14988391238799628</v>
      </c>
      <c r="Q643" s="39">
        <f t="shared" si="129"/>
        <v>0.23182242644674694</v>
      </c>
      <c r="R643" s="39">
        <f t="shared" si="129"/>
        <v>0.3328444316388785</v>
      </c>
      <c r="S643" s="39">
        <f t="shared" si="129"/>
        <v>0.44663234667749951</v>
      </c>
      <c r="T643" s="39">
        <f t="shared" si="129"/>
        <v>0.56402961313654498</v>
      </c>
      <c r="U643" s="39">
        <f t="shared" si="129"/>
        <v>0.67521429368386676</v>
      </c>
      <c r="V643" s="39">
        <f t="shared" si="129"/>
        <v>0.77205040736744568</v>
      </c>
      <c r="W643" s="37">
        <v>0.36</v>
      </c>
    </row>
    <row r="644" spans="2:23" x14ac:dyDescent="0.25">
      <c r="B644" s="39">
        <f t="shared" si="128"/>
        <v>1.9609170334025855E-10</v>
      </c>
      <c r="C644" s="39">
        <f t="shared" si="128"/>
        <v>5.7599114264751363E-9</v>
      </c>
      <c r="D644" s="39">
        <f t="shared" si="128"/>
        <v>8.3055357023500396E-8</v>
      </c>
      <c r="E644" s="39">
        <f t="shared" si="128"/>
        <v>7.8379959408073889E-7</v>
      </c>
      <c r="F644" s="39">
        <f t="shared" si="128"/>
        <v>5.445601930798481E-6</v>
      </c>
      <c r="G644" s="39">
        <f t="shared" si="128"/>
        <v>2.9709963791884252E-5</v>
      </c>
      <c r="H644" s="39">
        <f t="shared" si="128"/>
        <v>1.3258926305499336E-4</v>
      </c>
      <c r="I644" s="39">
        <f t="shared" si="128"/>
        <v>4.9789045820093744E-4</v>
      </c>
      <c r="J644" s="39">
        <f t="shared" si="128"/>
        <v>1.606219084289436E-3</v>
      </c>
      <c r="K644" s="39">
        <f t="shared" si="128"/>
        <v>4.5235438587062785E-3</v>
      </c>
      <c r="L644" s="39">
        <f t="shared" si="129"/>
        <v>1.126491869994423E-2</v>
      </c>
      <c r="M644" s="39">
        <f t="shared" si="129"/>
        <v>2.5070857428916786E-2</v>
      </c>
      <c r="N644" s="39">
        <f t="shared" si="129"/>
        <v>5.0321341757254591E-2</v>
      </c>
      <c r="O644" s="39">
        <f t="shared" si="129"/>
        <v>9.1826354122332199E-2</v>
      </c>
      <c r="P644" s="39">
        <f t="shared" si="129"/>
        <v>0.15346242370879518</v>
      </c>
      <c r="Q644" s="39">
        <f t="shared" si="129"/>
        <v>0.2365195535449795</v>
      </c>
      <c r="R644" s="39">
        <f t="shared" si="129"/>
        <v>0.33845510844669918</v>
      </c>
      <c r="S644" s="39">
        <f t="shared" si="129"/>
        <v>0.45274986224966857</v>
      </c>
      <c r="T644" s="39">
        <f t="shared" si="129"/>
        <v>0.57013366345272043</v>
      </c>
      <c r="U644" s="39">
        <f t="shared" si="129"/>
        <v>0.68079979825734127</v>
      </c>
      <c r="V644" s="39">
        <f t="shared" si="129"/>
        <v>0.77674567638604264</v>
      </c>
      <c r="W644" s="37">
        <v>0.35899999999999999</v>
      </c>
    </row>
    <row r="645" spans="2:23" x14ac:dyDescent="0.25">
      <c r="B645" s="39">
        <f t="shared" si="128"/>
        <v>2.1277806807156093E-10</v>
      </c>
      <c r="C645" s="39">
        <f t="shared" si="128"/>
        <v>6.2226514858101379E-9</v>
      </c>
      <c r="D645" s="39">
        <f t="shared" si="128"/>
        <v>8.933592692811369E-8</v>
      </c>
      <c r="E645" s="39">
        <f t="shared" si="128"/>
        <v>8.3940253091974557E-7</v>
      </c>
      <c r="F645" s="39">
        <f t="shared" si="128"/>
        <v>5.8066698769162756E-6</v>
      </c>
      <c r="G645" s="39">
        <f t="shared" si="128"/>
        <v>3.154352761262297E-5</v>
      </c>
      <c r="H645" s="39">
        <f t="shared" si="128"/>
        <v>1.4017037999179509E-4</v>
      </c>
      <c r="I645" s="39">
        <f t="shared" si="128"/>
        <v>5.2412723210200785E-4</v>
      </c>
      <c r="J645" s="39">
        <f t="shared" si="128"/>
        <v>1.683762972104733E-3</v>
      </c>
      <c r="K645" s="39">
        <f t="shared" si="128"/>
        <v>4.7222620832047526E-3</v>
      </c>
      <c r="L645" s="39">
        <f t="shared" si="129"/>
        <v>1.1711722999407349E-2</v>
      </c>
      <c r="M645" s="39">
        <f t="shared" si="129"/>
        <v>2.5960631455754238E-2</v>
      </c>
      <c r="N645" s="39">
        <f t="shared" si="129"/>
        <v>5.1902747343107625E-2</v>
      </c>
      <c r="O645" s="39">
        <f t="shared" si="129"/>
        <v>9.4350610712871125E-2</v>
      </c>
      <c r="P645" s="39">
        <f t="shared" si="129"/>
        <v>0.15709998581707219</v>
      </c>
      <c r="Q645" s="39">
        <f t="shared" si="129"/>
        <v>0.24127246999940191</v>
      </c>
      <c r="R645" s="39">
        <f t="shared" si="129"/>
        <v>0.34410659302553309</v>
      </c>
      <c r="S645" s="39">
        <f t="shared" si="129"/>
        <v>0.45888382848600134</v>
      </c>
      <c r="T645" s="39">
        <f t="shared" si="129"/>
        <v>0.57622626790061626</v>
      </c>
      <c r="U645" s="39">
        <f t="shared" si="129"/>
        <v>0.68634944637891948</v>
      </c>
      <c r="V645" s="39">
        <f t="shared" si="129"/>
        <v>0.78138955916970576</v>
      </c>
      <c r="W645" s="37">
        <v>0.35799999999999998</v>
      </c>
    </row>
    <row r="646" spans="2:23" x14ac:dyDescent="0.25">
      <c r="B646" s="39">
        <f t="shared" si="128"/>
        <v>2.3085360793979836E-10</v>
      </c>
      <c r="C646" s="39">
        <f t="shared" si="128"/>
        <v>6.7216391674281021E-9</v>
      </c>
      <c r="D646" s="39">
        <f t="shared" si="128"/>
        <v>9.6077706454266616E-8</v>
      </c>
      <c r="E646" s="39">
        <f t="shared" si="128"/>
        <v>8.9881745847374477E-7</v>
      </c>
      <c r="F646" s="39">
        <f t="shared" si="128"/>
        <v>6.1907383940416054E-6</v>
      </c>
      <c r="G646" s="39">
        <f t="shared" si="128"/>
        <v>3.3485027269692169E-5</v>
      </c>
      <c r="H646" s="39">
        <f t="shared" si="128"/>
        <v>1.4816127782832174E-4</v>
      </c>
      <c r="I646" s="39">
        <f t="shared" si="128"/>
        <v>5.5165642580917642E-4</v>
      </c>
      <c r="J646" s="39">
        <f t="shared" si="128"/>
        <v>1.7647566063859991E-3</v>
      </c>
      <c r="K646" s="39">
        <f t="shared" si="128"/>
        <v>4.928876608206915E-3</v>
      </c>
      <c r="L646" s="39">
        <f t="shared" si="129"/>
        <v>1.2174167808449632E-2</v>
      </c>
      <c r="M646" s="39">
        <f t="shared" si="129"/>
        <v>2.687736111359185E-2</v>
      </c>
      <c r="N646" s="39">
        <f t="shared" si="129"/>
        <v>5.3524644810114673E-2</v>
      </c>
      <c r="O646" s="39">
        <f t="shared" si="129"/>
        <v>9.6927713685754868E-2</v>
      </c>
      <c r="P646" s="39">
        <f t="shared" si="129"/>
        <v>0.1607967897048809</v>
      </c>
      <c r="Q646" s="39">
        <f t="shared" si="129"/>
        <v>0.24608079121277163</v>
      </c>
      <c r="R646" s="39">
        <f t="shared" si="129"/>
        <v>0.34979790916418824</v>
      </c>
      <c r="S646" s="39">
        <f t="shared" si="129"/>
        <v>0.46503287799317095</v>
      </c>
      <c r="T646" s="39">
        <f t="shared" si="129"/>
        <v>0.58230601633886048</v>
      </c>
      <c r="U646" s="39">
        <f t="shared" si="129"/>
        <v>0.69186213756300941</v>
      </c>
      <c r="V646" s="39">
        <f t="shared" si="129"/>
        <v>0.78598148250044775</v>
      </c>
      <c r="W646" s="37">
        <v>0.35699999999999998</v>
      </c>
    </row>
    <row r="647" spans="2:23" x14ac:dyDescent="0.25">
      <c r="B647" s="39">
        <f t="shared" si="128"/>
        <v>2.5043142365651783E-10</v>
      </c>
      <c r="C647" s="39">
        <f t="shared" si="128"/>
        <v>7.2596406201564515E-9</v>
      </c>
      <c r="D647" s="39">
        <f t="shared" si="128"/>
        <v>1.0331353745350093E-7</v>
      </c>
      <c r="E647" s="39">
        <f t="shared" si="128"/>
        <v>9.6229633990423694E-7</v>
      </c>
      <c r="F647" s="39">
        <f t="shared" si="128"/>
        <v>6.5992099363521183E-6</v>
      </c>
      <c r="G647" s="39">
        <f t="shared" si="128"/>
        <v>3.5540489002258874E-5</v>
      </c>
      <c r="H647" s="39">
        <f t="shared" si="128"/>
        <v>1.5658271502197435E-4</v>
      </c>
      <c r="I647" s="39">
        <f t="shared" si="128"/>
        <v>5.8053676318289534E-4</v>
      </c>
      <c r="J647" s="39">
        <f t="shared" si="128"/>
        <v>1.8493384929894683E-3</v>
      </c>
      <c r="K647" s="39">
        <f t="shared" si="128"/>
        <v>5.1436619385166601E-3</v>
      </c>
      <c r="L647" s="39">
        <f t="shared" si="129"/>
        <v>1.2652710332375347E-2</v>
      </c>
      <c r="M647" s="39">
        <f t="shared" si="129"/>
        <v>2.782167927567783E-2</v>
      </c>
      <c r="N647" s="39">
        <f t="shared" si="129"/>
        <v>5.5187737532574103E-2</v>
      </c>
      <c r="O647" s="39">
        <f t="shared" si="129"/>
        <v>9.9558226480863793E-2</v>
      </c>
      <c r="P647" s="39">
        <f t="shared" si="129"/>
        <v>0.16455300268885067</v>
      </c>
      <c r="Q647" s="39">
        <f t="shared" si="129"/>
        <v>0.25094410163545178</v>
      </c>
      <c r="R647" s="39">
        <f t="shared" si="129"/>
        <v>0.35552805296282974</v>
      </c>
      <c r="S647" s="39">
        <f t="shared" si="129"/>
        <v>0.47119562956675443</v>
      </c>
      <c r="T647" s="39">
        <f t="shared" si="129"/>
        <v>0.58837150382810477</v>
      </c>
      <c r="U647" s="39">
        <f t="shared" si="129"/>
        <v>0.69733679265777782</v>
      </c>
      <c r="V647" s="39">
        <f t="shared" si="129"/>
        <v>0.79052090172591316</v>
      </c>
      <c r="W647" s="37">
        <v>0.35599999999999998</v>
      </c>
    </row>
    <row r="648" spans="2:23" x14ac:dyDescent="0.25">
      <c r="B648" s="39">
        <f t="shared" si="128"/>
        <v>2.6798164592280577E-10</v>
      </c>
      <c r="C648" s="39">
        <f t="shared" si="128"/>
        <v>7.7399147006796722E-9</v>
      </c>
      <c r="D648" s="39">
        <f t="shared" si="128"/>
        <v>1.0974605254153942E-7</v>
      </c>
      <c r="E648" s="39">
        <f t="shared" si="128"/>
        <v>1.0184926425571951E-6</v>
      </c>
      <c r="F648" s="39">
        <f t="shared" si="128"/>
        <v>6.9593121087808728E-6</v>
      </c>
      <c r="G648" s="39">
        <f t="shared" si="128"/>
        <v>3.7344994335915058E-5</v>
      </c>
      <c r="H648" s="39">
        <f t="shared" si="128"/>
        <v>1.6394511156287691E-4</v>
      </c>
      <c r="I648" s="39">
        <f t="shared" si="128"/>
        <v>6.0567986461602301E-4</v>
      </c>
      <c r="J648" s="39">
        <f t="shared" si="128"/>
        <v>1.9226676891345384E-3</v>
      </c>
      <c r="K648" s="39">
        <f t="shared" si="128"/>
        <v>5.3290947228724142E-3</v>
      </c>
      <c r="L648" s="39">
        <f t="shared" si="129"/>
        <v>1.3064129159432685E-2</v>
      </c>
      <c r="M648" s="39">
        <f t="shared" si="129"/>
        <v>2.8630147704824725E-2</v>
      </c>
      <c r="N648" s="39">
        <f t="shared" si="129"/>
        <v>5.6605624649005155E-2</v>
      </c>
      <c r="O648" s="39">
        <f t="shared" si="129"/>
        <v>0.10179151819736411</v>
      </c>
      <c r="P648" s="39">
        <f t="shared" si="129"/>
        <v>0.16772866607121278</v>
      </c>
      <c r="Q648" s="39">
        <f t="shared" si="129"/>
        <v>0.25503854463520476</v>
      </c>
      <c r="R648" s="39">
        <f t="shared" si="129"/>
        <v>0.36033208965626329</v>
      </c>
      <c r="S648" s="39">
        <f t="shared" si="129"/>
        <v>0.47634071727783861</v>
      </c>
      <c r="T648" s="39">
        <f t="shared" si="129"/>
        <v>0.59341417359389814</v>
      </c>
      <c r="U648" s="39">
        <f t="shared" si="129"/>
        <v>0.7018691865282024</v>
      </c>
      <c r="V648" s="39">
        <f t="shared" si="129"/>
        <v>0.79426327068971347</v>
      </c>
      <c r="W648" s="37">
        <v>0.35499999999999998</v>
      </c>
    </row>
    <row r="649" spans="2:23" x14ac:dyDescent="0.25">
      <c r="B649" s="39">
        <f t="shared" si="128"/>
        <v>2.9063773640710839E-10</v>
      </c>
      <c r="C649" s="39">
        <f t="shared" si="128"/>
        <v>8.3573177672981643E-9</v>
      </c>
      <c r="D649" s="39">
        <f t="shared" si="128"/>
        <v>1.1798055886718442E-7</v>
      </c>
      <c r="E649" s="39">
        <f t="shared" si="128"/>
        <v>1.0901303129561357E-6</v>
      </c>
      <c r="F649" s="39">
        <f t="shared" si="128"/>
        <v>7.4164384496283992E-6</v>
      </c>
      <c r="G649" s="39">
        <f t="shared" si="128"/>
        <v>3.9626099490573023E-5</v>
      </c>
      <c r="H649" s="39">
        <f t="shared" si="128"/>
        <v>1.7321304287030558E-4</v>
      </c>
      <c r="I649" s="39">
        <f t="shared" si="128"/>
        <v>6.3719787171000533E-4</v>
      </c>
      <c r="J649" s="39">
        <f t="shared" si="128"/>
        <v>2.0142039062136059E-3</v>
      </c>
      <c r="K649" s="39">
        <f t="shared" si="128"/>
        <v>5.5595987536710984E-3</v>
      </c>
      <c r="L649" s="39">
        <f t="shared" si="129"/>
        <v>1.3573403703254055E-2</v>
      </c>
      <c r="M649" s="39">
        <f t="shared" si="129"/>
        <v>2.9626714716110579E-2</v>
      </c>
      <c r="N649" s="39">
        <f t="shared" si="129"/>
        <v>5.8346070697262997E-2</v>
      </c>
      <c r="O649" s="39">
        <f t="shared" si="129"/>
        <v>0.10452137372310329</v>
      </c>
      <c r="P649" s="39">
        <f t="shared" si="129"/>
        <v>0.17159414935904629</v>
      </c>
      <c r="Q649" s="39">
        <f t="shared" si="129"/>
        <v>0.26000148583294419</v>
      </c>
      <c r="R649" s="39">
        <f t="shared" si="129"/>
        <v>0.36613071978598294</v>
      </c>
      <c r="S649" s="39">
        <f t="shared" si="129"/>
        <v>0.482524959569755</v>
      </c>
      <c r="T649" s="39">
        <f t="shared" si="129"/>
        <v>0.59944988814994304</v>
      </c>
      <c r="U649" s="39">
        <f t="shared" si="129"/>
        <v>0.70727137943291729</v>
      </c>
      <c r="V649" s="39">
        <f t="shared" si="129"/>
        <v>0.7987051131953653</v>
      </c>
      <c r="W649" s="37">
        <v>0.35399999999999998</v>
      </c>
    </row>
    <row r="650" spans="2:23" x14ac:dyDescent="0.25">
      <c r="B650" s="39">
        <f t="shared" si="128"/>
        <v>3.1516779571175682E-10</v>
      </c>
      <c r="C650" s="39">
        <f t="shared" si="128"/>
        <v>9.0227377016844755E-9</v>
      </c>
      <c r="D650" s="39">
        <f t="shared" si="128"/>
        <v>1.2681496900577018E-7</v>
      </c>
      <c r="E650" s="39">
        <f t="shared" si="128"/>
        <v>1.1666360453452819E-6</v>
      </c>
      <c r="F650" s="39">
        <f t="shared" si="128"/>
        <v>7.9023988360714925E-6</v>
      </c>
      <c r="G650" s="39">
        <f t="shared" si="128"/>
        <v>4.2040012371919973E-5</v>
      </c>
      <c r="H650" s="39">
        <f t="shared" si="128"/>
        <v>1.8297575137945544E-4</v>
      </c>
      <c r="I650" s="39">
        <f t="shared" si="128"/>
        <v>6.7024677556173418E-4</v>
      </c>
      <c r="J650" s="39">
        <f t="shared" si="128"/>
        <v>2.1097475123686526E-3</v>
      </c>
      <c r="K650" s="39">
        <f t="shared" si="128"/>
        <v>5.7990941192893669E-3</v>
      </c>
      <c r="L650" s="39">
        <f t="shared" si="129"/>
        <v>1.4100123984860975E-2</v>
      </c>
      <c r="M650" s="39">
        <f t="shared" si="129"/>
        <v>3.0652705889658446E-2</v>
      </c>
      <c r="N650" s="39">
        <f t="shared" si="129"/>
        <v>6.0129706940190729E-2</v>
      </c>
      <c r="O650" s="39">
        <f t="shared" si="129"/>
        <v>0.10730617078485995</v>
      </c>
      <c r="P650" s="39">
        <f t="shared" si="129"/>
        <v>0.17551938211042464</v>
      </c>
      <c r="Q650" s="39">
        <f t="shared" si="129"/>
        <v>0.26501806912160941</v>
      </c>
      <c r="R650" s="39">
        <f t="shared" si="129"/>
        <v>0.37196518623547142</v>
      </c>
      <c r="S650" s="39">
        <f t="shared" si="129"/>
        <v>0.48871892296026226</v>
      </c>
      <c r="T650" s="39">
        <f t="shared" si="129"/>
        <v>0.60546739766339075</v>
      </c>
      <c r="U650" s="39">
        <f t="shared" si="129"/>
        <v>0.71263260020814423</v>
      </c>
      <c r="V650" s="39">
        <f t="shared" si="129"/>
        <v>0.803093064761635</v>
      </c>
      <c r="W650" s="37">
        <v>0.35299999999999998</v>
      </c>
    </row>
    <row r="651" spans="2:23" x14ac:dyDescent="0.25">
      <c r="B651" s="39">
        <f t="shared" si="128"/>
        <v>3.4172340928569938E-10</v>
      </c>
      <c r="C651" s="39">
        <f t="shared" si="128"/>
        <v>9.7398122895596667E-9</v>
      </c>
      <c r="D651" s="39">
        <f t="shared" si="128"/>
        <v>1.3629165364740168E-7</v>
      </c>
      <c r="E651" s="39">
        <f t="shared" si="128"/>
        <v>1.248328652686655E-6</v>
      </c>
      <c r="F651" s="39">
        <f t="shared" si="128"/>
        <v>8.418933082467211E-6</v>
      </c>
      <c r="G651" s="39">
        <f t="shared" si="128"/>
        <v>4.459405932631939E-5</v>
      </c>
      <c r="H651" s="39">
        <f t="shared" si="128"/>
        <v>1.9325795502914765E-4</v>
      </c>
      <c r="I651" s="39">
        <f t="shared" si="128"/>
        <v>7.0489500863980901E-4</v>
      </c>
      <c r="J651" s="39">
        <f t="shared" si="128"/>
        <v>2.2094562860466823E-3</v>
      </c>
      <c r="K651" s="39">
        <f t="shared" si="128"/>
        <v>6.0478859590341197E-3</v>
      </c>
      <c r="L651" s="39">
        <f t="shared" si="129"/>
        <v>1.4644784495295823E-2</v>
      </c>
      <c r="M651" s="39">
        <f t="shared" si="129"/>
        <v>3.1708783557115996E-2</v>
      </c>
      <c r="N651" s="39">
        <f t="shared" si="129"/>
        <v>6.1957236734508071E-2</v>
      </c>
      <c r="O651" s="39">
        <f t="shared" si="129"/>
        <v>0.11014642510171041</v>
      </c>
      <c r="P651" s="39">
        <f t="shared" si="129"/>
        <v>0.17950443550164863</v>
      </c>
      <c r="Q651" s="39">
        <f t="shared" si="129"/>
        <v>0.27008775867623358</v>
      </c>
      <c r="R651" s="39">
        <f t="shared" si="129"/>
        <v>0.37783438270151037</v>
      </c>
      <c r="S651" s="39">
        <f t="shared" si="129"/>
        <v>0.49492118126422691</v>
      </c>
      <c r="T651" s="39">
        <f t="shared" si="129"/>
        <v>0.61146532592791325</v>
      </c>
      <c r="U651" s="39">
        <f t="shared" si="129"/>
        <v>0.71795185742543932</v>
      </c>
      <c r="V651" s="39">
        <f t="shared" si="129"/>
        <v>0.80742669141268286</v>
      </c>
      <c r="W651" s="37">
        <v>0.35199999999999998</v>
      </c>
    </row>
    <row r="652" spans="2:23" x14ac:dyDescent="0.25">
      <c r="B652" s="39">
        <f t="shared" si="128"/>
        <v>3.6551801321463916E-10</v>
      </c>
      <c r="C652" s="39">
        <f t="shared" si="128"/>
        <v>1.0379642346004682E-8</v>
      </c>
      <c r="D652" s="39">
        <f t="shared" si="128"/>
        <v>1.4471208353801269E-7</v>
      </c>
      <c r="E652" s="39">
        <f t="shared" si="128"/>
        <v>1.320611871947525E-6</v>
      </c>
      <c r="F652" s="39">
        <f t="shared" si="128"/>
        <v>8.8740574681315533E-6</v>
      </c>
      <c r="G652" s="39">
        <f t="shared" si="128"/>
        <v>4.683502642375869E-5</v>
      </c>
      <c r="H652" s="39">
        <f t="shared" si="128"/>
        <v>2.022419144798638E-4</v>
      </c>
      <c r="I652" s="39">
        <f t="shared" si="128"/>
        <v>7.3504151662786839E-4</v>
      </c>
      <c r="J652" s="39">
        <f t="shared" si="128"/>
        <v>2.2958461905602094E-3</v>
      </c>
      <c r="K652" s="39">
        <f t="shared" si="128"/>
        <v>6.2625398708873606E-3</v>
      </c>
      <c r="L652" s="39">
        <f t="shared" si="129"/>
        <v>1.5112736141066648E-2</v>
      </c>
      <c r="M652" s="39">
        <f t="shared" si="129"/>
        <v>3.2612313855197618E-2</v>
      </c>
      <c r="N652" s="39">
        <f t="shared" si="129"/>
        <v>6.3514214657979545E-2</v>
      </c>
      <c r="O652" s="39">
        <f t="shared" si="129"/>
        <v>0.11255602923571219</v>
      </c>
      <c r="P652" s="39">
        <f t="shared" si="129"/>
        <v>0.18287104273380392</v>
      </c>
      <c r="Q652" s="39">
        <f t="shared" si="129"/>
        <v>0.27435265878410053</v>
      </c>
      <c r="R652" s="39">
        <f t="shared" si="129"/>
        <v>0.38275109377220712</v>
      </c>
      <c r="S652" s="39">
        <f t="shared" si="129"/>
        <v>0.50009503067681349</v>
      </c>
      <c r="T652" s="39">
        <f t="shared" si="129"/>
        <v>0.616447655451553</v>
      </c>
      <c r="U652" s="39">
        <f t="shared" si="129"/>
        <v>0.72235181782277114</v>
      </c>
      <c r="V652" s="39">
        <f t="shared" si="129"/>
        <v>0.81099625575256928</v>
      </c>
      <c r="W652" s="37">
        <v>0.35099999999999998</v>
      </c>
    </row>
    <row r="653" spans="2:23" x14ac:dyDescent="0.25">
      <c r="B653" s="39">
        <f t="shared" ref="B653:K662" si="130">_xlfn.HYPGEOM.DIST(B$2,comau,tongtheN*$W653,tongtheN,TRUE)</f>
        <v>3.9622126115450418E-10</v>
      </c>
      <c r="C653" s="39">
        <f t="shared" si="130"/>
        <v>1.1201768634716417E-8</v>
      </c>
      <c r="D653" s="39">
        <f t="shared" si="130"/>
        <v>1.5548606057171844E-7</v>
      </c>
      <c r="E653" s="39">
        <f t="shared" si="130"/>
        <v>1.4127091881525059E-6</v>
      </c>
      <c r="F653" s="39">
        <f t="shared" si="130"/>
        <v>9.4514978135606592E-6</v>
      </c>
      <c r="G653" s="39">
        <f t="shared" si="130"/>
        <v>4.9666287069937898E-5</v>
      </c>
      <c r="H653" s="39">
        <f t="shared" si="130"/>
        <v>2.135445398052158E-4</v>
      </c>
      <c r="I653" s="39">
        <f t="shared" si="130"/>
        <v>7.7280878367394436E-4</v>
      </c>
      <c r="J653" s="39">
        <f t="shared" si="130"/>
        <v>2.4036187903397161E-3</v>
      </c>
      <c r="K653" s="39">
        <f t="shared" si="130"/>
        <v>6.529195535031407E-3</v>
      </c>
      <c r="L653" s="39">
        <f t="shared" ref="L653:V662" si="131">_xlfn.HYPGEOM.DIST(L$2,comau,tongtheN*$W653,tongtheN,TRUE)</f>
        <v>1.5691604011885327E-2</v>
      </c>
      <c r="M653" s="39">
        <f t="shared" si="131"/>
        <v>3.3725294129612178E-2</v>
      </c>
      <c r="N653" s="39">
        <f t="shared" si="131"/>
        <v>6.542403846029915E-2</v>
      </c>
      <c r="O653" s="39">
        <f t="shared" si="131"/>
        <v>0.11549924747035702</v>
      </c>
      <c r="P653" s="39">
        <f t="shared" si="131"/>
        <v>0.18696586404805424</v>
      </c>
      <c r="Q653" s="39">
        <f t="shared" si="131"/>
        <v>0.27951821297378565</v>
      </c>
      <c r="R653" s="39">
        <f t="shared" si="131"/>
        <v>0.38868100399899697</v>
      </c>
      <c r="S653" s="39">
        <f t="shared" si="131"/>
        <v>0.50630876104878386</v>
      </c>
      <c r="T653" s="39">
        <f t="shared" si="131"/>
        <v>0.62240614351156209</v>
      </c>
      <c r="U653" s="39">
        <f t="shared" si="131"/>
        <v>0.72759164803508547</v>
      </c>
      <c r="V653" s="39">
        <f t="shared" si="131"/>
        <v>0.81522925604124774</v>
      </c>
      <c r="W653" s="37">
        <v>0.35</v>
      </c>
    </row>
    <row r="654" spans="2:23" x14ac:dyDescent="0.25">
      <c r="B654" s="39">
        <f t="shared" si="130"/>
        <v>4.2944776894897893E-10</v>
      </c>
      <c r="C654" s="39">
        <f t="shared" si="130"/>
        <v>1.2087377889850622E-8</v>
      </c>
      <c r="D654" s="39">
        <f t="shared" si="130"/>
        <v>1.6703873249276584E-7</v>
      </c>
      <c r="E654" s="39">
        <f t="shared" si="130"/>
        <v>1.5110096829396518E-6</v>
      </c>
      <c r="F654" s="39">
        <f t="shared" si="130"/>
        <v>1.0065002292824636E-5</v>
      </c>
      <c r="G654" s="39">
        <f t="shared" si="130"/>
        <v>5.2660563551174409E-5</v>
      </c>
      <c r="H654" s="39">
        <f t="shared" si="130"/>
        <v>2.2544304377006608E-4</v>
      </c>
      <c r="I654" s="39">
        <f t="shared" si="130"/>
        <v>8.1238453028953557E-4</v>
      </c>
      <c r="J654" s="39">
        <f t="shared" si="130"/>
        <v>2.516033202357556E-3</v>
      </c>
      <c r="K654" s="39">
        <f t="shared" si="130"/>
        <v>6.806057992419675E-3</v>
      </c>
      <c r="L654" s="39">
        <f t="shared" si="131"/>
        <v>1.6289866632815037E-2</v>
      </c>
      <c r="M654" s="39">
        <f t="shared" si="131"/>
        <v>3.4870275982627597E-2</v>
      </c>
      <c r="N654" s="39">
        <f t="shared" si="131"/>
        <v>6.7379740524695447E-2</v>
      </c>
      <c r="O654" s="39">
        <f t="shared" si="131"/>
        <v>0.11849930551485328</v>
      </c>
      <c r="P654" s="39">
        <f t="shared" si="131"/>
        <v>0.19112056231685243</v>
      </c>
      <c r="Q654" s="39">
        <f t="shared" si="131"/>
        <v>0.28473518297328759</v>
      </c>
      <c r="R654" s="39">
        <f t="shared" si="131"/>
        <v>0.39464237239010463</v>
      </c>
      <c r="S654" s="39">
        <f t="shared" si="131"/>
        <v>0.51252669652266158</v>
      </c>
      <c r="T654" s="39">
        <f t="shared" si="131"/>
        <v>0.62834120720632902</v>
      </c>
      <c r="U654" s="39">
        <f t="shared" si="131"/>
        <v>0.73278683962468594</v>
      </c>
      <c r="V654" s="39">
        <f t="shared" si="131"/>
        <v>0.81940685967704274</v>
      </c>
      <c r="W654" s="37">
        <v>0.34899999999999998</v>
      </c>
    </row>
    <row r="655" spans="2:23" x14ac:dyDescent="0.25">
      <c r="B655" s="39">
        <f t="shared" si="130"/>
        <v>4.6540033383694891E-10</v>
      </c>
      <c r="C655" s="39">
        <f t="shared" si="130"/>
        <v>1.3041244934148038E-8</v>
      </c>
      <c r="D655" s="39">
        <f t="shared" si="130"/>
        <v>1.7942465053535564E-7</v>
      </c>
      <c r="E655" s="39">
        <f t="shared" si="130"/>
        <v>1.6159158635492175E-6</v>
      </c>
      <c r="F655" s="39">
        <f t="shared" si="130"/>
        <v>1.0716724118149735E-5</v>
      </c>
      <c r="G655" s="39">
        <f t="shared" si="130"/>
        <v>5.5826740090306948E-5</v>
      </c>
      <c r="H655" s="39">
        <f t="shared" si="130"/>
        <v>2.379667776629471E-4</v>
      </c>
      <c r="I655" s="39">
        <f t="shared" si="130"/>
        <v>8.5384826100675108E-4</v>
      </c>
      <c r="J655" s="39">
        <f t="shared" si="130"/>
        <v>2.6332685515636457E-3</v>
      </c>
      <c r="K655" s="39">
        <f t="shared" si="130"/>
        <v>7.0934651163287116E-3</v>
      </c>
      <c r="L655" s="39">
        <f t="shared" si="131"/>
        <v>1.6908056298746466E-2</v>
      </c>
      <c r="M655" s="39">
        <f t="shared" si="131"/>
        <v>3.604794819407732E-2</v>
      </c>
      <c r="N655" s="39">
        <f t="shared" si="131"/>
        <v>6.9382016838981958E-2</v>
      </c>
      <c r="O655" s="39">
        <f t="shared" si="131"/>
        <v>0.12155666146249336</v>
      </c>
      <c r="P655" s="39">
        <f t="shared" si="131"/>
        <v>0.19533510448715344</v>
      </c>
      <c r="Q655" s="39">
        <f t="shared" si="131"/>
        <v>0.29000291118667793</v>
      </c>
      <c r="R655" s="39">
        <f t="shared" si="131"/>
        <v>0.40063399737160604</v>
      </c>
      <c r="S655" s="39">
        <f t="shared" si="131"/>
        <v>0.51874737924054426</v>
      </c>
      <c r="T655" s="39">
        <f t="shared" si="131"/>
        <v>0.63425151280238867</v>
      </c>
      <c r="U655" s="39">
        <f t="shared" si="131"/>
        <v>0.73793649739121858</v>
      </c>
      <c r="V655" s="39">
        <f t="shared" si="131"/>
        <v>0.8235287441221939</v>
      </c>
      <c r="W655" s="37">
        <v>0.34799999999999998</v>
      </c>
    </row>
    <row r="656" spans="2:23" x14ac:dyDescent="0.25">
      <c r="B656" s="39">
        <f t="shared" si="130"/>
        <v>4.9760050561704385E-10</v>
      </c>
      <c r="C656" s="39">
        <f t="shared" si="130"/>
        <v>1.3891961356681546E-8</v>
      </c>
      <c r="D656" s="39">
        <f t="shared" si="130"/>
        <v>1.9042466314928316E-7</v>
      </c>
      <c r="E656" s="39">
        <f t="shared" si="130"/>
        <v>1.7086913865568445E-6</v>
      </c>
      <c r="F656" s="39">
        <f t="shared" si="130"/>
        <v>1.129065725478647E-5</v>
      </c>
      <c r="G656" s="39">
        <f t="shared" si="130"/>
        <v>5.8603256241469186E-5</v>
      </c>
      <c r="H656" s="39">
        <f t="shared" si="130"/>
        <v>2.4890292353669412E-4</v>
      </c>
      <c r="I656" s="39">
        <f t="shared" si="130"/>
        <v>8.8990310051730503E-4</v>
      </c>
      <c r="J656" s="39">
        <f t="shared" si="130"/>
        <v>2.7347806585191008E-3</v>
      </c>
      <c r="K656" s="39">
        <f t="shared" si="130"/>
        <v>7.341275898697589E-3</v>
      </c>
      <c r="L656" s="39">
        <f t="shared" si="131"/>
        <v>1.7438827266877246E-2</v>
      </c>
      <c r="M656" s="39">
        <f t="shared" si="131"/>
        <v>3.7054814793591406E-2</v>
      </c>
      <c r="N656" s="39">
        <f t="shared" si="131"/>
        <v>7.108665788794484E-2</v>
      </c>
      <c r="O656" s="39">
        <f t="shared" si="131"/>
        <v>0.12414854628487802</v>
      </c>
      <c r="P656" s="39">
        <f t="shared" si="131"/>
        <v>0.19889289356136161</v>
      </c>
      <c r="Q656" s="39">
        <f t="shared" si="131"/>
        <v>0.29443096190639412</v>
      </c>
      <c r="R656" s="39">
        <f t="shared" si="131"/>
        <v>0.40564924773533217</v>
      </c>
      <c r="S656" s="39">
        <f t="shared" si="131"/>
        <v>0.52393232416771884</v>
      </c>
      <c r="T656" s="39">
        <f t="shared" si="131"/>
        <v>0.63915690197317132</v>
      </c>
      <c r="U656" s="39">
        <f t="shared" si="131"/>
        <v>0.74219246843915454</v>
      </c>
      <c r="V656" s="39">
        <f t="shared" si="131"/>
        <v>0.82692087192392449</v>
      </c>
      <c r="W656" s="37">
        <v>0.34699999999999998</v>
      </c>
    </row>
    <row r="657" spans="2:23" x14ac:dyDescent="0.25">
      <c r="B657" s="39">
        <f t="shared" si="130"/>
        <v>5.3913127127862172E-10</v>
      </c>
      <c r="C657" s="39">
        <f t="shared" si="130"/>
        <v>1.4984545876621044E-8</v>
      </c>
      <c r="D657" s="39">
        <f t="shared" si="130"/>
        <v>2.0449231778875156E-7</v>
      </c>
      <c r="E657" s="39">
        <f t="shared" si="130"/>
        <v>1.8268376592831167E-6</v>
      </c>
      <c r="F657" s="39">
        <f t="shared" si="130"/>
        <v>1.2018446817514712E-5</v>
      </c>
      <c r="G657" s="39">
        <f t="shared" si="130"/>
        <v>6.2109179829301323E-5</v>
      </c>
      <c r="H657" s="39">
        <f t="shared" si="130"/>
        <v>2.626536000395319E-4</v>
      </c>
      <c r="I657" s="39">
        <f t="shared" si="130"/>
        <v>9.3504508781711503E-4</v>
      </c>
      <c r="J657" s="39">
        <f t="shared" si="130"/>
        <v>2.8613393845983684E-3</v>
      </c>
      <c r="K657" s="39">
        <f t="shared" si="130"/>
        <v>7.6489219918841975E-3</v>
      </c>
      <c r="L657" s="39">
        <f t="shared" si="131"/>
        <v>1.8094965168665832E-2</v>
      </c>
      <c r="M657" s="39">
        <f t="shared" si="131"/>
        <v>3.8294228990439064E-2</v>
      </c>
      <c r="N657" s="39">
        <f t="shared" si="131"/>
        <v>7.3176116856294146E-2</v>
      </c>
      <c r="O657" s="39">
        <f t="shared" si="131"/>
        <v>0.12731208228943211</v>
      </c>
      <c r="P657" s="39">
        <f t="shared" si="131"/>
        <v>0.20321696901283778</v>
      </c>
      <c r="Q657" s="39">
        <f t="shared" si="131"/>
        <v>0.29978993332599091</v>
      </c>
      <c r="R657" s="39">
        <f t="shared" si="131"/>
        <v>0.41169314486825404</v>
      </c>
      <c r="S657" s="39">
        <f t="shared" si="131"/>
        <v>0.5301542379539379</v>
      </c>
      <c r="T657" s="39">
        <f t="shared" si="131"/>
        <v>0.64501839843790487</v>
      </c>
      <c r="U657" s="39">
        <f t="shared" si="131"/>
        <v>0.74725641022999678</v>
      </c>
      <c r="V657" s="39">
        <f t="shared" si="131"/>
        <v>0.83093986306383316</v>
      </c>
      <c r="W657" s="37">
        <v>0.34599999999999997</v>
      </c>
    </row>
    <row r="658" spans="2:23" x14ac:dyDescent="0.25">
      <c r="B658" s="39">
        <f t="shared" si="130"/>
        <v>5.8405333358329287E-10</v>
      </c>
      <c r="C658" s="39">
        <f t="shared" si="130"/>
        <v>1.6160898345168754E-8</v>
      </c>
      <c r="D658" s="39">
        <f t="shared" si="130"/>
        <v>2.195686720660633E-7</v>
      </c>
      <c r="E658" s="39">
        <f t="shared" si="130"/>
        <v>1.9528712780610124E-6</v>
      </c>
      <c r="F658" s="39">
        <f t="shared" si="130"/>
        <v>1.2791240354890743E-5</v>
      </c>
      <c r="G658" s="39">
        <f t="shared" si="130"/>
        <v>6.5814714781467268E-5</v>
      </c>
      <c r="H658" s="39">
        <f t="shared" si="130"/>
        <v>2.7712008011085036E-4</v>
      </c>
      <c r="I658" s="39">
        <f t="shared" si="130"/>
        <v>9.8231767299458272E-4</v>
      </c>
      <c r="J658" s="39">
        <f t="shared" si="130"/>
        <v>2.9932592421769199E-3</v>
      </c>
      <c r="K658" s="39">
        <f t="shared" si="130"/>
        <v>7.968118706499534E-3</v>
      </c>
      <c r="L658" s="39">
        <f t="shared" si="131"/>
        <v>1.8772591995462908E-2</v>
      </c>
      <c r="M658" s="39">
        <f t="shared" si="131"/>
        <v>3.9568318431903934E-2</v>
      </c>
      <c r="N658" s="39">
        <f t="shared" si="131"/>
        <v>7.5314102617495743E-2</v>
      </c>
      <c r="O658" s="39">
        <f t="shared" si="131"/>
        <v>0.13053412119358021</v>
      </c>
      <c r="P658" s="39">
        <f t="shared" si="131"/>
        <v>0.20760063871549322</v>
      </c>
      <c r="Q658" s="39">
        <f t="shared" si="131"/>
        <v>0.30519762706401427</v>
      </c>
      <c r="R658" s="39">
        <f t="shared" si="131"/>
        <v>0.41776376867289561</v>
      </c>
      <c r="S658" s="39">
        <f t="shared" si="131"/>
        <v>0.53637473915257416</v>
      </c>
      <c r="T658" s="39">
        <f t="shared" si="131"/>
        <v>0.65085143301697412</v>
      </c>
      <c r="U658" s="39">
        <f t="shared" si="131"/>
        <v>0.75227242635843772</v>
      </c>
      <c r="V658" s="39">
        <f t="shared" si="131"/>
        <v>0.83490237847495807</v>
      </c>
      <c r="W658" s="37">
        <v>0.34499999999999997</v>
      </c>
    </row>
    <row r="659" spans="2:23" x14ac:dyDescent="0.25">
      <c r="B659" s="39">
        <f t="shared" si="130"/>
        <v>6.3263751743796182E-10</v>
      </c>
      <c r="C659" s="39">
        <f t="shared" si="130"/>
        <v>1.742727399697228E-8</v>
      </c>
      <c r="D659" s="39">
        <f t="shared" si="130"/>
        <v>2.3572381502963627E-7</v>
      </c>
      <c r="E659" s="39">
        <f t="shared" si="130"/>
        <v>2.0872992955958309E-6</v>
      </c>
      <c r="F659" s="39">
        <f t="shared" si="130"/>
        <v>1.3611696389673944E-5</v>
      </c>
      <c r="G659" s="39">
        <f t="shared" si="130"/>
        <v>6.9730606895212157E-5</v>
      </c>
      <c r="H659" s="39">
        <f t="shared" si="130"/>
        <v>2.9233711987564797E-4</v>
      </c>
      <c r="I659" s="39">
        <f t="shared" si="130"/>
        <v>1.0318129409344118E-3</v>
      </c>
      <c r="J659" s="39">
        <f t="shared" si="130"/>
        <v>3.1307428909148824E-3</v>
      </c>
      <c r="K659" s="39">
        <f t="shared" si="130"/>
        <v>8.2992386672366691E-3</v>
      </c>
      <c r="L659" s="39">
        <f t="shared" si="131"/>
        <v>1.9472277919882326E-2</v>
      </c>
      <c r="M659" s="39">
        <f t="shared" si="131"/>
        <v>4.0877794550895387E-2</v>
      </c>
      <c r="N659" s="39">
        <f t="shared" si="131"/>
        <v>7.7501295661768541E-2</v>
      </c>
      <c r="O659" s="39">
        <f t="shared" si="131"/>
        <v>0.13381505335222768</v>
      </c>
      <c r="P659" s="39">
        <f t="shared" si="131"/>
        <v>0.21204375804719902</v>
      </c>
      <c r="Q659" s="39">
        <f t="shared" si="131"/>
        <v>0.31065326378920244</v>
      </c>
      <c r="R659" s="39">
        <f t="shared" si="131"/>
        <v>0.42385983100518154</v>
      </c>
      <c r="S659" s="39">
        <f t="shared" si="131"/>
        <v>0.54259235228905756</v>
      </c>
      <c r="T659" s="39">
        <f t="shared" si="131"/>
        <v>0.65665472773577116</v>
      </c>
      <c r="U659" s="39">
        <f t="shared" si="131"/>
        <v>0.75723972502876991</v>
      </c>
      <c r="V659" s="39">
        <f t="shared" si="131"/>
        <v>0.83880820637566511</v>
      </c>
      <c r="W659" s="37">
        <v>0.34399999999999997</v>
      </c>
    </row>
    <row r="660" spans="2:23" x14ac:dyDescent="0.25">
      <c r="B660" s="39">
        <f t="shared" si="130"/>
        <v>6.7613175897298631E-10</v>
      </c>
      <c r="C660" s="39">
        <f t="shared" si="130"/>
        <v>1.8556181083338906E-8</v>
      </c>
      <c r="D660" s="39">
        <f t="shared" si="130"/>
        <v>2.5006432440807905E-7</v>
      </c>
      <c r="E660" s="39">
        <f t="shared" si="130"/>
        <v>2.2061224337828858E-6</v>
      </c>
      <c r="F660" s="39">
        <f t="shared" si="130"/>
        <v>1.4333839573022132E-5</v>
      </c>
      <c r="G660" s="39">
        <f t="shared" si="130"/>
        <v>7.3162666517066543E-5</v>
      </c>
      <c r="H660" s="39">
        <f t="shared" si="130"/>
        <v>3.0561747562805029E-4</v>
      </c>
      <c r="I660" s="39">
        <f t="shared" si="130"/>
        <v>1.0748257656670128E-3</v>
      </c>
      <c r="J660" s="39">
        <f t="shared" si="130"/>
        <v>3.2497134241850634E-3</v>
      </c>
      <c r="K660" s="39">
        <f t="shared" si="130"/>
        <v>8.5845553172895529E-3</v>
      </c>
      <c r="L660" s="39">
        <f t="shared" si="131"/>
        <v>2.0072618372288718E-2</v>
      </c>
      <c r="M660" s="39">
        <f t="shared" si="131"/>
        <v>4.199657299456809E-2</v>
      </c>
      <c r="N660" s="39">
        <f t="shared" si="131"/>
        <v>7.9362032599543483E-2</v>
      </c>
      <c r="O660" s="39">
        <f t="shared" si="131"/>
        <v>0.13659441964987204</v>
      </c>
      <c r="P660" s="39">
        <f t="shared" si="131"/>
        <v>0.21579164519302865</v>
      </c>
      <c r="Q660" s="39">
        <f t="shared" si="131"/>
        <v>0.31523566677589548</v>
      </c>
      <c r="R660" s="39">
        <f t="shared" si="131"/>
        <v>0.42895837131385289</v>
      </c>
      <c r="S660" s="39">
        <f t="shared" si="131"/>
        <v>0.5477704243766881</v>
      </c>
      <c r="T660" s="39">
        <f t="shared" si="131"/>
        <v>0.66146717821755585</v>
      </c>
      <c r="U660" s="39">
        <f t="shared" si="131"/>
        <v>0.76134137395736934</v>
      </c>
      <c r="V660" s="39">
        <f t="shared" si="131"/>
        <v>0.84201962699191046</v>
      </c>
      <c r="W660" s="37">
        <v>0.34300000000000003</v>
      </c>
    </row>
    <row r="661" spans="2:23" x14ac:dyDescent="0.25">
      <c r="B661" s="39">
        <f t="shared" si="130"/>
        <v>7.3220450127273959E-10</v>
      </c>
      <c r="C661" s="39">
        <f t="shared" si="130"/>
        <v>2.0005375868908503E-8</v>
      </c>
      <c r="D661" s="39">
        <f t="shared" si="130"/>
        <v>2.6839512648544845E-7</v>
      </c>
      <c r="E661" s="39">
        <f t="shared" si="130"/>
        <v>2.3573622122898947E-6</v>
      </c>
      <c r="F661" s="39">
        <f t="shared" si="130"/>
        <v>1.5249082226205585E-5</v>
      </c>
      <c r="G661" s="39">
        <f t="shared" si="130"/>
        <v>7.7493938698943999E-5</v>
      </c>
      <c r="H661" s="39">
        <f t="shared" si="130"/>
        <v>3.2230599756544897E-4</v>
      </c>
      <c r="I661" s="39">
        <f t="shared" si="130"/>
        <v>1.1286469731691851E-3</v>
      </c>
      <c r="J661" s="39">
        <f t="shared" si="130"/>
        <v>3.3979454293037647E-3</v>
      </c>
      <c r="K661" s="39">
        <f t="shared" si="130"/>
        <v>8.9385335753139495E-3</v>
      </c>
      <c r="L661" s="39">
        <f t="shared" si="131"/>
        <v>2.0814259438392869E-2</v>
      </c>
      <c r="M661" s="39">
        <f t="shared" si="131"/>
        <v>4.3372789411268299E-2</v>
      </c>
      <c r="N661" s="39">
        <f t="shared" si="131"/>
        <v>8.1641187794015038E-2</v>
      </c>
      <c r="O661" s="39">
        <f t="shared" si="131"/>
        <v>0.13998427193443586</v>
      </c>
      <c r="P661" s="39">
        <f t="shared" si="131"/>
        <v>0.22034327938028817</v>
      </c>
      <c r="Q661" s="39">
        <f t="shared" si="131"/>
        <v>0.3207770702721654</v>
      </c>
      <c r="R661" s="39">
        <f t="shared" si="131"/>
        <v>0.43509765627339303</v>
      </c>
      <c r="S661" s="39">
        <f t="shared" si="131"/>
        <v>0.55397890395020488</v>
      </c>
      <c r="T661" s="39">
        <f t="shared" si="131"/>
        <v>0.66721268652422716</v>
      </c>
      <c r="U661" s="39">
        <f t="shared" si="131"/>
        <v>0.76621739392714727</v>
      </c>
      <c r="V661" s="39">
        <f t="shared" si="131"/>
        <v>0.84582107256607419</v>
      </c>
      <c r="W661" s="37">
        <v>0.34200000000000003</v>
      </c>
    </row>
    <row r="662" spans="2:23" x14ac:dyDescent="0.25">
      <c r="B662" s="39">
        <f t="shared" si="130"/>
        <v>7.9282695142209025E-10</v>
      </c>
      <c r="C662" s="39">
        <f t="shared" si="130"/>
        <v>2.1564893078680818E-8</v>
      </c>
      <c r="D662" s="39">
        <f t="shared" si="130"/>
        <v>2.8802990985059234E-7</v>
      </c>
      <c r="E662" s="39">
        <f t="shared" si="130"/>
        <v>2.5186091334039537E-6</v>
      </c>
      <c r="F662" s="39">
        <f t="shared" si="130"/>
        <v>1.6220356570171214E-5</v>
      </c>
      <c r="G662" s="39">
        <f t="shared" si="130"/>
        <v>8.2069042200486883E-5</v>
      </c>
      <c r="H662" s="39">
        <f t="shared" si="130"/>
        <v>3.3985217902222795E-4</v>
      </c>
      <c r="I662" s="39">
        <f t="shared" si="130"/>
        <v>1.1849714267586782E-3</v>
      </c>
      <c r="J662" s="39">
        <f t="shared" si="130"/>
        <v>3.5523513157632901E-3</v>
      </c>
      <c r="K662" s="39">
        <f t="shared" si="130"/>
        <v>9.3055422150846254E-3</v>
      </c>
      <c r="L662" s="39">
        <f t="shared" si="131"/>
        <v>2.1579628338042226E-2</v>
      </c>
      <c r="M662" s="39">
        <f t="shared" si="131"/>
        <v>4.4786435272647598E-2</v>
      </c>
      <c r="N662" s="39">
        <f t="shared" si="131"/>
        <v>8.3971446556404747E-2</v>
      </c>
      <c r="O662" s="39">
        <f t="shared" si="131"/>
        <v>0.14343401612686185</v>
      </c>
      <c r="P662" s="39">
        <f t="shared" si="131"/>
        <v>0.22495378805383312</v>
      </c>
      <c r="Q662" s="39">
        <f t="shared" si="131"/>
        <v>0.3263640378069817</v>
      </c>
      <c r="R662" s="39">
        <f t="shared" si="131"/>
        <v>0.44125861857810089</v>
      </c>
      <c r="S662" s="39">
        <f t="shared" si="131"/>
        <v>0.56018030626950732</v>
      </c>
      <c r="T662" s="39">
        <f t="shared" si="131"/>
        <v>0.67292492726992359</v>
      </c>
      <c r="U662" s="39">
        <f t="shared" si="131"/>
        <v>0.77104260615597209</v>
      </c>
      <c r="V662" s="39">
        <f t="shared" si="131"/>
        <v>0.84956538536106274</v>
      </c>
      <c r="W662" s="37">
        <v>0.34100000000000003</v>
      </c>
    </row>
    <row r="663" spans="2:23" x14ac:dyDescent="0.25">
      <c r="B663" s="39">
        <f t="shared" ref="B663:K672" si="132">_xlfn.HYPGEOM.DIST(B$2,comau,tongtheN*$W663,tongtheN,TRUE)</f>
        <v>8.5836014227631442E-10</v>
      </c>
      <c r="C663" s="39">
        <f t="shared" si="132"/>
        <v>2.324291177591976E-8</v>
      </c>
      <c r="D663" s="39">
        <f t="shared" si="132"/>
        <v>3.0905854297568327E-7</v>
      </c>
      <c r="E663" s="39">
        <f t="shared" si="132"/>
        <v>2.6905005451382608E-6</v>
      </c>
      <c r="F663" s="39">
        <f t="shared" si="132"/>
        <v>1.7250937239924809E-5</v>
      </c>
      <c r="G663" s="39">
        <f t="shared" si="132"/>
        <v>8.6900941067698633E-5</v>
      </c>
      <c r="H663" s="39">
        <f t="shared" si="132"/>
        <v>3.5829706074226207E-4</v>
      </c>
      <c r="I663" s="39">
        <f t="shared" si="132"/>
        <v>1.2439054512592555E-3</v>
      </c>
      <c r="J663" s="39">
        <f t="shared" si="132"/>
        <v>3.713159565876391E-3</v>
      </c>
      <c r="K663" s="39">
        <f t="shared" si="132"/>
        <v>9.6859904980985505E-3</v>
      </c>
      <c r="L663" s="39">
        <f t="shared" ref="L663:V672" si="133">_xlfn.HYPGEOM.DIST(L$2,comau,tongtheN*$W663,tongtheN,TRUE)</f>
        <v>2.2369332676880987E-2</v>
      </c>
      <c r="M663" s="39">
        <f t="shared" si="133"/>
        <v>4.6238240035976666E-2</v>
      </c>
      <c r="N663" s="39">
        <f t="shared" si="133"/>
        <v>8.6353465013526962E-2</v>
      </c>
      <c r="O663" s="39">
        <f t="shared" si="133"/>
        <v>0.14694396467033419</v>
      </c>
      <c r="P663" s="39">
        <f t="shared" si="133"/>
        <v>0.22962290861699425</v>
      </c>
      <c r="Q663" s="39">
        <f t="shared" si="133"/>
        <v>0.33199566998118729</v>
      </c>
      <c r="R663" s="39">
        <f t="shared" si="133"/>
        <v>0.44743989371526949</v>
      </c>
      <c r="S663" s="39">
        <f t="shared" si="133"/>
        <v>0.56637315284322565</v>
      </c>
      <c r="T663" s="39">
        <f t="shared" si="133"/>
        <v>0.6786026908541557</v>
      </c>
      <c r="U663" s="39">
        <f t="shared" si="133"/>
        <v>0.77581632799658029</v>
      </c>
      <c r="V663" s="39">
        <f t="shared" si="133"/>
        <v>0.85325246227135665</v>
      </c>
      <c r="W663" s="37">
        <v>0.34</v>
      </c>
    </row>
    <row r="664" spans="2:23" x14ac:dyDescent="0.25">
      <c r="B664" s="39">
        <f t="shared" si="132"/>
        <v>9.291931128831747E-10</v>
      </c>
      <c r="C664" s="39">
        <f t="shared" si="132"/>
        <v>2.5048200947290812E-8</v>
      </c>
      <c r="D664" s="39">
        <f t="shared" si="132"/>
        <v>3.3157688302879714E-7</v>
      </c>
      <c r="E664" s="39">
        <f t="shared" si="132"/>
        <v>2.8737127331500375E-6</v>
      </c>
      <c r="F664" s="39">
        <f t="shared" si="132"/>
        <v>1.8344280506298164E-5</v>
      </c>
      <c r="G664" s="39">
        <f t="shared" si="132"/>
        <v>9.2003244029072062E-5</v>
      </c>
      <c r="H664" s="39">
        <f t="shared" si="132"/>
        <v>3.7768348216757076E-4</v>
      </c>
      <c r="I664" s="39">
        <f t="shared" si="132"/>
        <v>1.305559378469087E-3</v>
      </c>
      <c r="J664" s="39">
        <f t="shared" si="132"/>
        <v>3.8806057850331202E-3</v>
      </c>
      <c r="K664" s="39">
        <f t="shared" si="132"/>
        <v>1.0080297531340661E-2</v>
      </c>
      <c r="L664" s="39">
        <f t="shared" si="133"/>
        <v>2.3183989680576923E-2</v>
      </c>
      <c r="M664" s="39">
        <f t="shared" si="133"/>
        <v>4.7728936991833115E-2</v>
      </c>
      <c r="N664" s="39">
        <f t="shared" si="133"/>
        <v>8.8787891392838117E-2</v>
      </c>
      <c r="O664" s="39">
        <f t="shared" si="133"/>
        <v>0.15051440801893048</v>
      </c>
      <c r="P664" s="39">
        <f t="shared" si="133"/>
        <v>0.23435034677807787</v>
      </c>
      <c r="Q664" s="39">
        <f t="shared" si="133"/>
        <v>0.33767103655815517</v>
      </c>
      <c r="R664" s="39">
        <f t="shared" si="133"/>
        <v>0.45364009910419495</v>
      </c>
      <c r="S664" s="39">
        <f t="shared" si="133"/>
        <v>0.57255596683934029</v>
      </c>
      <c r="T664" s="39">
        <f t="shared" si="133"/>
        <v>0.68424478748358819</v>
      </c>
      <c r="U664" s="39">
        <f t="shared" si="133"/>
        <v>0.78053790603401363</v>
      </c>
      <c r="V664" s="39">
        <f t="shared" si="133"/>
        <v>0.85688222803311953</v>
      </c>
      <c r="W664" s="37">
        <v>0.33900000000000002</v>
      </c>
    </row>
    <row r="665" spans="2:23" x14ac:dyDescent="0.25">
      <c r="B665" s="39">
        <f t="shared" si="132"/>
        <v>9.9257048280347628E-10</v>
      </c>
      <c r="C665" s="39">
        <f t="shared" si="132"/>
        <v>2.665659093012458E-8</v>
      </c>
      <c r="D665" s="39">
        <f t="shared" si="132"/>
        <v>3.5155369055005254E-7</v>
      </c>
      <c r="E665" s="39">
        <f t="shared" si="132"/>
        <v>3.0355537154282896E-6</v>
      </c>
      <c r="F665" s="39">
        <f t="shared" si="132"/>
        <v>1.9305968985603773E-5</v>
      </c>
      <c r="G665" s="39">
        <f t="shared" si="132"/>
        <v>9.6472005321862587E-5</v>
      </c>
      <c r="H665" s="39">
        <f t="shared" si="132"/>
        <v>3.9459026208489025E-4</v>
      </c>
      <c r="I665" s="39">
        <f t="shared" si="132"/>
        <v>1.3590978083302756E-3</v>
      </c>
      <c r="J665" s="39">
        <f t="shared" si="132"/>
        <v>4.0253899828228265E-3</v>
      </c>
      <c r="K665" s="39">
        <f t="shared" si="132"/>
        <v>1.041978251785312E-2</v>
      </c>
      <c r="L665" s="39">
        <f t="shared" si="133"/>
        <v>2.38823834750133E-2</v>
      </c>
      <c r="M665" s="39">
        <f t="shared" si="133"/>
        <v>4.900142519160109E-2</v>
      </c>
      <c r="N665" s="39">
        <f t="shared" si="133"/>
        <v>9.0857075632666692E-2</v>
      </c>
      <c r="O665" s="39">
        <f t="shared" si="133"/>
        <v>0.15353618267458566</v>
      </c>
      <c r="P665" s="39">
        <f t="shared" si="133"/>
        <v>0.23833419228657032</v>
      </c>
      <c r="Q665" s="39">
        <f t="shared" si="133"/>
        <v>0.34243322466292142</v>
      </c>
      <c r="R665" s="39">
        <f t="shared" si="133"/>
        <v>0.45882038812507564</v>
      </c>
      <c r="S665" s="39">
        <f t="shared" si="133"/>
        <v>0.57769958442900959</v>
      </c>
      <c r="T665" s="39">
        <f t="shared" si="133"/>
        <v>0.68891844492459797</v>
      </c>
      <c r="U665" s="39">
        <f t="shared" si="133"/>
        <v>0.78443227130584448</v>
      </c>
      <c r="V665" s="39">
        <f t="shared" si="133"/>
        <v>0.8598632182653313</v>
      </c>
      <c r="W665" s="37">
        <v>0.33800000000000002</v>
      </c>
    </row>
    <row r="666" spans="2:23" x14ac:dyDescent="0.25">
      <c r="B666" s="39">
        <f t="shared" si="132"/>
        <v>1.0742316979426017E-9</v>
      </c>
      <c r="C666" s="39">
        <f t="shared" si="132"/>
        <v>2.8720109744649709E-8</v>
      </c>
      <c r="D666" s="39">
        <f t="shared" si="132"/>
        <v>3.7707355637213779E-7</v>
      </c>
      <c r="E666" s="39">
        <f t="shared" si="132"/>
        <v>3.2414155387078115E-6</v>
      </c>
      <c r="F666" s="39">
        <f t="shared" si="132"/>
        <v>2.0523994847248506E-5</v>
      </c>
      <c r="G666" s="39">
        <f t="shared" si="132"/>
        <v>1.0210765278729495E-4</v>
      </c>
      <c r="H666" s="39">
        <f t="shared" si="132"/>
        <v>4.1582035546702887E-4</v>
      </c>
      <c r="I666" s="39">
        <f t="shared" si="132"/>
        <v>1.4260385864831801E-3</v>
      </c>
      <c r="J666" s="39">
        <f t="shared" si="132"/>
        <v>4.2056420227166149E-3</v>
      </c>
      <c r="K666" s="39">
        <f t="shared" si="132"/>
        <v>1.0840618892985177E-2</v>
      </c>
      <c r="L666" s="39">
        <f t="shared" si="133"/>
        <v>2.4744421693074788E-2</v>
      </c>
      <c r="M666" s="39">
        <f t="shared" si="133"/>
        <v>5.0565340165450043E-2</v>
      </c>
      <c r="N666" s="39">
        <f t="shared" si="133"/>
        <v>9.3389237919944218E-2</v>
      </c>
      <c r="O666" s="39">
        <f t="shared" si="133"/>
        <v>0.15721821183142987</v>
      </c>
      <c r="P666" s="39">
        <f t="shared" si="133"/>
        <v>0.24316767517352486</v>
      </c>
      <c r="Q666" s="39">
        <f t="shared" si="133"/>
        <v>0.34818625367274503</v>
      </c>
      <c r="R666" s="39">
        <f t="shared" si="133"/>
        <v>0.46505165142353172</v>
      </c>
      <c r="S666" s="39">
        <f t="shared" si="133"/>
        <v>0.58386017930319634</v>
      </c>
      <c r="T666" s="39">
        <f t="shared" si="133"/>
        <v>0.69449213083582118</v>
      </c>
      <c r="U666" s="39">
        <f t="shared" si="133"/>
        <v>0.78905665334703901</v>
      </c>
      <c r="V666" s="39">
        <f t="shared" si="133"/>
        <v>0.86338780947126481</v>
      </c>
      <c r="W666" s="37">
        <v>0.33700000000000002</v>
      </c>
    </row>
    <row r="667" spans="2:23" x14ac:dyDescent="0.25">
      <c r="B667" s="39">
        <f t="shared" si="132"/>
        <v>1.1624662699756225E-9</v>
      </c>
      <c r="C667" s="39">
        <f t="shared" si="132"/>
        <v>3.0939321240507378E-8</v>
      </c>
      <c r="D667" s="39">
        <f t="shared" si="132"/>
        <v>4.0439071066259572E-7</v>
      </c>
      <c r="E667" s="39">
        <f t="shared" si="132"/>
        <v>3.4607461177710647E-6</v>
      </c>
      <c r="F667" s="39">
        <f t="shared" si="132"/>
        <v>2.1815647300426337E-5</v>
      </c>
      <c r="G667" s="39">
        <f t="shared" si="132"/>
        <v>1.0805602678258052E-4</v>
      </c>
      <c r="H667" s="39">
        <f t="shared" si="132"/>
        <v>4.3812375824407534E-4</v>
      </c>
      <c r="I667" s="39">
        <f t="shared" si="132"/>
        <v>1.4960347510997163E-3</v>
      </c>
      <c r="J667" s="39">
        <f t="shared" si="132"/>
        <v>4.393239687853422E-3</v>
      </c>
      <c r="K667" s="39">
        <f t="shared" si="132"/>
        <v>1.1276555914669433E-2</v>
      </c>
      <c r="L667" s="39">
        <f t="shared" si="133"/>
        <v>2.5633212861133341E-2</v>
      </c>
      <c r="M667" s="39">
        <f t="shared" si="133"/>
        <v>5.2170242328144989E-2</v>
      </c>
      <c r="N667" s="39">
        <f t="shared" si="133"/>
        <v>9.5975596049250725E-2</v>
      </c>
      <c r="O667" s="39">
        <f t="shared" si="133"/>
        <v>0.16096143338174868</v>
      </c>
      <c r="P667" s="39">
        <f t="shared" si="133"/>
        <v>0.24805846683647645</v>
      </c>
      <c r="Q667" s="39">
        <f t="shared" si="133"/>
        <v>0.35398021635399868</v>
      </c>
      <c r="R667" s="39">
        <f t="shared" si="133"/>
        <v>0.4712978367548058</v>
      </c>
      <c r="S667" s="39">
        <f t="shared" si="133"/>
        <v>0.59000657518408428</v>
      </c>
      <c r="T667" s="39">
        <f t="shared" si="133"/>
        <v>0.7000268930407596</v>
      </c>
      <c r="U667" s="39">
        <f t="shared" si="133"/>
        <v>0.79362720116172825</v>
      </c>
      <c r="V667" s="39">
        <f t="shared" si="133"/>
        <v>0.86685502515731716</v>
      </c>
      <c r="W667" s="37">
        <v>0.33600000000000002</v>
      </c>
    </row>
    <row r="668" spans="2:23" x14ac:dyDescent="0.25">
      <c r="B668" s="39">
        <f t="shared" si="132"/>
        <v>1.2577916814523758E-9</v>
      </c>
      <c r="C668" s="39">
        <f t="shared" si="132"/>
        <v>3.3325664141202565E-8</v>
      </c>
      <c r="D668" s="39">
        <f t="shared" si="132"/>
        <v>4.3362774717977065E-7</v>
      </c>
      <c r="E668" s="39">
        <f t="shared" si="132"/>
        <v>3.6943931703574061E-6</v>
      </c>
      <c r="F668" s="39">
        <f t="shared" si="132"/>
        <v>2.3185170863848588E-5</v>
      </c>
      <c r="G668" s="39">
        <f t="shared" si="132"/>
        <v>1.1433349182096299E-4</v>
      </c>
      <c r="H668" s="39">
        <f t="shared" si="132"/>
        <v>4.6155087541419358E-4</v>
      </c>
      <c r="I668" s="39">
        <f t="shared" si="132"/>
        <v>1.5692131893708734E-3</v>
      </c>
      <c r="J668" s="39">
        <f t="shared" si="132"/>
        <v>4.5884474021465763E-3</v>
      </c>
      <c r="K668" s="39">
        <f t="shared" si="132"/>
        <v>1.1728051426873583E-2</v>
      </c>
      <c r="L668" s="39">
        <f t="shared" si="133"/>
        <v>2.6549410219481043E-2</v>
      </c>
      <c r="M668" s="39">
        <f t="shared" si="133"/>
        <v>5.3816875910515871E-2</v>
      </c>
      <c r="N668" s="39">
        <f t="shared" si="133"/>
        <v>9.8616761750494955E-2</v>
      </c>
      <c r="O668" s="39">
        <f t="shared" si="133"/>
        <v>0.16476604720988752</v>
      </c>
      <c r="P668" s="39">
        <f t="shared" si="133"/>
        <v>0.2530061485479842</v>
      </c>
      <c r="Q668" s="39">
        <f t="shared" si="133"/>
        <v>0.35981406694574708</v>
      </c>
      <c r="R668" s="39">
        <f t="shared" si="133"/>
        <v>0.47755750001498742</v>
      </c>
      <c r="S668" s="39">
        <f t="shared" si="133"/>
        <v>0.59613731106183576</v>
      </c>
      <c r="T668" s="39">
        <f t="shared" si="133"/>
        <v>0.70552162475019409</v>
      </c>
      <c r="U668" s="39">
        <f t="shared" si="133"/>
        <v>0.79814337556614734</v>
      </c>
      <c r="V668" s="39">
        <f t="shared" si="133"/>
        <v>0.87026489423186759</v>
      </c>
      <c r="W668" s="37">
        <v>0.33500000000000002</v>
      </c>
    </row>
    <row r="669" spans="2:23" x14ac:dyDescent="0.25">
      <c r="B669" s="39">
        <f t="shared" si="132"/>
        <v>1.3430469423606292E-9</v>
      </c>
      <c r="C669" s="39">
        <f t="shared" si="132"/>
        <v>3.545076942315485E-8</v>
      </c>
      <c r="D669" s="39">
        <f t="shared" si="132"/>
        <v>4.5955254264913219E-7</v>
      </c>
      <c r="E669" s="39">
        <f t="shared" si="132"/>
        <v>3.90068212034345E-6</v>
      </c>
      <c r="F669" s="39">
        <f t="shared" si="132"/>
        <v>2.4389147666839531E-5</v>
      </c>
      <c r="G669" s="39">
        <f t="shared" si="132"/>
        <v>1.1982845955306339E-4</v>
      </c>
      <c r="H669" s="39">
        <f t="shared" si="132"/>
        <v>4.8196972204624631E-4</v>
      </c>
      <c r="I669" s="39">
        <f t="shared" si="132"/>
        <v>1.6327208751350075E-3</v>
      </c>
      <c r="J669" s="39">
        <f t="shared" si="132"/>
        <v>4.7571299678345873E-3</v>
      </c>
      <c r="K669" s="39">
        <f t="shared" si="132"/>
        <v>1.2116520105615022E-2</v>
      </c>
      <c r="L669" s="39">
        <f t="shared" si="133"/>
        <v>2.7334320886438734E-2</v>
      </c>
      <c r="M669" s="39">
        <f t="shared" si="133"/>
        <v>5.5221486910627185E-2</v>
      </c>
      <c r="N669" s="39">
        <f t="shared" si="133"/>
        <v>0.10086003367554783</v>
      </c>
      <c r="O669" s="39">
        <f t="shared" si="133"/>
        <v>0.16798358238531982</v>
      </c>
      <c r="P669" s="39">
        <f t="shared" si="133"/>
        <v>0.25717234933479782</v>
      </c>
      <c r="Q669" s="39">
        <f t="shared" si="133"/>
        <v>0.36470530431300086</v>
      </c>
      <c r="R669" s="39">
        <f t="shared" si="133"/>
        <v>0.4827831302047994</v>
      </c>
      <c r="S669" s="39">
        <f t="shared" si="133"/>
        <v>0.6012332456159668</v>
      </c>
      <c r="T669" s="39">
        <f t="shared" si="133"/>
        <v>0.71006920666357998</v>
      </c>
      <c r="U669" s="39">
        <f t="shared" si="133"/>
        <v>0.8018649508996667</v>
      </c>
      <c r="V669" s="39">
        <f t="shared" si="133"/>
        <v>0.87306268447716229</v>
      </c>
      <c r="W669" s="37">
        <v>0.33400000000000002</v>
      </c>
    </row>
    <row r="670" spans="2:23" x14ac:dyDescent="0.25">
      <c r="B670" s="39">
        <f t="shared" si="132"/>
        <v>1.4528504744809627E-9</v>
      </c>
      <c r="C670" s="39">
        <f t="shared" si="132"/>
        <v>3.8175980881869888E-8</v>
      </c>
      <c r="D670" s="39">
        <f t="shared" si="132"/>
        <v>4.9265494347697473E-7</v>
      </c>
      <c r="E670" s="39">
        <f t="shared" si="132"/>
        <v>4.1629495039606642E-6</v>
      </c>
      <c r="F670" s="39">
        <f t="shared" si="132"/>
        <v>2.5913236800662237E-5</v>
      </c>
      <c r="G670" s="39">
        <f t="shared" si="132"/>
        <v>1.2675443721994886E-4</v>
      </c>
      <c r="H670" s="39">
        <f t="shared" si="132"/>
        <v>5.075951191507186E-4</v>
      </c>
      <c r="I670" s="39">
        <f t="shared" si="132"/>
        <v>1.7120785443959514E-3</v>
      </c>
      <c r="J670" s="39">
        <f t="shared" si="132"/>
        <v>4.9670025941580638E-3</v>
      </c>
      <c r="K670" s="39">
        <f t="shared" si="132"/>
        <v>1.2597763024173382E-2</v>
      </c>
      <c r="L670" s="39">
        <f t="shared" si="133"/>
        <v>2.830248968053372E-2</v>
      </c>
      <c r="M670" s="39">
        <f t="shared" si="133"/>
        <v>5.6946566675701027E-2</v>
      </c>
      <c r="N670" s="39">
        <f t="shared" si="133"/>
        <v>0.10360323109572468</v>
      </c>
      <c r="O670" s="39">
        <f t="shared" si="133"/>
        <v>0.17190118366241491</v>
      </c>
      <c r="P670" s="39">
        <f t="shared" si="133"/>
        <v>0.26222313188482327</v>
      </c>
      <c r="Q670" s="39">
        <f t="shared" si="133"/>
        <v>0.37060946975171472</v>
      </c>
      <c r="R670" s="39">
        <f t="shared" si="133"/>
        <v>0.48906370675396843</v>
      </c>
      <c r="S670" s="39">
        <f t="shared" si="133"/>
        <v>0.60733149952169829</v>
      </c>
      <c r="T670" s="39">
        <f t="shared" si="133"/>
        <v>0.71548775270320397</v>
      </c>
      <c r="U670" s="39">
        <f t="shared" si="133"/>
        <v>0.80628014076846399</v>
      </c>
      <c r="V670" s="39">
        <f t="shared" si="133"/>
        <v>0.87636758057244768</v>
      </c>
      <c r="W670" s="37">
        <v>0.33300000000000002</v>
      </c>
    </row>
    <row r="671" spans="2:23" x14ac:dyDescent="0.25">
      <c r="B671" s="39">
        <f t="shared" si="132"/>
        <v>1.5714374080006893E-9</v>
      </c>
      <c r="C671" s="39">
        <f t="shared" si="132"/>
        <v>4.1105363782347135E-8</v>
      </c>
      <c r="D671" s="39">
        <f t="shared" si="132"/>
        <v>5.2807019341155632E-7</v>
      </c>
      <c r="E671" s="39">
        <f t="shared" si="132"/>
        <v>4.442222830305034E-6</v>
      </c>
      <c r="F671" s="39">
        <f t="shared" si="132"/>
        <v>2.7528522581548548E-5</v>
      </c>
      <c r="G671" s="39">
        <f t="shared" si="132"/>
        <v>1.3406033163860078E-4</v>
      </c>
      <c r="H671" s="39">
        <f t="shared" si="132"/>
        <v>5.3449904653390088E-4</v>
      </c>
      <c r="I671" s="39">
        <f t="shared" si="132"/>
        <v>1.795003686743795E-3</v>
      </c>
      <c r="J671" s="39">
        <f t="shared" si="132"/>
        <v>5.1852780140712483E-3</v>
      </c>
      <c r="K671" s="39">
        <f t="shared" si="132"/>
        <v>1.3095918111168626E-2</v>
      </c>
      <c r="L671" s="39">
        <f t="shared" si="133"/>
        <v>2.9299964517356347E-2</v>
      </c>
      <c r="M671" s="39">
        <f t="shared" si="133"/>
        <v>5.8715494719565074E-2</v>
      </c>
      <c r="N671" s="39">
        <f t="shared" si="133"/>
        <v>0.10640290619214608</v>
      </c>
      <c r="O671" s="39">
        <f t="shared" si="133"/>
        <v>0.17588060434785369</v>
      </c>
      <c r="P671" s="39">
        <f t="shared" si="133"/>
        <v>0.26732943753164551</v>
      </c>
      <c r="Q671" s="39">
        <f t="shared" si="133"/>
        <v>0.37655040244738064</v>
      </c>
      <c r="R671" s="39">
        <f t="shared" si="133"/>
        <v>0.49535359702676551</v>
      </c>
      <c r="S671" s="39">
        <f t="shared" si="133"/>
        <v>0.61340999310696376</v>
      </c>
      <c r="T671" s="39">
        <f t="shared" si="133"/>
        <v>0.72086326170470327</v>
      </c>
      <c r="U671" s="39">
        <f t="shared" si="133"/>
        <v>0.81063959413466824</v>
      </c>
      <c r="V671" s="39">
        <f t="shared" si="133"/>
        <v>0.87961535417514269</v>
      </c>
      <c r="W671" s="37">
        <v>0.33200000000000002</v>
      </c>
    </row>
    <row r="672" spans="2:23" x14ac:dyDescent="0.25">
      <c r="B672" s="39">
        <f t="shared" si="132"/>
        <v>1.6994948915225406E-9</v>
      </c>
      <c r="C672" s="39">
        <f t="shared" si="132"/>
        <v>4.4253811568695621E-8</v>
      </c>
      <c r="D672" s="39">
        <f t="shared" si="132"/>
        <v>5.6595476349149487E-7</v>
      </c>
      <c r="E672" s="39">
        <f t="shared" si="132"/>
        <v>4.739562378873878E-6</v>
      </c>
      <c r="F672" s="39">
        <f t="shared" si="132"/>
        <v>2.9240205142278481E-5</v>
      </c>
      <c r="G672" s="39">
        <f t="shared" si="132"/>
        <v>1.4176577000182263E-4</v>
      </c>
      <c r="H672" s="39">
        <f t="shared" si="132"/>
        <v>5.6274064089649716E-4</v>
      </c>
      <c r="I672" s="39">
        <f t="shared" si="132"/>
        <v>1.8816417608723082E-3</v>
      </c>
      <c r="J672" s="39">
        <f t="shared" si="132"/>
        <v>5.4122519018298286E-3</v>
      </c>
      <c r="K672" s="39">
        <f t="shared" si="132"/>
        <v>1.3611483314084939E-2</v>
      </c>
      <c r="L672" s="39">
        <f t="shared" si="133"/>
        <v>3.0327432751833628E-2</v>
      </c>
      <c r="M672" s="39">
        <f t="shared" si="133"/>
        <v>6.0529019573501042E-2</v>
      </c>
      <c r="N672" s="39">
        <f t="shared" si="133"/>
        <v>0.10925962391890864</v>
      </c>
      <c r="O672" s="39">
        <f t="shared" si="133"/>
        <v>0.17992194407422135</v>
      </c>
      <c r="P672" s="39">
        <f t="shared" si="133"/>
        <v>0.27249071948537107</v>
      </c>
      <c r="Q672" s="39">
        <f t="shared" si="133"/>
        <v>0.38252694670879711</v>
      </c>
      <c r="R672" s="39">
        <f t="shared" si="133"/>
        <v>0.50165130857668516</v>
      </c>
      <c r="S672" s="39">
        <f t="shared" si="133"/>
        <v>0.6194672961772002</v>
      </c>
      <c r="T672" s="39">
        <f t="shared" si="133"/>
        <v>0.72619472023884524</v>
      </c>
      <c r="U672" s="39">
        <f t="shared" si="133"/>
        <v>0.81494288830881134</v>
      </c>
      <c r="V672" s="39">
        <f t="shared" si="133"/>
        <v>0.8828061334198527</v>
      </c>
      <c r="W672" s="37">
        <v>0.33100000000000002</v>
      </c>
    </row>
    <row r="673" spans="2:23" x14ac:dyDescent="0.25">
      <c r="B673" s="39">
        <f t="shared" ref="B673:K682" si="134">_xlfn.HYPGEOM.DIST(B$2,comau,tongtheN*$W673,tongtheN,TRUE)</f>
        <v>1.8139758977998134E-9</v>
      </c>
      <c r="C673" s="39">
        <f t="shared" si="134"/>
        <v>4.7056333065584237E-8</v>
      </c>
      <c r="D673" s="39">
        <f t="shared" si="134"/>
        <v>5.9953146780889153E-7</v>
      </c>
      <c r="E673" s="39">
        <f t="shared" si="134"/>
        <v>5.0019545598656445E-6</v>
      </c>
      <c r="F673" s="39">
        <f t="shared" si="134"/>
        <v>3.0744189114067744E-5</v>
      </c>
      <c r="G673" s="39">
        <f t="shared" si="134"/>
        <v>1.4850698788054881E-4</v>
      </c>
      <c r="H673" s="39">
        <f t="shared" si="134"/>
        <v>5.8734151366632542E-4</v>
      </c>
      <c r="I673" s="39">
        <f t="shared" si="134"/>
        <v>1.9567849535777775E-3</v>
      </c>
      <c r="J673" s="39">
        <f t="shared" si="134"/>
        <v>5.6082606964175854E-3</v>
      </c>
      <c r="K673" s="39">
        <f t="shared" si="134"/>
        <v>1.4054786980735786E-2</v>
      </c>
      <c r="L673" s="39">
        <f t="shared" ref="L673:V682" si="135">_xlfn.HYPGEOM.DIST(L$2,comau,tongtheN*$W673,tongtheN,TRUE)</f>
        <v>3.1207069673168938E-2</v>
      </c>
      <c r="M673" s="39">
        <f t="shared" si="135"/>
        <v>6.2074897275559981E-2</v>
      </c>
      <c r="N673" s="39">
        <f t="shared" si="135"/>
        <v>0.11168419421263943</v>
      </c>
      <c r="O673" s="39">
        <f t="shared" si="135"/>
        <v>0.18333707920049402</v>
      </c>
      <c r="P673" s="39">
        <f t="shared" si="135"/>
        <v>0.27683336570740513</v>
      </c>
      <c r="Q673" s="39">
        <f t="shared" si="135"/>
        <v>0.38753375071396762</v>
      </c>
      <c r="R673" s="39">
        <f t="shared" si="135"/>
        <v>0.50690429224606748</v>
      </c>
      <c r="S673" s="39">
        <f t="shared" si="135"/>
        <v>0.62449783694680194</v>
      </c>
      <c r="T673" s="39">
        <f t="shared" si="135"/>
        <v>0.73060323944330574</v>
      </c>
      <c r="U673" s="39">
        <f t="shared" si="135"/>
        <v>0.81848578358746549</v>
      </c>
      <c r="V673" s="39">
        <f t="shared" si="135"/>
        <v>0.88542168845864211</v>
      </c>
      <c r="W673" s="37">
        <v>0.33</v>
      </c>
    </row>
    <row r="674" spans="2:23" x14ac:dyDescent="0.25">
      <c r="B674" s="39">
        <f t="shared" si="134"/>
        <v>1.9613578470097657E-9</v>
      </c>
      <c r="C674" s="39">
        <f t="shared" si="134"/>
        <v>5.0648638259821232E-8</v>
      </c>
      <c r="D674" s="39">
        <f t="shared" si="134"/>
        <v>6.4238390301526473E-7</v>
      </c>
      <c r="E674" s="39">
        <f t="shared" si="134"/>
        <v>5.3353819305339934E-6</v>
      </c>
      <c r="F674" s="39">
        <f t="shared" si="134"/>
        <v>3.2647046471766649E-5</v>
      </c>
      <c r="G674" s="39">
        <f t="shared" si="134"/>
        <v>1.5699906260321182E-4</v>
      </c>
      <c r="H674" s="39">
        <f t="shared" si="134"/>
        <v>6.1819740695054815E-4</v>
      </c>
      <c r="I674" s="39">
        <f t="shared" si="134"/>
        <v>2.0506252058646226E-3</v>
      </c>
      <c r="J674" s="39">
        <f t="shared" si="134"/>
        <v>5.8519782123463973E-3</v>
      </c>
      <c r="K674" s="39">
        <f t="shared" si="134"/>
        <v>1.460359938361425E-2</v>
      </c>
      <c r="L674" s="39">
        <f t="shared" si="135"/>
        <v>3.2291339069023893E-2</v>
      </c>
      <c r="M674" s="39">
        <f t="shared" si="135"/>
        <v>6.3972126406503793E-2</v>
      </c>
      <c r="N674" s="39">
        <f t="shared" si="135"/>
        <v>0.11464691059089846</v>
      </c>
      <c r="O674" s="39">
        <f t="shared" si="135"/>
        <v>0.18749210363808869</v>
      </c>
      <c r="P674" s="39">
        <f t="shared" si="135"/>
        <v>0.2820939050992971</v>
      </c>
      <c r="Q674" s="39">
        <f t="shared" si="135"/>
        <v>0.39357249023886814</v>
      </c>
      <c r="R674" s="39">
        <f t="shared" si="135"/>
        <v>0.51321243306397835</v>
      </c>
      <c r="S674" s="39">
        <f t="shared" si="135"/>
        <v>0.63051261168781947</v>
      </c>
      <c r="T674" s="39">
        <f t="shared" si="135"/>
        <v>0.73585139305626568</v>
      </c>
      <c r="U674" s="39">
        <f t="shared" si="135"/>
        <v>0.82268512287695872</v>
      </c>
      <c r="V674" s="39">
        <f t="shared" si="135"/>
        <v>0.88850839329223796</v>
      </c>
      <c r="W674" s="37">
        <v>0.32900000000000001</v>
      </c>
    </row>
    <row r="675" spans="2:23" x14ac:dyDescent="0.25">
      <c r="B675" s="39">
        <f t="shared" si="134"/>
        <v>2.1204558872203717E-9</v>
      </c>
      <c r="C675" s="39">
        <f t="shared" si="134"/>
        <v>5.4508189571488443E-8</v>
      </c>
      <c r="D675" s="39">
        <f t="shared" si="134"/>
        <v>6.8820670205836067E-7</v>
      </c>
      <c r="E675" s="39">
        <f t="shared" si="134"/>
        <v>5.6902356190177156E-6</v>
      </c>
      <c r="F675" s="39">
        <f t="shared" si="134"/>
        <v>3.4662606479532774E-5</v>
      </c>
      <c r="G675" s="39">
        <f t="shared" si="134"/>
        <v>1.659515595416818E-4</v>
      </c>
      <c r="H675" s="39">
        <f t="shared" si="134"/>
        <v>6.5057233602108897E-4</v>
      </c>
      <c r="I675" s="39">
        <f t="shared" si="134"/>
        <v>2.1486192423505416E-3</v>
      </c>
      <c r="J675" s="39">
        <f t="shared" si="134"/>
        <v>6.1052789487241466E-3</v>
      </c>
      <c r="K675" s="39">
        <f t="shared" si="134"/>
        <v>1.5171290770928877E-2</v>
      </c>
      <c r="L675" s="39">
        <f t="shared" si="135"/>
        <v>3.3407594833011596E-2</v>
      </c>
      <c r="M675" s="39">
        <f t="shared" si="135"/>
        <v>6.5916070961223733E-2</v>
      </c>
      <c r="N675" s="39">
        <f t="shared" si="135"/>
        <v>0.11766819207591521</v>
      </c>
      <c r="O675" s="39">
        <f t="shared" si="135"/>
        <v>0.19170917704471843</v>
      </c>
      <c r="P675" s="39">
        <f t="shared" si="135"/>
        <v>0.28740768752447776</v>
      </c>
      <c r="Q675" s="39">
        <f t="shared" si="135"/>
        <v>0.39964341911709772</v>
      </c>
      <c r="R675" s="39">
        <f t="shared" si="135"/>
        <v>0.51952411387239783</v>
      </c>
      <c r="S675" s="39">
        <f t="shared" si="135"/>
        <v>0.63650220393823131</v>
      </c>
      <c r="T675" s="39">
        <f t="shared" si="135"/>
        <v>0.7410527674306141</v>
      </c>
      <c r="U675" s="39">
        <f t="shared" si="135"/>
        <v>0.8268272713878777</v>
      </c>
      <c r="V675" s="39">
        <f t="shared" si="135"/>
        <v>0.8915386007846694</v>
      </c>
      <c r="W675" s="37">
        <v>0.32800000000000001</v>
      </c>
    </row>
    <row r="676" spans="2:23" x14ac:dyDescent="0.25">
      <c r="B676" s="39">
        <f t="shared" si="134"/>
        <v>2.2921809107402571E-9</v>
      </c>
      <c r="C676" s="39">
        <f t="shared" si="134"/>
        <v>5.8654342694017101E-8</v>
      </c>
      <c r="D676" s="39">
        <f t="shared" si="134"/>
        <v>7.3719917323388907E-7</v>
      </c>
      <c r="E676" s="39">
        <f t="shared" si="134"/>
        <v>6.0678388646548862E-6</v>
      </c>
      <c r="F676" s="39">
        <f t="shared" si="134"/>
        <v>3.6797224832277192E-5</v>
      </c>
      <c r="G676" s="39">
        <f t="shared" si="134"/>
        <v>1.7538795747790793E-4</v>
      </c>
      <c r="H676" s="39">
        <f t="shared" si="134"/>
        <v>6.8453548088993996E-4</v>
      </c>
      <c r="I676" s="39">
        <f t="shared" si="134"/>
        <v>2.2509332676497857E-3</v>
      </c>
      <c r="J676" s="39">
        <f t="shared" si="134"/>
        <v>6.3684922751789464E-3</v>
      </c>
      <c r="K676" s="39">
        <f t="shared" si="134"/>
        <v>1.5758400217676636E-2</v>
      </c>
      <c r="L676" s="39">
        <f t="shared" si="135"/>
        <v>3.4556555766622102E-2</v>
      </c>
      <c r="M676" s="39">
        <f t="shared" si="135"/>
        <v>6.790747621700105E-2</v>
      </c>
      <c r="N676" s="39">
        <f t="shared" si="135"/>
        <v>0.12074854610548771</v>
      </c>
      <c r="O676" s="39">
        <f t="shared" si="135"/>
        <v>0.19598828964694084</v>
      </c>
      <c r="P676" s="39">
        <f t="shared" si="135"/>
        <v>0.29277403600758034</v>
      </c>
      <c r="Q676" s="39">
        <f t="shared" si="135"/>
        <v>0.40574527909380892</v>
      </c>
      <c r="R676" s="39">
        <f t="shared" si="135"/>
        <v>0.52583780812535841</v>
      </c>
      <c r="S676" s="39">
        <f t="shared" si="135"/>
        <v>0.64246522909283799</v>
      </c>
      <c r="T676" s="39">
        <f t="shared" si="135"/>
        <v>0.74620645156377763</v>
      </c>
      <c r="U676" s="39">
        <f t="shared" si="135"/>
        <v>0.83091192360962185</v>
      </c>
      <c r="V676" s="39">
        <f t="shared" si="135"/>
        <v>0.8945125322632671</v>
      </c>
      <c r="W676" s="37">
        <v>0.32700000000000001</v>
      </c>
    </row>
    <row r="677" spans="2:23" x14ac:dyDescent="0.25">
      <c r="B677" s="39">
        <f t="shared" si="134"/>
        <v>2.4456356228549214E-9</v>
      </c>
      <c r="C677" s="39">
        <f t="shared" si="134"/>
        <v>6.2343306834330235E-8</v>
      </c>
      <c r="D677" s="39">
        <f t="shared" si="134"/>
        <v>7.8060021330063192E-7</v>
      </c>
      <c r="E677" s="39">
        <f t="shared" si="134"/>
        <v>6.4008950061604474E-6</v>
      </c>
      <c r="F677" s="39">
        <f t="shared" si="134"/>
        <v>3.8671840074930622E-5</v>
      </c>
      <c r="G677" s="39">
        <f t="shared" si="134"/>
        <v>1.8363897612604771E-4</v>
      </c>
      <c r="H677" s="39">
        <f t="shared" si="134"/>
        <v>7.1410320346226798E-4</v>
      </c>
      <c r="I677" s="39">
        <f t="shared" si="134"/>
        <v>2.3396188539134034E-3</v>
      </c>
      <c r="J677" s="39">
        <f t="shared" si="134"/>
        <v>6.5956528052117051E-3</v>
      </c>
      <c r="K677" s="39">
        <f t="shared" si="134"/>
        <v>1.626288774453772E-2</v>
      </c>
      <c r="L677" s="39">
        <f t="shared" si="135"/>
        <v>3.5539530210028626E-2</v>
      </c>
      <c r="M677" s="39">
        <f t="shared" si="135"/>
        <v>6.9603771469427256E-2</v>
      </c>
      <c r="N677" s="39">
        <f t="shared" si="135"/>
        <v>0.12336098714028919</v>
      </c>
      <c r="O677" s="39">
        <f t="shared" si="135"/>
        <v>0.1996015801153605</v>
      </c>
      <c r="P677" s="39">
        <f t="shared" si="135"/>
        <v>0.29728563571765038</v>
      </c>
      <c r="Q677" s="39">
        <f t="shared" si="135"/>
        <v>0.41085286503604962</v>
      </c>
      <c r="R677" s="39">
        <f t="shared" si="135"/>
        <v>0.53109965224606381</v>
      </c>
      <c r="S677" s="39">
        <f t="shared" si="135"/>
        <v>0.64741313333239137</v>
      </c>
      <c r="T677" s="39">
        <f t="shared" si="135"/>
        <v>0.75046412042513977</v>
      </c>
      <c r="U677" s="39">
        <f t="shared" si="135"/>
        <v>0.83427168035395205</v>
      </c>
      <c r="V677" s="39">
        <f t="shared" si="135"/>
        <v>0.89694799560032523</v>
      </c>
      <c r="W677" s="37">
        <v>0.32600000000000001</v>
      </c>
    </row>
    <row r="678" spans="2:23" x14ac:dyDescent="0.25">
      <c r="B678" s="39">
        <f t="shared" si="134"/>
        <v>2.6431092119225997E-9</v>
      </c>
      <c r="C678" s="39">
        <f t="shared" si="134"/>
        <v>6.7069756191763951E-8</v>
      </c>
      <c r="D678" s="39">
        <f t="shared" si="134"/>
        <v>8.3596482178724607E-7</v>
      </c>
      <c r="E678" s="39">
        <f t="shared" si="134"/>
        <v>6.8239051661333165E-6</v>
      </c>
      <c r="F678" s="39">
        <f t="shared" si="134"/>
        <v>4.1042375703492085E-5</v>
      </c>
      <c r="G678" s="39">
        <f t="shared" si="134"/>
        <v>1.9402723196864434E-4</v>
      </c>
      <c r="H678" s="39">
        <f t="shared" si="134"/>
        <v>7.5116729858543249E-4</v>
      </c>
      <c r="I678" s="39">
        <f t="shared" si="134"/>
        <v>2.4503038516161717E-3</v>
      </c>
      <c r="J678" s="39">
        <f t="shared" si="134"/>
        <v>6.8779252708835456E-3</v>
      </c>
      <c r="K678" s="39">
        <f t="shared" si="134"/>
        <v>1.6887033085348474E-2</v>
      </c>
      <c r="L678" s="39">
        <f t="shared" si="135"/>
        <v>3.6750342761086623E-2</v>
      </c>
      <c r="M678" s="39">
        <f t="shared" si="135"/>
        <v>7.1684115937618545E-2</v>
      </c>
      <c r="N678" s="39">
        <f t="shared" si="135"/>
        <v>0.12655090243587427</v>
      </c>
      <c r="O678" s="39">
        <f t="shared" si="135"/>
        <v>0.20399430604418725</v>
      </c>
      <c r="P678" s="39">
        <f t="shared" si="135"/>
        <v>0.30274648385267622</v>
      </c>
      <c r="Q678" s="39">
        <f t="shared" si="135"/>
        <v>0.41700808045805721</v>
      </c>
      <c r="R678" s="39">
        <f t="shared" si="135"/>
        <v>0.5374130523800118</v>
      </c>
      <c r="S678" s="39">
        <f t="shared" si="135"/>
        <v>0.65332390404361085</v>
      </c>
      <c r="T678" s="39">
        <f t="shared" si="135"/>
        <v>0.75552809975769875</v>
      </c>
      <c r="U678" s="39">
        <f t="shared" si="135"/>
        <v>0.83825023034930346</v>
      </c>
      <c r="V678" s="39">
        <f t="shared" si="135"/>
        <v>0.89981940586888198</v>
      </c>
      <c r="W678" s="37">
        <v>0.32500000000000001</v>
      </c>
    </row>
    <row r="679" spans="2:23" x14ac:dyDescent="0.25">
      <c r="B679" s="39">
        <f t="shared" si="134"/>
        <v>2.8561839378004338E-9</v>
      </c>
      <c r="C679" s="39">
        <f t="shared" si="134"/>
        <v>7.2145365485011558E-8</v>
      </c>
      <c r="D679" s="39">
        <f t="shared" si="134"/>
        <v>8.9513666524958602E-7</v>
      </c>
      <c r="E679" s="39">
        <f t="shared" si="134"/>
        <v>7.2738536483599766E-6</v>
      </c>
      <c r="F679" s="39">
        <f t="shared" si="134"/>
        <v>4.3551874776400416E-5</v>
      </c>
      <c r="G679" s="39">
        <f t="shared" si="134"/>
        <v>2.0497211644985802E-4</v>
      </c>
      <c r="H679" s="39">
        <f t="shared" si="134"/>
        <v>7.9003146629928625E-4</v>
      </c>
      <c r="I679" s="39">
        <f t="shared" si="134"/>
        <v>2.5658117244010958E-3</v>
      </c>
      <c r="J679" s="39">
        <f t="shared" si="134"/>
        <v>7.1710939890892479E-3</v>
      </c>
      <c r="K679" s="39">
        <f t="shared" si="134"/>
        <v>1.7532182874010812E-2</v>
      </c>
      <c r="L679" s="39">
        <f t="shared" si="135"/>
        <v>3.7995937840968656E-2</v>
      </c>
      <c r="M679" s="39">
        <f t="shared" si="135"/>
        <v>7.3814018781296467E-2</v>
      </c>
      <c r="N679" s="39">
        <f t="shared" si="135"/>
        <v>0.12980123418219197</v>
      </c>
      <c r="O679" s="39">
        <f t="shared" si="135"/>
        <v>0.20844887893327094</v>
      </c>
      <c r="P679" s="39">
        <f t="shared" si="135"/>
        <v>0.30825779473292625</v>
      </c>
      <c r="Q679" s="39">
        <f t="shared" si="135"/>
        <v>0.42319052656726658</v>
      </c>
      <c r="R679" s="39">
        <f t="shared" si="135"/>
        <v>0.54372410923458836</v>
      </c>
      <c r="S679" s="39">
        <f t="shared" si="135"/>
        <v>0.65920426529939902</v>
      </c>
      <c r="T679" s="39">
        <f t="shared" si="135"/>
        <v>0.76054196154428544</v>
      </c>
      <c r="U679" s="39">
        <f t="shared" si="135"/>
        <v>0.8421705836944402</v>
      </c>
      <c r="V679" s="39">
        <f t="shared" si="135"/>
        <v>0.90263529155244437</v>
      </c>
      <c r="W679" s="37">
        <v>0.32400000000000001</v>
      </c>
    </row>
    <row r="680" spans="2:23" x14ac:dyDescent="0.25">
      <c r="B680" s="39">
        <f t="shared" si="134"/>
        <v>3.0860652627458929E-9</v>
      </c>
      <c r="C680" s="39">
        <f t="shared" si="134"/>
        <v>7.7595243440873657E-8</v>
      </c>
      <c r="D680" s="39">
        <f t="shared" si="134"/>
        <v>9.5836910844145914E-7</v>
      </c>
      <c r="E680" s="39">
        <f t="shared" si="134"/>
        <v>7.7523882579688115E-6</v>
      </c>
      <c r="F680" s="39">
        <f t="shared" si="134"/>
        <v>4.620808674459219E-5</v>
      </c>
      <c r="G680" s="39">
        <f t="shared" si="134"/>
        <v>2.1650164175363094E-4</v>
      </c>
      <c r="H680" s="39">
        <f t="shared" si="134"/>
        <v>8.3077639835529198E-4</v>
      </c>
      <c r="I680" s="39">
        <f t="shared" si="134"/>
        <v>2.6863317511986546E-3</v>
      </c>
      <c r="J680" s="39">
        <f t="shared" si="134"/>
        <v>7.4755244421912297E-3</v>
      </c>
      <c r="K680" s="39">
        <f t="shared" si="134"/>
        <v>1.8198917916188141E-2</v>
      </c>
      <c r="L680" s="39">
        <f t="shared" si="135"/>
        <v>3.9277062189228433E-2</v>
      </c>
      <c r="M680" s="39">
        <f t="shared" si="135"/>
        <v>7.5994213562649821E-2</v>
      </c>
      <c r="N680" s="39">
        <f t="shared" si="135"/>
        <v>0.13311242122958206</v>
      </c>
      <c r="O680" s="39">
        <f t="shared" si="135"/>
        <v>0.21296517118170932</v>
      </c>
      <c r="P680" s="39">
        <f t="shared" si="135"/>
        <v>0.31381876072559206</v>
      </c>
      <c r="Q680" s="39">
        <f t="shared" si="135"/>
        <v>0.42939885165892189</v>
      </c>
      <c r="R680" s="39">
        <f t="shared" si="135"/>
        <v>0.55003127727280954</v>
      </c>
      <c r="S680" s="39">
        <f t="shared" si="135"/>
        <v>0.66505289239303689</v>
      </c>
      <c r="T680" s="39">
        <f t="shared" si="135"/>
        <v>0.76550490484023481</v>
      </c>
      <c r="U680" s="39">
        <f t="shared" si="135"/>
        <v>0.84603255118220233</v>
      </c>
      <c r="V680" s="39">
        <f t="shared" si="135"/>
        <v>0.90539596018580559</v>
      </c>
      <c r="W680" s="37">
        <v>0.32300000000000001</v>
      </c>
    </row>
    <row r="681" spans="2:23" x14ac:dyDescent="0.25">
      <c r="B681" s="39">
        <f t="shared" si="134"/>
        <v>3.2914038925075871E-9</v>
      </c>
      <c r="C681" s="39">
        <f t="shared" si="134"/>
        <v>8.2442033906682971E-8</v>
      </c>
      <c r="D681" s="39">
        <f t="shared" si="134"/>
        <v>1.014358680945346E-6</v>
      </c>
      <c r="E681" s="39">
        <f t="shared" si="134"/>
        <v>8.1742590740442712E-6</v>
      </c>
      <c r="F681" s="39">
        <f t="shared" si="134"/>
        <v>4.8539541643657122E-5</v>
      </c>
      <c r="G681" s="39">
        <f t="shared" si="134"/>
        <v>2.2657729223493064E-4</v>
      </c>
      <c r="H681" s="39">
        <f t="shared" si="134"/>
        <v>8.662276733382825E-4</v>
      </c>
      <c r="I681" s="39">
        <f t="shared" si="134"/>
        <v>2.790734826242103E-3</v>
      </c>
      <c r="J681" s="39">
        <f t="shared" si="134"/>
        <v>7.7380896570078987E-3</v>
      </c>
      <c r="K681" s="39">
        <f t="shared" si="134"/>
        <v>1.8771445762651544E-2</v>
      </c>
      <c r="L681" s="39">
        <f t="shared" si="135"/>
        <v>4.0372349532353725E-2</v>
      </c>
      <c r="M681" s="39">
        <f t="shared" si="135"/>
        <v>7.7849986092301635E-2</v>
      </c>
      <c r="N681" s="39">
        <f t="shared" si="135"/>
        <v>0.13591853343663873</v>
      </c>
      <c r="O681" s="39">
        <f t="shared" si="135"/>
        <v>0.21677578061014569</v>
      </c>
      <c r="P681" s="39">
        <f t="shared" si="135"/>
        <v>0.31849022390280962</v>
      </c>
      <c r="Q681" s="39">
        <f t="shared" si="135"/>
        <v>0.43459123369062286</v>
      </c>
      <c r="R681" s="39">
        <f t="shared" si="135"/>
        <v>0.555283163312421</v>
      </c>
      <c r="S681" s="39">
        <f t="shared" si="135"/>
        <v>0.66990156357261088</v>
      </c>
      <c r="T681" s="39">
        <f t="shared" si="135"/>
        <v>0.76960123758634447</v>
      </c>
      <c r="U681" s="39">
        <f t="shared" si="135"/>
        <v>0.8492061413615315</v>
      </c>
      <c r="V681" s="39">
        <f t="shared" si="135"/>
        <v>0.9076545742558797</v>
      </c>
      <c r="W681" s="37">
        <v>0.32200000000000001</v>
      </c>
    </row>
    <row r="682" spans="2:23" x14ac:dyDescent="0.25">
      <c r="B682" s="39">
        <f t="shared" si="134"/>
        <v>3.5555349936446592E-9</v>
      </c>
      <c r="C682" s="39">
        <f t="shared" si="134"/>
        <v>8.8649192668193055E-8</v>
      </c>
      <c r="D682" s="39">
        <f t="shared" si="134"/>
        <v>1.085748323419846E-6</v>
      </c>
      <c r="E682" s="39">
        <f t="shared" si="134"/>
        <v>8.7098049818281443E-6</v>
      </c>
      <c r="F682" s="39">
        <f t="shared" si="134"/>
        <v>5.1486222669248472E-5</v>
      </c>
      <c r="G682" s="39">
        <f t="shared" si="134"/>
        <v>2.3925579022391277E-4</v>
      </c>
      <c r="H682" s="39">
        <f t="shared" si="134"/>
        <v>9.1064116258506651E-4</v>
      </c>
      <c r="I682" s="39">
        <f t="shared" si="134"/>
        <v>2.9209568274887357E-3</v>
      </c>
      <c r="J682" s="39">
        <f t="shared" si="134"/>
        <v>8.0641485284168521E-3</v>
      </c>
      <c r="K682" s="39">
        <f t="shared" si="134"/>
        <v>1.9479298505483269E-2</v>
      </c>
      <c r="L682" s="39">
        <f t="shared" si="135"/>
        <v>4.1720572006230625E-2</v>
      </c>
      <c r="M682" s="39">
        <f t="shared" si="135"/>
        <v>8.0124272408694311E-2</v>
      </c>
      <c r="N682" s="39">
        <f t="shared" si="135"/>
        <v>0.13934236229012434</v>
      </c>
      <c r="O682" s="39">
        <f t="shared" si="135"/>
        <v>0.22140478703722508</v>
      </c>
      <c r="P682" s="39">
        <f t="shared" si="135"/>
        <v>0.32414001409896009</v>
      </c>
      <c r="Q682" s="39">
        <f t="shared" si="135"/>
        <v>0.44084341820435535</v>
      </c>
      <c r="R682" s="39">
        <f t="shared" si="135"/>
        <v>0.56157918058626188</v>
      </c>
      <c r="S682" s="39">
        <f t="shared" si="135"/>
        <v>0.67568863083538588</v>
      </c>
      <c r="T682" s="39">
        <f t="shared" si="135"/>
        <v>0.774468849166705</v>
      </c>
      <c r="U682" s="39">
        <f t="shared" si="135"/>
        <v>0.85296067615147164</v>
      </c>
      <c r="V682" s="39">
        <f t="shared" si="135"/>
        <v>0.91031488047024656</v>
      </c>
      <c r="W682" s="37">
        <v>0.32100000000000001</v>
      </c>
    </row>
    <row r="683" spans="2:23" x14ac:dyDescent="0.25">
      <c r="B683" s="39">
        <f t="shared" ref="B683:K692" si="136">_xlfn.HYPGEOM.DIST(B$2,comau,tongtheN*$W683,tongtheN,TRUE)</f>
        <v>3.8404053001518275E-9</v>
      </c>
      <c r="C683" s="39">
        <f t="shared" si="136"/>
        <v>9.5311696613506687E-8</v>
      </c>
      <c r="D683" s="39">
        <f t="shared" si="136"/>
        <v>1.1620082235550202E-6</v>
      </c>
      <c r="E683" s="39">
        <f t="shared" si="136"/>
        <v>9.2791474030077604E-6</v>
      </c>
      <c r="F683" s="39">
        <f t="shared" si="136"/>
        <v>5.4603857120386838E-5</v>
      </c>
      <c r="G683" s="39">
        <f t="shared" si="136"/>
        <v>2.5260558256446237E-4</v>
      </c>
      <c r="H683" s="39">
        <f t="shared" si="136"/>
        <v>9.5718215588422653E-4</v>
      </c>
      <c r="I683" s="39">
        <f t="shared" si="136"/>
        <v>3.0567627092397804E-3</v>
      </c>
      <c r="J683" s="39">
        <f t="shared" si="136"/>
        <v>8.4025584638203893E-3</v>
      </c>
      <c r="K683" s="39">
        <f t="shared" si="136"/>
        <v>2.0210441429854481E-2</v>
      </c>
      <c r="L683" s="39">
        <f t="shared" ref="L683:V692" si="137">_xlfn.HYPGEOM.DIST(L$2,comau,tongtheN*$W683,tongtheN,TRUE)</f>
        <v>4.310647428937972E-2</v>
      </c>
      <c r="M683" s="39">
        <f t="shared" si="137"/>
        <v>8.2450902168201265E-2</v>
      </c>
      <c r="N683" s="39">
        <f t="shared" si="137"/>
        <v>0.14282818011284595</v>
      </c>
      <c r="O683" s="39">
        <f t="shared" si="137"/>
        <v>0.22609497583768873</v>
      </c>
      <c r="P683" s="39">
        <f t="shared" si="137"/>
        <v>0.32983698720246368</v>
      </c>
      <c r="Q683" s="39">
        <f t="shared" si="137"/>
        <v>0.44711753132449394</v>
      </c>
      <c r="R683" s="39">
        <f t="shared" si="137"/>
        <v>0.56786692067041245</v>
      </c>
      <c r="S683" s="39">
        <f t="shared" si="137"/>
        <v>0.68144031080384981</v>
      </c>
      <c r="T683" s="39">
        <f t="shared" si="137"/>
        <v>0.77928343586865345</v>
      </c>
      <c r="U683" s="39">
        <f t="shared" si="137"/>
        <v>0.85665645130742685</v>
      </c>
      <c r="V683" s="39">
        <f t="shared" si="137"/>
        <v>0.91292095450085631</v>
      </c>
      <c r="W683" s="37">
        <v>0.32</v>
      </c>
    </row>
    <row r="684" spans="2:23" x14ac:dyDescent="0.25">
      <c r="B684" s="39">
        <f t="shared" si="136"/>
        <v>4.1476074573290005E-9</v>
      </c>
      <c r="C684" s="39">
        <f t="shared" si="136"/>
        <v>1.0246205814820769E-7</v>
      </c>
      <c r="D684" s="39">
        <f t="shared" si="136"/>
        <v>1.2434598211752859E-6</v>
      </c>
      <c r="E684" s="39">
        <f t="shared" si="136"/>
        <v>9.8843338316634309E-6</v>
      </c>
      <c r="F684" s="39">
        <f t="shared" si="136"/>
        <v>5.790187114059047E-5</v>
      </c>
      <c r="G684" s="39">
        <f t="shared" si="136"/>
        <v>2.6666000139208973E-4</v>
      </c>
      <c r="H684" s="39">
        <f t="shared" si="136"/>
        <v>1.00594449279664E-3</v>
      </c>
      <c r="I684" s="39">
        <f t="shared" si="136"/>
        <v>3.1983672985483815E-3</v>
      </c>
      <c r="J684" s="39">
        <f t="shared" si="136"/>
        <v>8.7537233993868185E-3</v>
      </c>
      <c r="K684" s="39">
        <f t="shared" si="136"/>
        <v>2.096549717059925E-2</v>
      </c>
      <c r="L684" s="39">
        <f t="shared" si="137"/>
        <v>4.4530826643822269E-2</v>
      </c>
      <c r="M684" s="39">
        <f t="shared" si="137"/>
        <v>8.4830587877821148E-2</v>
      </c>
      <c r="N684" s="39">
        <f t="shared" si="137"/>
        <v>0.14637634591978935</v>
      </c>
      <c r="O684" s="39">
        <f t="shared" si="137"/>
        <v>0.2308460941053247</v>
      </c>
      <c r="P684" s="39">
        <f t="shared" si="137"/>
        <v>0.3355802062285046</v>
      </c>
      <c r="Q684" s="39">
        <f t="shared" si="137"/>
        <v>0.4534121386958469</v>
      </c>
      <c r="R684" s="39">
        <f t="shared" si="137"/>
        <v>0.57414483478844947</v>
      </c>
      <c r="S684" s="39">
        <f t="shared" si="137"/>
        <v>0.68715535227148539</v>
      </c>
      <c r="T684" s="39">
        <f t="shared" si="137"/>
        <v>0.78404431288194154</v>
      </c>
      <c r="U684" s="39">
        <f t="shared" si="137"/>
        <v>0.8602933915381511</v>
      </c>
      <c r="V684" s="39">
        <f t="shared" si="137"/>
        <v>0.91547318230233365</v>
      </c>
      <c r="W684" s="37">
        <v>0.31900000000000001</v>
      </c>
    </row>
    <row r="685" spans="2:23" x14ac:dyDescent="0.25">
      <c r="B685" s="39">
        <f t="shared" si="136"/>
        <v>4.4788536779217889E-9</v>
      </c>
      <c r="C685" s="39">
        <f t="shared" si="136"/>
        <v>1.1013504654365333E-7</v>
      </c>
      <c r="D685" s="39">
        <f t="shared" si="136"/>
        <v>1.3304450320895548E-6</v>
      </c>
      <c r="E685" s="39">
        <f t="shared" si="136"/>
        <v>1.0527530328559024E-5</v>
      </c>
      <c r="F685" s="39">
        <f t="shared" si="136"/>
        <v>6.1390181083860506E-5</v>
      </c>
      <c r="G685" s="39">
        <f t="shared" si="136"/>
        <v>2.8145391026892792E-4</v>
      </c>
      <c r="H685" s="39">
        <f t="shared" si="136"/>
        <v>1.0570257336121364E-3</v>
      </c>
      <c r="I685" s="39">
        <f t="shared" si="136"/>
        <v>3.3459925107743398E-3</v>
      </c>
      <c r="J685" s="39">
        <f t="shared" si="136"/>
        <v>9.1180576726574789E-3</v>
      </c>
      <c r="K685" s="39">
        <f t="shared" si="136"/>
        <v>2.1745099219290534E-2</v>
      </c>
      <c r="L685" s="39">
        <f t="shared" si="137"/>
        <v>4.5994404623196011E-2</v>
      </c>
      <c r="M685" s="39">
        <f t="shared" si="137"/>
        <v>8.7264034911513938E-2</v>
      </c>
      <c r="N685" s="39">
        <f t="shared" si="137"/>
        <v>0.14998719604501012</v>
      </c>
      <c r="O685" s="39">
        <f t="shared" si="137"/>
        <v>0.23565785515417609</v>
      </c>
      <c r="P685" s="39">
        <f t="shared" si="137"/>
        <v>0.34136870089384086</v>
      </c>
      <c r="Q685" s="39">
        <f t="shared" si="137"/>
        <v>0.4597257863778797</v>
      </c>
      <c r="R685" s="39">
        <f t="shared" si="137"/>
        <v>0.58041137596480563</v>
      </c>
      <c r="S685" s="39">
        <f t="shared" si="137"/>
        <v>0.69283252533123563</v>
      </c>
      <c r="T685" s="39">
        <f t="shared" si="137"/>
        <v>0.78875082648939188</v>
      </c>
      <c r="U685" s="39">
        <f t="shared" si="137"/>
        <v>0.86387145069679439</v>
      </c>
      <c r="V685" s="39">
        <f t="shared" si="137"/>
        <v>0.91797196892243227</v>
      </c>
      <c r="W685" s="37">
        <v>0.318</v>
      </c>
    </row>
    <row r="686" spans="2:23" x14ac:dyDescent="0.25">
      <c r="B686" s="39">
        <f t="shared" si="136"/>
        <v>4.7745829835704857E-9</v>
      </c>
      <c r="C686" s="39">
        <f t="shared" si="136"/>
        <v>1.1695517854662727E-7</v>
      </c>
      <c r="D686" s="39">
        <f t="shared" si="136"/>
        <v>1.4074214433202039E-6</v>
      </c>
      <c r="E686" s="39">
        <f t="shared" si="136"/>
        <v>1.1094211914114219E-5</v>
      </c>
      <c r="F686" s="39">
        <f t="shared" si="136"/>
        <v>6.4449979935202826E-5</v>
      </c>
      <c r="G686" s="39">
        <f t="shared" si="136"/>
        <v>2.943733095709926E-4</v>
      </c>
      <c r="H686" s="39">
        <f t="shared" si="136"/>
        <v>1.1014378611952044E-3</v>
      </c>
      <c r="I686" s="39">
        <f t="shared" si="136"/>
        <v>3.4737777296499138E-3</v>
      </c>
      <c r="J686" s="39">
        <f t="shared" si="136"/>
        <v>9.4320356919498499E-3</v>
      </c>
      <c r="K686" s="39">
        <f t="shared" si="136"/>
        <v>2.2413982754572119E-2</v>
      </c>
      <c r="L686" s="39">
        <f t="shared" si="137"/>
        <v>4.7244579884511625E-2</v>
      </c>
      <c r="M686" s="39">
        <f t="shared" si="137"/>
        <v>8.9333478606560657E-2</v>
      </c>
      <c r="N686" s="39">
        <f t="shared" si="137"/>
        <v>0.15304434812631704</v>
      </c>
      <c r="O686" s="39">
        <f t="shared" si="137"/>
        <v>0.23971374991680316</v>
      </c>
      <c r="P686" s="39">
        <f t="shared" si="137"/>
        <v>0.34622630913923486</v>
      </c>
      <c r="Q686" s="39">
        <f t="shared" si="137"/>
        <v>0.46500064222191961</v>
      </c>
      <c r="R686" s="39">
        <f t="shared" si="137"/>
        <v>0.58562369186488372</v>
      </c>
      <c r="S686" s="39">
        <f t="shared" si="137"/>
        <v>0.697533703598189</v>
      </c>
      <c r="T686" s="39">
        <f t="shared" si="137"/>
        <v>0.79263094361569197</v>
      </c>
      <c r="U686" s="39">
        <f t="shared" si="137"/>
        <v>0.86680817473291027</v>
      </c>
      <c r="V686" s="39">
        <f t="shared" si="137"/>
        <v>0.92001377301366083</v>
      </c>
      <c r="W686" s="37">
        <v>0.317</v>
      </c>
    </row>
    <row r="687" spans="2:23" x14ac:dyDescent="0.25">
      <c r="B687" s="39">
        <f t="shared" si="136"/>
        <v>5.1547893831896712E-9</v>
      </c>
      <c r="C687" s="39">
        <f t="shared" si="136"/>
        <v>1.2568472603943488E-7</v>
      </c>
      <c r="D687" s="39">
        <f t="shared" si="136"/>
        <v>1.5055126786715108E-6</v>
      </c>
      <c r="E687" s="39">
        <f t="shared" si="136"/>
        <v>1.1813139150284474E-5</v>
      </c>
      <c r="F687" s="39">
        <f t="shared" si="136"/>
        <v>6.8314643608421546E-5</v>
      </c>
      <c r="G687" s="39">
        <f t="shared" si="136"/>
        <v>3.1061883784238984E-4</v>
      </c>
      <c r="H687" s="39">
        <f t="shared" si="136"/>
        <v>1.1570366694573237E-3</v>
      </c>
      <c r="I687" s="39">
        <f t="shared" si="136"/>
        <v>3.6330413593023327E-3</v>
      </c>
      <c r="J687" s="39">
        <f t="shared" si="136"/>
        <v>9.8216249858497414E-3</v>
      </c>
      <c r="K687" s="39">
        <f t="shared" si="136"/>
        <v>2.324026752890666E-2</v>
      </c>
      <c r="L687" s="39">
        <f t="shared" si="137"/>
        <v>4.8782101805329554E-2</v>
      </c>
      <c r="M687" s="39">
        <f t="shared" si="137"/>
        <v>9.1867293566323407E-2</v>
      </c>
      <c r="N687" s="39">
        <f t="shared" si="137"/>
        <v>0.15677091470180085</v>
      </c>
      <c r="O687" s="39">
        <f t="shared" si="137"/>
        <v>0.24463583108478193</v>
      </c>
      <c r="P687" s="39">
        <f t="shared" si="137"/>
        <v>0.35209517962323017</v>
      </c>
      <c r="Q687" s="39">
        <f t="shared" si="137"/>
        <v>0.4713453594445019</v>
      </c>
      <c r="R687" s="39">
        <f t="shared" si="137"/>
        <v>0.59186537521743754</v>
      </c>
      <c r="S687" s="39">
        <f t="shared" si="137"/>
        <v>0.70313833095664624</v>
      </c>
      <c r="T687" s="39">
        <f t="shared" si="137"/>
        <v>0.79723619738845897</v>
      </c>
      <c r="U687" s="39">
        <f t="shared" si="137"/>
        <v>0.87027826096678207</v>
      </c>
      <c r="V687" s="39">
        <f t="shared" si="137"/>
        <v>0.9224156971488976</v>
      </c>
      <c r="W687" s="37">
        <v>0.316</v>
      </c>
    </row>
    <row r="688" spans="2:23" x14ac:dyDescent="0.25">
      <c r="B688" s="39">
        <f t="shared" si="136"/>
        <v>5.5646197276342093E-9</v>
      </c>
      <c r="C688" s="39">
        <f t="shared" si="136"/>
        <v>1.3504904031296826E-7</v>
      </c>
      <c r="D688" s="39">
        <f t="shared" si="136"/>
        <v>1.6102287645052272E-6</v>
      </c>
      <c r="E688" s="39">
        <f t="shared" si="136"/>
        <v>1.2576915960653116E-5</v>
      </c>
      <c r="F688" s="39">
        <f t="shared" si="136"/>
        <v>7.2400573939947039E-5</v>
      </c>
      <c r="G688" s="39">
        <f t="shared" si="136"/>
        <v>3.277115192075222E-4</v>
      </c>
      <c r="H688" s="39">
        <f t="shared" si="136"/>
        <v>1.2152521291965931E-3</v>
      </c>
      <c r="I688" s="39">
        <f t="shared" si="136"/>
        <v>3.798994444780328E-3</v>
      </c>
      <c r="J688" s="39">
        <f t="shared" si="136"/>
        <v>1.0225615336216888E-2</v>
      </c>
      <c r="K688" s="39">
        <f t="shared" si="136"/>
        <v>2.4092952022634652E-2</v>
      </c>
      <c r="L688" s="39">
        <f t="shared" si="137"/>
        <v>5.0361072060559779E-2</v>
      </c>
      <c r="M688" s="39">
        <f t="shared" si="137"/>
        <v>9.4456823437872012E-2</v>
      </c>
      <c r="N688" s="39">
        <f t="shared" si="137"/>
        <v>0.16056098869616367</v>
      </c>
      <c r="O688" s="39">
        <f t="shared" si="137"/>
        <v>0.24961755583684797</v>
      </c>
      <c r="P688" s="39">
        <f t="shared" si="137"/>
        <v>0.35800639811237689</v>
      </c>
      <c r="Q688" s="39">
        <f t="shared" si="137"/>
        <v>0.47770489884097739</v>
      </c>
      <c r="R688" s="39">
        <f t="shared" si="137"/>
        <v>0.59809132198755743</v>
      </c>
      <c r="S688" s="39">
        <f t="shared" si="137"/>
        <v>0.70870172813704591</v>
      </c>
      <c r="T688" s="39">
        <f t="shared" si="137"/>
        <v>0.80178540666757914</v>
      </c>
      <c r="U688" s="39">
        <f t="shared" si="137"/>
        <v>0.87368949105837657</v>
      </c>
      <c r="V688" s="39">
        <f t="shared" si="137"/>
        <v>0.92476542627835778</v>
      </c>
      <c r="W688" s="37">
        <v>0.315</v>
      </c>
    </row>
    <row r="689" spans="2:23" x14ac:dyDescent="0.25">
      <c r="B689" s="39">
        <f t="shared" si="136"/>
        <v>6.0063315077965643E-9</v>
      </c>
      <c r="C689" s="39">
        <f t="shared" si="136"/>
        <v>1.450930403864951E-7</v>
      </c>
      <c r="D689" s="39">
        <f t="shared" si="136"/>
        <v>1.7220023970516734E-6</v>
      </c>
      <c r="E689" s="39">
        <f t="shared" si="136"/>
        <v>1.3388226378603263E-5</v>
      </c>
      <c r="F689" s="39">
        <f t="shared" si="136"/>
        <v>7.6719796089658789E-5</v>
      </c>
      <c r="G689" s="39">
        <f t="shared" si="136"/>
        <v>3.4569269803896434E-4</v>
      </c>
      <c r="H689" s="39">
        <f t="shared" si="136"/>
        <v>1.276197265508689E-3</v>
      </c>
      <c r="I689" s="39">
        <f t="shared" si="136"/>
        <v>3.9718877543528418E-3</v>
      </c>
      <c r="J689" s="39">
        <f t="shared" si="136"/>
        <v>1.0644462288552273E-2</v>
      </c>
      <c r="K689" s="39">
        <f t="shared" si="136"/>
        <v>2.4972710824176878E-2</v>
      </c>
      <c r="L689" s="39">
        <f t="shared" si="137"/>
        <v>5.1982282776388708E-2</v>
      </c>
      <c r="M689" s="39">
        <f t="shared" si="137"/>
        <v>9.7102739589490797E-2</v>
      </c>
      <c r="N689" s="39">
        <f t="shared" si="137"/>
        <v>0.16441481244814773</v>
      </c>
      <c r="O689" s="39">
        <f t="shared" si="137"/>
        <v>0.25465850442651661</v>
      </c>
      <c r="P689" s="39">
        <f t="shared" si="137"/>
        <v>0.36395886930361065</v>
      </c>
      <c r="Q689" s="39">
        <f t="shared" si="137"/>
        <v>0.48407773968384432</v>
      </c>
      <c r="R689" s="39">
        <f t="shared" si="137"/>
        <v>0.60430000235878145</v>
      </c>
      <c r="S689" s="39">
        <f t="shared" si="137"/>
        <v>0.71422275451388695</v>
      </c>
      <c r="T689" s="39">
        <f t="shared" si="137"/>
        <v>0.80627803918044605</v>
      </c>
      <c r="U689" s="39">
        <f t="shared" si="137"/>
        <v>0.87704192773146517</v>
      </c>
      <c r="V689" s="39">
        <f t="shared" si="137"/>
        <v>0.92706343315434536</v>
      </c>
      <c r="W689" s="37">
        <v>0.314</v>
      </c>
    </row>
    <row r="690" spans="2:23" x14ac:dyDescent="0.25">
      <c r="B690" s="39">
        <f t="shared" si="136"/>
        <v>6.4005232021467024E-9</v>
      </c>
      <c r="C690" s="39">
        <f t="shared" si="136"/>
        <v>1.5401678319540487E-7</v>
      </c>
      <c r="D690" s="39">
        <f t="shared" si="136"/>
        <v>1.8208692527281593E-6</v>
      </c>
      <c r="E690" s="39">
        <f t="shared" si="136"/>
        <v>1.4102671042037858E-5</v>
      </c>
      <c r="F690" s="39">
        <f t="shared" si="136"/>
        <v>8.050645719812443E-5</v>
      </c>
      <c r="G690" s="39">
        <f t="shared" si="136"/>
        <v>3.6138684001927484E-4</v>
      </c>
      <c r="H690" s="39">
        <f t="shared" si="136"/>
        <v>1.3291546043743168E-3</v>
      </c>
      <c r="I690" s="39">
        <f t="shared" si="136"/>
        <v>4.1214534983404069E-3</v>
      </c>
      <c r="J690" s="39">
        <f t="shared" si="136"/>
        <v>1.1005186520151715E-2</v>
      </c>
      <c r="K690" s="39">
        <f t="shared" si="136"/>
        <v>2.5727018883885927E-2</v>
      </c>
      <c r="L690" s="39">
        <f t="shared" si="137"/>
        <v>5.3366132475952739E-2</v>
      </c>
      <c r="M690" s="39">
        <f t="shared" si="137"/>
        <v>9.9351219567991991E-2</v>
      </c>
      <c r="N690" s="39">
        <f t="shared" si="137"/>
        <v>0.16767518661467232</v>
      </c>
      <c r="O690" s="39">
        <f t="shared" si="137"/>
        <v>0.2589042079682437</v>
      </c>
      <c r="P690" s="39">
        <f t="shared" si="137"/>
        <v>0.36894996226482812</v>
      </c>
      <c r="Q690" s="39">
        <f t="shared" si="137"/>
        <v>0.48939749359173823</v>
      </c>
      <c r="R690" s="39">
        <f t="shared" si="137"/>
        <v>0.60945961429401874</v>
      </c>
      <c r="S690" s="39">
        <f t="shared" si="137"/>
        <v>0.71879043772955598</v>
      </c>
      <c r="T690" s="39">
        <f t="shared" si="137"/>
        <v>0.80997831944511867</v>
      </c>
      <c r="U690" s="39">
        <f t="shared" si="137"/>
        <v>0.87979077762796676</v>
      </c>
      <c r="V690" s="39">
        <f t="shared" si="137"/>
        <v>0.92893928110821999</v>
      </c>
      <c r="W690" s="37">
        <v>0.313</v>
      </c>
    </row>
    <row r="691" spans="2:23" x14ac:dyDescent="0.25">
      <c r="B691" s="39">
        <f t="shared" si="136"/>
        <v>6.90711407536745E-9</v>
      </c>
      <c r="C691" s="39">
        <f t="shared" si="136"/>
        <v>1.6543393444185457E-7</v>
      </c>
      <c r="D691" s="39">
        <f t="shared" si="136"/>
        <v>1.9467971444635832E-6</v>
      </c>
      <c r="E691" s="39">
        <f t="shared" si="136"/>
        <v>1.5008612200137111E-5</v>
      </c>
      <c r="F691" s="39">
        <f t="shared" si="136"/>
        <v>8.5286675157528581E-5</v>
      </c>
      <c r="G691" s="39">
        <f t="shared" si="136"/>
        <v>3.8111053986019506E-4</v>
      </c>
      <c r="H691" s="39">
        <f t="shared" si="136"/>
        <v>1.3954122789191163E-3</v>
      </c>
      <c r="I691" s="39">
        <f t="shared" si="136"/>
        <v>4.3077484473513662E-3</v>
      </c>
      <c r="J691" s="39">
        <f t="shared" si="136"/>
        <v>1.1452490589918738E-2</v>
      </c>
      <c r="K691" s="39">
        <f t="shared" si="136"/>
        <v>2.6658200831340018E-2</v>
      </c>
      <c r="L691" s="39">
        <f t="shared" si="137"/>
        <v>5.5066851888345127E-2</v>
      </c>
      <c r="M691" s="39">
        <f t="shared" si="137"/>
        <v>0.1021022183164999</v>
      </c>
      <c r="N691" s="39">
        <f t="shared" si="137"/>
        <v>0.17164642640537864</v>
      </c>
      <c r="O691" s="39">
        <f t="shared" si="137"/>
        <v>0.2640525253261452</v>
      </c>
      <c r="P691" s="39">
        <f t="shared" si="137"/>
        <v>0.37497511353447166</v>
      </c>
      <c r="Q691" s="39">
        <f t="shared" si="137"/>
        <v>0.49579072118462858</v>
      </c>
      <c r="R691" s="39">
        <f t="shared" si="137"/>
        <v>0.61563269084714167</v>
      </c>
      <c r="S691" s="39">
        <f t="shared" si="137"/>
        <v>0.72423090591889205</v>
      </c>
      <c r="T691" s="39">
        <f t="shared" si="137"/>
        <v>0.81436595215981267</v>
      </c>
      <c r="U691" s="39">
        <f t="shared" si="137"/>
        <v>0.88303568042681924</v>
      </c>
      <c r="V691" s="39">
        <f t="shared" si="137"/>
        <v>0.93114374501265784</v>
      </c>
      <c r="W691" s="37">
        <v>0.312</v>
      </c>
    </row>
    <row r="692" spans="2:23" x14ac:dyDescent="0.25">
      <c r="B692" s="39">
        <f t="shared" si="136"/>
        <v>7.4529371674069998E-9</v>
      </c>
      <c r="C692" s="39">
        <f t="shared" si="136"/>
        <v>1.7767551432765865E-7</v>
      </c>
      <c r="D692" s="39">
        <f t="shared" si="136"/>
        <v>2.0811621541093187E-6</v>
      </c>
      <c r="E692" s="39">
        <f t="shared" si="136"/>
        <v>1.5970552565153187E-5</v>
      </c>
      <c r="F692" s="39">
        <f t="shared" si="136"/>
        <v>9.0337695581696475E-5</v>
      </c>
      <c r="G692" s="39">
        <f t="shared" si="136"/>
        <v>4.0185023842990905E-4</v>
      </c>
      <c r="H692" s="39">
        <f t="shared" si="136"/>
        <v>1.4647440407525066E-3</v>
      </c>
      <c r="I692" s="39">
        <f t="shared" si="136"/>
        <v>4.501738061830904E-3</v>
      </c>
      <c r="J692" s="39">
        <f t="shared" si="136"/>
        <v>1.1916002568442621E-2</v>
      </c>
      <c r="K692" s="39">
        <f t="shared" si="136"/>
        <v>2.7618425218924644E-2</v>
      </c>
      <c r="L692" s="39">
        <f t="shared" si="137"/>
        <v>5.6812072294666956E-2</v>
      </c>
      <c r="M692" s="39">
        <f t="shared" si="137"/>
        <v>0.10491144505103907</v>
      </c>
      <c r="N692" s="39">
        <f t="shared" si="137"/>
        <v>0.17568195708893083</v>
      </c>
      <c r="O692" s="39">
        <f t="shared" si="137"/>
        <v>0.26925868339609627</v>
      </c>
      <c r="P692" s="39">
        <f t="shared" si="137"/>
        <v>0.38103824305994283</v>
      </c>
      <c r="Q692" s="39">
        <f t="shared" si="137"/>
        <v>0.50219286256656237</v>
      </c>
      <c r="R692" s="39">
        <f t="shared" si="137"/>
        <v>0.62178420906564624</v>
      </c>
      <c r="S692" s="39">
        <f t="shared" si="137"/>
        <v>0.72962591070685823</v>
      </c>
      <c r="T692" s="39">
        <f t="shared" si="137"/>
        <v>0.81869567485849526</v>
      </c>
      <c r="U692" s="39">
        <f t="shared" si="137"/>
        <v>0.88622211580135168</v>
      </c>
      <c r="V692" s="39">
        <f t="shared" si="137"/>
        <v>0.9332979120157382</v>
      </c>
      <c r="W692" s="37">
        <v>0.311</v>
      </c>
    </row>
    <row r="693" spans="2:23" x14ac:dyDescent="0.25">
      <c r="B693" s="39">
        <f t="shared" ref="B693:K702" si="138">_xlfn.HYPGEOM.DIST(B$2,comau,tongtheN*$W693,tongtheN,TRUE)</f>
        <v>8.0409640905865498E-9</v>
      </c>
      <c r="C693" s="39">
        <f t="shared" si="138"/>
        <v>1.9079945054754262E-7</v>
      </c>
      <c r="D693" s="39">
        <f t="shared" si="138"/>
        <v>2.2245107759874488E-6</v>
      </c>
      <c r="E693" s="39">
        <f t="shared" si="138"/>
        <v>1.6991810718332108E-5</v>
      </c>
      <c r="F693" s="39">
        <f t="shared" si="138"/>
        <v>9.5674065453099178E-5</v>
      </c>
      <c r="G693" s="39">
        <f t="shared" si="138"/>
        <v>4.2365483255802548E-4</v>
      </c>
      <c r="H693" s="39">
        <f t="shared" si="138"/>
        <v>1.5372804290511718E-3</v>
      </c>
      <c r="I693" s="39">
        <f t="shared" si="138"/>
        <v>4.7037047063190358E-3</v>
      </c>
      <c r="J693" s="39">
        <f t="shared" si="138"/>
        <v>1.2396221155066502E-2</v>
      </c>
      <c r="K693" s="39">
        <f t="shared" si="138"/>
        <v>2.860840635887826E-2</v>
      </c>
      <c r="L693" s="39">
        <f t="shared" ref="L693:V702" si="139">_xlfn.HYPGEOM.DIST(L$2,comau,tongtheN*$W693,tongtheN,TRUE)</f>
        <v>5.8602595728967734E-2</v>
      </c>
      <c r="M693" s="39">
        <f t="shared" si="139"/>
        <v>0.10777952602625508</v>
      </c>
      <c r="N693" s="39">
        <f t="shared" si="139"/>
        <v>0.17978191603957319</v>
      </c>
      <c r="O693" s="39">
        <f t="shared" si="139"/>
        <v>0.27452212480302224</v>
      </c>
      <c r="P693" s="39">
        <f t="shared" si="139"/>
        <v>0.3871381361658397</v>
      </c>
      <c r="Q693" s="39">
        <f t="shared" si="139"/>
        <v>0.5086023444143255</v>
      </c>
      <c r="R693" s="39">
        <f t="shared" si="139"/>
        <v>0.62791267257549621</v>
      </c>
      <c r="S693" s="39">
        <f t="shared" si="139"/>
        <v>0.73497441191403523</v>
      </c>
      <c r="T693" s="39">
        <f t="shared" si="139"/>
        <v>0.82296707899414312</v>
      </c>
      <c r="U693" s="39">
        <f t="shared" si="139"/>
        <v>0.88935024985974676</v>
      </c>
      <c r="V693" s="39">
        <f t="shared" si="139"/>
        <v>0.93540231356928594</v>
      </c>
      <c r="W693" s="37">
        <v>0.31</v>
      </c>
    </row>
    <row r="694" spans="2:23" x14ac:dyDescent="0.25">
      <c r="B694" s="39">
        <f t="shared" si="138"/>
        <v>8.5655212128911185E-9</v>
      </c>
      <c r="C694" s="39">
        <f t="shared" si="138"/>
        <v>2.0245460713255457E-7</v>
      </c>
      <c r="D694" s="39">
        <f t="shared" si="138"/>
        <v>2.3512482632841583E-6</v>
      </c>
      <c r="E694" s="39">
        <f t="shared" si="138"/>
        <v>1.7890695069356068E-5</v>
      </c>
      <c r="F694" s="39">
        <f t="shared" si="138"/>
        <v>1.0035001763706012E-4</v>
      </c>
      <c r="G694" s="39">
        <f t="shared" si="138"/>
        <v>4.4267556082290283E-4</v>
      </c>
      <c r="H694" s="39">
        <f t="shared" si="138"/>
        <v>1.6002729802784587E-3</v>
      </c>
      <c r="I694" s="39">
        <f t="shared" si="138"/>
        <v>4.8783135335590576E-3</v>
      </c>
      <c r="J694" s="39">
        <f t="shared" si="138"/>
        <v>1.2809533068110911E-2</v>
      </c>
      <c r="K694" s="39">
        <f t="shared" si="138"/>
        <v>2.9456643780663431E-2</v>
      </c>
      <c r="L694" s="39">
        <f t="shared" si="139"/>
        <v>6.012988465026442E-2</v>
      </c>
      <c r="M694" s="39">
        <f t="shared" si="139"/>
        <v>0.11021499398095193</v>
      </c>
      <c r="N694" s="39">
        <f t="shared" si="139"/>
        <v>0.18324784351828499</v>
      </c>
      <c r="O694" s="39">
        <f t="shared" si="139"/>
        <v>0.27895165675853922</v>
      </c>
      <c r="P694" s="39">
        <f t="shared" si="139"/>
        <v>0.39224856665257413</v>
      </c>
      <c r="Q694" s="39">
        <f t="shared" si="139"/>
        <v>0.51394804372415914</v>
      </c>
      <c r="R694" s="39">
        <f t="shared" si="139"/>
        <v>0.63300104254972722</v>
      </c>
      <c r="S694" s="39">
        <f t="shared" si="139"/>
        <v>0.73939524150016944</v>
      </c>
      <c r="T694" s="39">
        <f t="shared" si="139"/>
        <v>0.82648176121814865</v>
      </c>
      <c r="U694" s="39">
        <f t="shared" si="139"/>
        <v>0.89191263028390511</v>
      </c>
      <c r="V694" s="39">
        <f t="shared" si="139"/>
        <v>0.93711835922533893</v>
      </c>
      <c r="W694" s="37">
        <v>0.309</v>
      </c>
    </row>
    <row r="695" spans="2:23" x14ac:dyDescent="0.25">
      <c r="B695" s="39">
        <f t="shared" si="138"/>
        <v>9.2393810152601736E-9</v>
      </c>
      <c r="C695" s="39">
        <f t="shared" si="138"/>
        <v>2.1735995591483842E-7</v>
      </c>
      <c r="D695" s="39">
        <f t="shared" si="138"/>
        <v>2.5126008965036299E-6</v>
      </c>
      <c r="E695" s="39">
        <f t="shared" si="138"/>
        <v>1.9029951226950727E-5</v>
      </c>
      <c r="F695" s="39">
        <f t="shared" si="138"/>
        <v>1.0624977147301677E-4</v>
      </c>
      <c r="G695" s="39">
        <f t="shared" si="138"/>
        <v>4.6656670231307967E-4</v>
      </c>
      <c r="H695" s="39">
        <f t="shared" si="138"/>
        <v>1.6790400247216537E-3</v>
      </c>
      <c r="I695" s="39">
        <f t="shared" si="138"/>
        <v>5.095667116278897E-3</v>
      </c>
      <c r="J695" s="39">
        <f t="shared" si="138"/>
        <v>1.3321714050930153E-2</v>
      </c>
      <c r="K695" s="39">
        <f t="shared" si="138"/>
        <v>3.0503067400254831E-2</v>
      </c>
      <c r="L695" s="39">
        <f t="shared" si="139"/>
        <v>6.2005550829254748E-2</v>
      </c>
      <c r="M695" s="39">
        <f t="shared" si="139"/>
        <v>0.11319255497395922</v>
      </c>
      <c r="N695" s="39">
        <f t="shared" si="139"/>
        <v>0.18746618057800535</v>
      </c>
      <c r="O695" s="39">
        <f t="shared" si="139"/>
        <v>0.2843185488767736</v>
      </c>
      <c r="P695" s="39">
        <f t="shared" si="139"/>
        <v>0.39841260581128873</v>
      </c>
      <c r="Q695" s="39">
        <f t="shared" si="139"/>
        <v>0.52036686029485824</v>
      </c>
      <c r="R695" s="39">
        <f t="shared" si="139"/>
        <v>0.63908339120806601</v>
      </c>
      <c r="S695" s="39">
        <f t="shared" si="139"/>
        <v>0.74465587749539219</v>
      </c>
      <c r="T695" s="39">
        <f t="shared" si="139"/>
        <v>0.83064529455479541</v>
      </c>
      <c r="U695" s="39">
        <f t="shared" si="139"/>
        <v>0.89493439570566669</v>
      </c>
      <c r="V695" s="39">
        <f t="shared" si="139"/>
        <v>0.93913294976286377</v>
      </c>
      <c r="W695" s="37">
        <v>0.308</v>
      </c>
    </row>
    <row r="696" spans="2:23" x14ac:dyDescent="0.25">
      <c r="B696" s="39">
        <f t="shared" si="138"/>
        <v>9.9651128201638358E-9</v>
      </c>
      <c r="C696" s="39">
        <f t="shared" si="138"/>
        <v>2.3333415208612839E-7</v>
      </c>
      <c r="D696" s="39">
        <f t="shared" si="138"/>
        <v>2.6846777813854615E-6</v>
      </c>
      <c r="E696" s="39">
        <f t="shared" si="138"/>
        <v>2.0238980488465265E-5</v>
      </c>
      <c r="F696" s="39">
        <f t="shared" si="138"/>
        <v>1.1248019556146089E-4</v>
      </c>
      <c r="G696" s="39">
        <f t="shared" si="138"/>
        <v>4.916733222336885E-4</v>
      </c>
      <c r="H696" s="39">
        <f t="shared" si="138"/>
        <v>1.7614088489037911E-3</v>
      </c>
      <c r="I696" s="39">
        <f t="shared" si="138"/>
        <v>5.3218456720260151E-3</v>
      </c>
      <c r="J696" s="39">
        <f t="shared" si="138"/>
        <v>1.3852077658513458E-2</v>
      </c>
      <c r="K696" s="39">
        <f t="shared" si="138"/>
        <v>3.1581325626382273E-2</v>
      </c>
      <c r="L696" s="39">
        <f t="shared" si="139"/>
        <v>6.3928798024901159E-2</v>
      </c>
      <c r="M696" s="39">
        <f t="shared" si="139"/>
        <v>0.11623066763515512</v>
      </c>
      <c r="N696" s="39">
        <f t="shared" si="139"/>
        <v>0.19174917458945834</v>
      </c>
      <c r="O696" s="39">
        <f t="shared" si="139"/>
        <v>0.28974094656658572</v>
      </c>
      <c r="P696" s="39">
        <f t="shared" si="139"/>
        <v>0.40460980610719799</v>
      </c>
      <c r="Q696" s="39">
        <f t="shared" si="139"/>
        <v>0.52678850216402862</v>
      </c>
      <c r="R696" s="39">
        <f t="shared" si="139"/>
        <v>0.64513851085705087</v>
      </c>
      <c r="S696" s="39">
        <f t="shared" si="139"/>
        <v>0.74986721617702212</v>
      </c>
      <c r="T696" s="39">
        <f t="shared" si="139"/>
        <v>0.83474952793269952</v>
      </c>
      <c r="U696" s="39">
        <f t="shared" si="139"/>
        <v>0.89789846962230246</v>
      </c>
      <c r="V696" s="39">
        <f t="shared" si="139"/>
        <v>0.94109935343896034</v>
      </c>
      <c r="W696" s="37">
        <v>0.307</v>
      </c>
    </row>
    <row r="697" spans="2:23" x14ac:dyDescent="0.25">
      <c r="B697" s="39">
        <f t="shared" si="138"/>
        <v>1.0746622016795585E-8</v>
      </c>
      <c r="C697" s="39">
        <f t="shared" si="138"/>
        <v>2.5045176644506809E-7</v>
      </c>
      <c r="D697" s="39">
        <f t="shared" si="138"/>
        <v>2.8681677744956779E-6</v>
      </c>
      <c r="E697" s="39">
        <f t="shared" si="138"/>
        <v>2.1521876991196256E-5</v>
      </c>
      <c r="F697" s="39">
        <f t="shared" si="138"/>
        <v>1.1905884452630864E-4</v>
      </c>
      <c r="G697" s="39">
        <f t="shared" si="138"/>
        <v>5.1805309079203435E-4</v>
      </c>
      <c r="H697" s="39">
        <f t="shared" si="138"/>
        <v>1.8475297491224844E-3</v>
      </c>
      <c r="I697" s="39">
        <f t="shared" si="138"/>
        <v>5.5571659832309881E-3</v>
      </c>
      <c r="J697" s="39">
        <f t="shared" si="138"/>
        <v>1.4401167396626653E-2</v>
      </c>
      <c r="K697" s="39">
        <f t="shared" si="138"/>
        <v>3.2692170319785684E-2</v>
      </c>
      <c r="L697" s="39">
        <f t="shared" si="139"/>
        <v>6.5900430461569556E-2</v>
      </c>
      <c r="M697" s="39">
        <f t="shared" si="139"/>
        <v>0.11932990137024538</v>
      </c>
      <c r="N697" s="39">
        <f t="shared" si="139"/>
        <v>0.19609684746007558</v>
      </c>
      <c r="O697" s="39">
        <f t="shared" si="139"/>
        <v>0.29521815187141498</v>
      </c>
      <c r="P697" s="39">
        <f t="shared" si="139"/>
        <v>0.41083884112802299</v>
      </c>
      <c r="Q697" s="39">
        <f t="shared" si="139"/>
        <v>0.53321135883441106</v>
      </c>
      <c r="R697" s="39">
        <f t="shared" si="139"/>
        <v>0.65116495464479573</v>
      </c>
      <c r="S697" s="39">
        <f t="shared" si="139"/>
        <v>0.75502832756855498</v>
      </c>
      <c r="T697" s="39">
        <f t="shared" si="139"/>
        <v>0.83879417708454429</v>
      </c>
      <c r="U697" s="39">
        <f t="shared" si="139"/>
        <v>0.9008051148675591</v>
      </c>
      <c r="V697" s="39">
        <f t="shared" si="139"/>
        <v>0.94301815113425447</v>
      </c>
      <c r="W697" s="37">
        <v>0.30599999999999999</v>
      </c>
    </row>
    <row r="698" spans="2:23" x14ac:dyDescent="0.25">
      <c r="B698" s="39">
        <f t="shared" si="138"/>
        <v>1.1443503232113736E-8</v>
      </c>
      <c r="C698" s="39">
        <f t="shared" si="138"/>
        <v>2.6564717624267719E-7</v>
      </c>
      <c r="D698" s="39">
        <f t="shared" si="138"/>
        <v>3.0303208524046796E-6</v>
      </c>
      <c r="E698" s="39">
        <f t="shared" si="138"/>
        <v>2.2650495544359187E-5</v>
      </c>
      <c r="F698" s="39">
        <f t="shared" si="138"/>
        <v>1.248203256874065E-4</v>
      </c>
      <c r="G698" s="39">
        <f t="shared" si="138"/>
        <v>5.4105211439033985E-4</v>
      </c>
      <c r="H698" s="39">
        <f t="shared" si="138"/>
        <v>1.9222755979773718E-3</v>
      </c>
      <c r="I698" s="39">
        <f t="shared" si="138"/>
        <v>5.7604845991942478E-3</v>
      </c>
      <c r="J698" s="39">
        <f t="shared" si="138"/>
        <v>1.4873447210465095E-2</v>
      </c>
      <c r="K698" s="39">
        <f t="shared" si="138"/>
        <v>3.3643315556504211E-2</v>
      </c>
      <c r="L698" s="39">
        <f t="shared" si="139"/>
        <v>6.7580998088680885E-2</v>
      </c>
      <c r="M698" s="39">
        <f t="shared" si="139"/>
        <v>0.12195968504355427</v>
      </c>
      <c r="N698" s="39">
        <f t="shared" si="139"/>
        <v>0.1997693095037428</v>
      </c>
      <c r="O698" s="39">
        <f t="shared" si="139"/>
        <v>0.29982382747348163</v>
      </c>
      <c r="P698" s="39">
        <f t="shared" si="139"/>
        <v>0.41605304576632468</v>
      </c>
      <c r="Q698" s="39">
        <f t="shared" si="139"/>
        <v>0.5385635005853936</v>
      </c>
      <c r="R698" s="39">
        <f t="shared" si="139"/>
        <v>0.65616405282981272</v>
      </c>
      <c r="S698" s="39">
        <f t="shared" si="139"/>
        <v>0.75929023556818431</v>
      </c>
      <c r="T698" s="39">
        <f t="shared" si="139"/>
        <v>0.84211901956510493</v>
      </c>
      <c r="U698" s="39">
        <f t="shared" si="139"/>
        <v>0.90318365634694531</v>
      </c>
      <c r="V698" s="39">
        <f t="shared" si="139"/>
        <v>0.94458121047511789</v>
      </c>
      <c r="W698" s="37">
        <v>0.30499999999999999</v>
      </c>
    </row>
    <row r="699" spans="2:23" x14ac:dyDescent="0.25">
      <c r="B699" s="39">
        <f t="shared" si="138"/>
        <v>1.2338382388708568E-8</v>
      </c>
      <c r="C699" s="39">
        <f t="shared" si="138"/>
        <v>2.8507174026175167E-7</v>
      </c>
      <c r="D699" s="39">
        <f t="shared" si="138"/>
        <v>3.2366672715621214E-6</v>
      </c>
      <c r="E699" s="39">
        <f t="shared" si="138"/>
        <v>2.408021705123683E-5</v>
      </c>
      <c r="F699" s="39">
        <f t="shared" si="138"/>
        <v>1.3208591060510723E-4</v>
      </c>
      <c r="G699" s="39">
        <f t="shared" si="138"/>
        <v>5.699241665808887E-4</v>
      </c>
      <c r="H699" s="39">
        <f t="shared" si="138"/>
        <v>2.0156841839505052E-3</v>
      </c>
      <c r="I699" s="39">
        <f t="shared" si="138"/>
        <v>6.0134190424756583E-3</v>
      </c>
      <c r="J699" s="39">
        <f t="shared" si="138"/>
        <v>1.5458319392268891E-2</v>
      </c>
      <c r="K699" s="39">
        <f t="shared" si="138"/>
        <v>3.4815885659418337E-2</v>
      </c>
      <c r="L699" s="39">
        <f t="shared" si="139"/>
        <v>6.9643422370125913E-2</v>
      </c>
      <c r="M699" s="39">
        <f t="shared" si="139"/>
        <v>0.12517239653670761</v>
      </c>
      <c r="N699" s="39">
        <f t="shared" si="139"/>
        <v>0.20423551130219741</v>
      </c>
      <c r="O699" s="39">
        <f t="shared" si="139"/>
        <v>0.30539957803261325</v>
      </c>
      <c r="P699" s="39">
        <f t="shared" si="139"/>
        <v>0.42233690818558806</v>
      </c>
      <c r="Q699" s="39">
        <f t="shared" si="139"/>
        <v>0.54498437902644414</v>
      </c>
      <c r="R699" s="39">
        <f t="shared" si="139"/>
        <v>0.66213421860930077</v>
      </c>
      <c r="S699" s="39">
        <f t="shared" si="139"/>
        <v>0.76435694870020032</v>
      </c>
      <c r="T699" s="39">
        <f t="shared" si="139"/>
        <v>0.84605379977996686</v>
      </c>
      <c r="U699" s="39">
        <f t="shared" si="139"/>
        <v>0.9059857776315251</v>
      </c>
      <c r="V699" s="39">
        <f t="shared" si="139"/>
        <v>0.94641427645271192</v>
      </c>
      <c r="W699" s="37">
        <v>0.30399999999999999</v>
      </c>
    </row>
    <row r="700" spans="2:23" x14ac:dyDescent="0.25">
      <c r="B700" s="39">
        <f t="shared" si="138"/>
        <v>1.3301734888587904E-8</v>
      </c>
      <c r="C700" s="39">
        <f t="shared" si="138"/>
        <v>3.0587957710922869E-7</v>
      </c>
      <c r="D700" s="39">
        <f t="shared" si="138"/>
        <v>3.4566186701918371E-6</v>
      </c>
      <c r="E700" s="39">
        <f t="shared" si="138"/>
        <v>2.5596690101412549E-5</v>
      </c>
      <c r="F700" s="39">
        <f t="shared" si="138"/>
        <v>1.3975434315510228E-4</v>
      </c>
      <c r="G700" s="39">
        <f t="shared" si="138"/>
        <v>6.0024671941980468E-4</v>
      </c>
      <c r="H700" s="39">
        <f t="shared" si="138"/>
        <v>2.1133013754531076E-3</v>
      </c>
      <c r="I700" s="39">
        <f t="shared" si="138"/>
        <v>6.2764447524849172E-3</v>
      </c>
      <c r="J700" s="39">
        <f t="shared" si="138"/>
        <v>1.6063522604104225E-2</v>
      </c>
      <c r="K700" s="39">
        <f t="shared" si="138"/>
        <v>3.602322240174053E-2</v>
      </c>
      <c r="L700" s="39">
        <f t="shared" si="139"/>
        <v>7.1756503962531817E-2</v>
      </c>
      <c r="M700" s="39">
        <f t="shared" si="139"/>
        <v>0.12844774825829755</v>
      </c>
      <c r="N700" s="39">
        <f t="shared" si="139"/>
        <v>0.20876627935697711</v>
      </c>
      <c r="O700" s="39">
        <f t="shared" si="139"/>
        <v>0.31102795792931465</v>
      </c>
      <c r="P700" s="39">
        <f t="shared" si="139"/>
        <v>0.42864869933235911</v>
      </c>
      <c r="Q700" s="39">
        <f t="shared" si="139"/>
        <v>0.55140187479411551</v>
      </c>
      <c r="R700" s="39">
        <f t="shared" si="139"/>
        <v>0.66807169682207879</v>
      </c>
      <c r="S700" s="39">
        <f t="shared" si="139"/>
        <v>0.76937096513243008</v>
      </c>
      <c r="T700" s="39">
        <f t="shared" si="139"/>
        <v>0.84992836536635574</v>
      </c>
      <c r="U700" s="39">
        <f t="shared" si="139"/>
        <v>0.9087313435102603</v>
      </c>
      <c r="V700" s="39">
        <f t="shared" si="139"/>
        <v>0.94820144181630628</v>
      </c>
      <c r="W700" s="37">
        <v>0.30299999999999999</v>
      </c>
    </row>
    <row r="701" spans="2:23" x14ac:dyDescent="0.25">
      <c r="B701" s="39">
        <f t="shared" si="138"/>
        <v>1.433868522044054E-8</v>
      </c>
      <c r="C701" s="39">
        <f t="shared" si="138"/>
        <v>3.2816651268668623E-7</v>
      </c>
      <c r="D701" s="39">
        <f t="shared" si="138"/>
        <v>3.6910416392241947E-6</v>
      </c>
      <c r="E701" s="39">
        <f t="shared" si="138"/>
        <v>2.7204954517965691E-5</v>
      </c>
      <c r="F701" s="39">
        <f t="shared" si="138"/>
        <v>1.4784675526630485E-4</v>
      </c>
      <c r="G701" s="39">
        <f t="shared" si="138"/>
        <v>6.3208760173825073E-4</v>
      </c>
      <c r="H701" s="39">
        <f t="shared" si="138"/>
        <v>2.2152996657373056E-3</v>
      </c>
      <c r="I701" s="39">
        <f t="shared" si="138"/>
        <v>6.5499157935900009E-3</v>
      </c>
      <c r="J701" s="39">
        <f t="shared" si="138"/>
        <v>1.6689646432447861E-2</v>
      </c>
      <c r="K701" s="39">
        <f t="shared" si="138"/>
        <v>3.7266112122549509E-2</v>
      </c>
      <c r="L701" s="39">
        <f t="shared" si="139"/>
        <v>7.3921040498358029E-2</v>
      </c>
      <c r="M701" s="39">
        <f t="shared" si="139"/>
        <v>0.1317862405349946</v>
      </c>
      <c r="N701" s="39">
        <f t="shared" si="139"/>
        <v>0.21336151030565861</v>
      </c>
      <c r="O701" s="39">
        <f t="shared" si="139"/>
        <v>0.31670812746953525</v>
      </c>
      <c r="P701" s="39">
        <f t="shared" si="139"/>
        <v>0.43498699066903806</v>
      </c>
      <c r="Q701" s="39">
        <f t="shared" si="139"/>
        <v>0.55781435665490253</v>
      </c>
      <c r="R701" s="39">
        <f t="shared" si="139"/>
        <v>0.67397510573692876</v>
      </c>
      <c r="S701" s="39">
        <f t="shared" si="139"/>
        <v>0.77433147327259022</v>
      </c>
      <c r="T701" s="39">
        <f t="shared" si="139"/>
        <v>0.8537425551823844</v>
      </c>
      <c r="U701" s="39">
        <f t="shared" si="139"/>
        <v>0.91142070586130075</v>
      </c>
      <c r="V701" s="39">
        <f t="shared" si="139"/>
        <v>0.94994332750465171</v>
      </c>
      <c r="W701" s="37">
        <v>0.30199999999999999</v>
      </c>
    </row>
    <row r="702" spans="2:23" x14ac:dyDescent="0.25">
      <c r="B702" s="39">
        <f t="shared" si="138"/>
        <v>1.5454732814796408E-8</v>
      </c>
      <c r="C702" s="39">
        <f t="shared" si="138"/>
        <v>3.5203482199913272E-7</v>
      </c>
      <c r="D702" s="39">
        <f t="shared" si="138"/>
        <v>3.9408559462164092E-6</v>
      </c>
      <c r="E702" s="39">
        <f t="shared" si="138"/>
        <v>2.8910328955081327E-5</v>
      </c>
      <c r="F702" s="39">
        <f t="shared" si="138"/>
        <v>1.5638531738268083E-4</v>
      </c>
      <c r="G702" s="39">
        <f t="shared" si="138"/>
        <v>6.6551754217908572E-4</v>
      </c>
      <c r="H702" s="39">
        <f t="shared" si="138"/>
        <v>2.3218577642180691E-3</v>
      </c>
      <c r="I702" s="39">
        <f t="shared" si="138"/>
        <v>6.8341964278057065E-3</v>
      </c>
      <c r="J702" s="39">
        <f t="shared" si="138"/>
        <v>1.733729263820822E-2</v>
      </c>
      <c r="K702" s="39">
        <f t="shared" si="138"/>
        <v>3.8545349530342152E-2</v>
      </c>
      <c r="L702" s="39">
        <f t="shared" si="139"/>
        <v>7.6137826314707183E-2</v>
      </c>
      <c r="M702" s="39">
        <f t="shared" si="139"/>
        <v>0.13518835361590445</v>
      </c>
      <c r="N702" s="39">
        <f t="shared" si="139"/>
        <v>0.21802106660560183</v>
      </c>
      <c r="O702" s="39">
        <f t="shared" si="139"/>
        <v>0.32243921003340575</v>
      </c>
      <c r="P702" s="39">
        <f t="shared" si="139"/>
        <v>0.4413503288375471</v>
      </c>
      <c r="Q702" s="39">
        <f t="shared" si="139"/>
        <v>0.56422019077083629</v>
      </c>
      <c r="R702" s="39">
        <f t="shared" si="139"/>
        <v>0.67984308308840946</v>
      </c>
      <c r="S702" s="39">
        <f t="shared" si="139"/>
        <v>0.77923769354704675</v>
      </c>
      <c r="T702" s="39">
        <f t="shared" si="139"/>
        <v>0.85749623980902512</v>
      </c>
      <c r="U702" s="39">
        <f t="shared" si="139"/>
        <v>0.91405423841838385</v>
      </c>
      <c r="V702" s="39">
        <f t="shared" si="139"/>
        <v>0.95164056336921643</v>
      </c>
      <c r="W702" s="37">
        <v>0.30099999999999999</v>
      </c>
    </row>
    <row r="703" spans="2:23" x14ac:dyDescent="0.25">
      <c r="B703" s="39">
        <f t="shared" ref="B703:K712" si="140">_xlfn.HYPGEOM.DIST(B$2,comau,tongtheN*$W703,tongtheN,TRUE)</f>
        <v>1.6449438678041905E-8</v>
      </c>
      <c r="C703" s="39">
        <f t="shared" si="140"/>
        <v>3.7321159967069887E-7</v>
      </c>
      <c r="D703" s="39">
        <f t="shared" si="140"/>
        <v>4.1614942301660696E-6</v>
      </c>
      <c r="E703" s="39">
        <f t="shared" si="140"/>
        <v>3.0409695244671709E-5</v>
      </c>
      <c r="F703" s="39">
        <f t="shared" si="140"/>
        <v>1.638583391841752E-4</v>
      </c>
      <c r="G703" s="39">
        <f t="shared" si="140"/>
        <v>6.9464279515408156E-4</v>
      </c>
      <c r="H703" s="39">
        <f t="shared" si="140"/>
        <v>2.4142727163996049E-3</v>
      </c>
      <c r="I703" s="39">
        <f t="shared" si="140"/>
        <v>7.079624261971661E-3</v>
      </c>
      <c r="J703" s="39">
        <f t="shared" si="140"/>
        <v>1.7893881103426355E-2</v>
      </c>
      <c r="K703" s="39">
        <f t="shared" si="140"/>
        <v>3.9639725231118597E-2</v>
      </c>
      <c r="L703" s="39">
        <f t="shared" ref="L703:V712" si="141">_xlfn.HYPGEOM.DIST(L$2,comau,tongtheN*$W703,tongtheN,TRUE)</f>
        <v>7.8025630810214117E-2</v>
      </c>
      <c r="M703" s="39">
        <f t="shared" si="141"/>
        <v>0.13807237909528619</v>
      </c>
      <c r="N703" s="39">
        <f t="shared" si="141"/>
        <v>0.22195304435665519</v>
      </c>
      <c r="O703" s="39">
        <f t="shared" si="141"/>
        <v>0.32725334615454188</v>
      </c>
      <c r="P703" s="39">
        <f t="shared" si="141"/>
        <v>0.44667117850104932</v>
      </c>
      <c r="Q703" s="39">
        <f t="shared" si="141"/>
        <v>0.5695521279856004</v>
      </c>
      <c r="R703" s="39">
        <f t="shared" si="141"/>
        <v>0.68470502975357039</v>
      </c>
      <c r="S703" s="39">
        <f t="shared" si="141"/>
        <v>0.78328420053244541</v>
      </c>
      <c r="T703" s="39">
        <f t="shared" si="141"/>
        <v>0.86057801950604129</v>
      </c>
      <c r="U703" s="39">
        <f t="shared" si="141"/>
        <v>0.91620648546695205</v>
      </c>
      <c r="V703" s="39">
        <f t="shared" si="141"/>
        <v>0.95302127923209434</v>
      </c>
      <c r="W703" s="37">
        <v>0.3</v>
      </c>
    </row>
    <row r="704" spans="2:23" x14ac:dyDescent="0.25">
      <c r="B704" s="39">
        <f t="shared" si="140"/>
        <v>1.772613422390766E-8</v>
      </c>
      <c r="C704" s="39">
        <f t="shared" si="140"/>
        <v>4.002678334698119E-7</v>
      </c>
      <c r="D704" s="39">
        <f t="shared" si="140"/>
        <v>4.442103984104763E-6</v>
      </c>
      <c r="E704" s="39">
        <f t="shared" si="140"/>
        <v>3.2307902743214594E-5</v>
      </c>
      <c r="F704" s="39">
        <f t="shared" si="140"/>
        <v>1.7327606117165223E-4</v>
      </c>
      <c r="G704" s="39">
        <f t="shared" si="140"/>
        <v>7.311797728618561E-4</v>
      </c>
      <c r="H704" s="39">
        <f t="shared" si="140"/>
        <v>2.5296759762965014E-3</v>
      </c>
      <c r="I704" s="39">
        <f t="shared" si="140"/>
        <v>7.3847031747914776E-3</v>
      </c>
      <c r="J704" s="39">
        <f t="shared" si="140"/>
        <v>1.8582588487449325E-2</v>
      </c>
      <c r="K704" s="39">
        <f t="shared" si="140"/>
        <v>4.0987690683858595E-2</v>
      </c>
      <c r="L704" s="39">
        <f t="shared" si="141"/>
        <v>8.0340256336207713E-2</v>
      </c>
      <c r="M704" s="39">
        <f t="shared" si="141"/>
        <v>0.14159230754921412</v>
      </c>
      <c r="N704" s="39">
        <f t="shared" si="141"/>
        <v>0.2267300574740615</v>
      </c>
      <c r="O704" s="39">
        <f t="shared" si="141"/>
        <v>0.33307537032685663</v>
      </c>
      <c r="P704" s="39">
        <f t="shared" si="141"/>
        <v>0.45307658210136148</v>
      </c>
      <c r="Q704" s="39">
        <f t="shared" si="141"/>
        <v>0.57594152723723313</v>
      </c>
      <c r="R704" s="39">
        <f t="shared" si="141"/>
        <v>0.6905045797113778</v>
      </c>
      <c r="S704" s="39">
        <f t="shared" si="141"/>
        <v>0.78808897620507345</v>
      </c>
      <c r="T704" s="39">
        <f t="shared" si="141"/>
        <v>0.86422054619762034</v>
      </c>
      <c r="U704" s="39">
        <f t="shared" si="141"/>
        <v>0.91873870420776949</v>
      </c>
      <c r="V704" s="39">
        <f t="shared" si="141"/>
        <v>0.95463831999844684</v>
      </c>
      <c r="W704" s="37">
        <v>0.29899999999999999</v>
      </c>
    </row>
    <row r="705" spans="2:23" x14ac:dyDescent="0.25">
      <c r="B705" s="39">
        <f t="shared" si="140"/>
        <v>1.9099787037600895E-8</v>
      </c>
      <c r="C705" s="39">
        <f t="shared" si="140"/>
        <v>4.2923403345532002E-7</v>
      </c>
      <c r="D705" s="39">
        <f t="shared" si="140"/>
        <v>4.7410279789151256E-6</v>
      </c>
      <c r="E705" s="39">
        <f t="shared" si="140"/>
        <v>3.4319934444769251E-5</v>
      </c>
      <c r="F705" s="39">
        <f t="shared" si="140"/>
        <v>1.832088089184182E-4</v>
      </c>
      <c r="G705" s="39">
        <f t="shared" si="140"/>
        <v>7.6952292839740997E-4</v>
      </c>
      <c r="H705" s="39">
        <f t="shared" si="140"/>
        <v>2.6501807585523553E-3</v>
      </c>
      <c r="I705" s="39">
        <f t="shared" si="140"/>
        <v>7.7016808329559991E-3</v>
      </c>
      <c r="J705" s="39">
        <f t="shared" si="140"/>
        <v>1.9294589711573239E-2</v>
      </c>
      <c r="K705" s="39">
        <f t="shared" si="140"/>
        <v>4.2374298301171932E-2</v>
      </c>
      <c r="L705" s="39">
        <f t="shared" si="141"/>
        <v>8.2709357774903389E-2</v>
      </c>
      <c r="M705" s="39">
        <f t="shared" si="141"/>
        <v>0.14517710094461897</v>
      </c>
      <c r="N705" s="39">
        <f t="shared" si="141"/>
        <v>0.23157081558779136</v>
      </c>
      <c r="O705" s="39">
        <f t="shared" si="141"/>
        <v>0.33894562417653629</v>
      </c>
      <c r="P705" s="39">
        <f t="shared" si="141"/>
        <v>0.45950278719080395</v>
      </c>
      <c r="Q705" s="39">
        <f t="shared" si="141"/>
        <v>0.58231964578300621</v>
      </c>
      <c r="R705" s="39">
        <f t="shared" si="141"/>
        <v>0.69626495269705579</v>
      </c>
      <c r="S705" s="39">
        <f t="shared" si="141"/>
        <v>0.79283743254797701</v>
      </c>
      <c r="T705" s="39">
        <f t="shared" si="141"/>
        <v>0.86780237124504134</v>
      </c>
      <c r="U705" s="39">
        <f t="shared" si="141"/>
        <v>0.92121626549805424</v>
      </c>
      <c r="V705" s="39">
        <f t="shared" si="141"/>
        <v>0.95621253840930831</v>
      </c>
      <c r="W705" s="37">
        <v>0.29799999999999999</v>
      </c>
    </row>
    <row r="706" spans="2:23" x14ac:dyDescent="0.25">
      <c r="B706" s="39">
        <f t="shared" si="140"/>
        <v>2.057759907182383E-8</v>
      </c>
      <c r="C706" s="39">
        <f t="shared" si="140"/>
        <v>4.6024133548404219E-7</v>
      </c>
      <c r="D706" s="39">
        <f t="shared" si="140"/>
        <v>5.0594204208747946E-6</v>
      </c>
      <c r="E706" s="39">
        <f t="shared" si="140"/>
        <v>3.6452319300286761E-5</v>
      </c>
      <c r="F706" s="39">
        <f t="shared" si="140"/>
        <v>1.9368318718421929E-4</v>
      </c>
      <c r="G706" s="39">
        <f t="shared" si="140"/>
        <v>8.0975515365039417E-4</v>
      </c>
      <c r="H706" s="39">
        <f t="shared" si="140"/>
        <v>2.7759913249985366E-3</v>
      </c>
      <c r="I706" s="39">
        <f t="shared" si="140"/>
        <v>8.0309623821605662E-3</v>
      </c>
      <c r="J706" s="39">
        <f t="shared" si="140"/>
        <v>2.0030533539614297E-2</v>
      </c>
      <c r="K706" s="39">
        <f t="shared" si="140"/>
        <v>4.3800371985610508E-2</v>
      </c>
      <c r="L706" s="39">
        <f t="shared" si="141"/>
        <v>8.5133710297061502E-2</v>
      </c>
      <c r="M706" s="39">
        <f t="shared" si="141"/>
        <v>0.1488271545764277</v>
      </c>
      <c r="N706" s="39">
        <f t="shared" si="141"/>
        <v>0.23647504489859306</v>
      </c>
      <c r="O706" s="39">
        <f t="shared" si="141"/>
        <v>0.34486309069578236</v>
      </c>
      <c r="P706" s="39">
        <f t="shared" si="141"/>
        <v>0.46594825313495708</v>
      </c>
      <c r="Q706" s="39">
        <f t="shared" si="141"/>
        <v>0.58868485084084432</v>
      </c>
      <c r="R706" s="39">
        <f t="shared" si="141"/>
        <v>0.70198487012147393</v>
      </c>
      <c r="S706" s="39">
        <f t="shared" si="141"/>
        <v>0.79752891623125788</v>
      </c>
      <c r="T706" s="39">
        <f t="shared" si="141"/>
        <v>0.87132348454800035</v>
      </c>
      <c r="U706" s="39">
        <f t="shared" si="141"/>
        <v>0.92363962123213006</v>
      </c>
      <c r="V706" s="39">
        <f t="shared" si="141"/>
        <v>0.95774459266335044</v>
      </c>
      <c r="W706" s="37">
        <v>0.29699999999999999</v>
      </c>
    </row>
    <row r="707" spans="2:23" x14ac:dyDescent="0.25">
      <c r="B707" s="39">
        <f t="shared" si="140"/>
        <v>2.1894231784284093E-8</v>
      </c>
      <c r="C707" s="39">
        <f t="shared" si="140"/>
        <v>4.8774057032242881E-7</v>
      </c>
      <c r="D707" s="39">
        <f t="shared" si="140"/>
        <v>5.3405002153560092E-6</v>
      </c>
      <c r="E707" s="39">
        <f t="shared" si="140"/>
        <v>3.8326199283467826E-5</v>
      </c>
      <c r="F707" s="39">
        <f t="shared" si="140"/>
        <v>2.0284566208947084E-4</v>
      </c>
      <c r="G707" s="39">
        <f t="shared" si="140"/>
        <v>8.447872410582021E-4</v>
      </c>
      <c r="H707" s="39">
        <f t="shared" si="140"/>
        <v>2.8850387840810053E-3</v>
      </c>
      <c r="I707" s="39">
        <f t="shared" si="140"/>
        <v>8.3150624602278244E-3</v>
      </c>
      <c r="J707" s="39">
        <f t="shared" si="140"/>
        <v>2.0662586106525705E-2</v>
      </c>
      <c r="K707" s="39">
        <f t="shared" si="140"/>
        <v>4.5019513508383686E-2</v>
      </c>
      <c r="L707" s="39">
        <f t="shared" si="141"/>
        <v>8.7196764325682852E-2</v>
      </c>
      <c r="M707" s="39">
        <f t="shared" si="141"/>
        <v>0.15191898594222317</v>
      </c>
      <c r="N707" s="39">
        <f t="shared" si="141"/>
        <v>0.240610164631305</v>
      </c>
      <c r="O707" s="39">
        <f t="shared" si="141"/>
        <v>0.34982961931294981</v>
      </c>
      <c r="P707" s="39">
        <f t="shared" si="141"/>
        <v>0.47133306217565096</v>
      </c>
      <c r="Q707" s="39">
        <f t="shared" si="141"/>
        <v>0.59397814812565031</v>
      </c>
      <c r="R707" s="39">
        <f t="shared" si="141"/>
        <v>0.70671965862438779</v>
      </c>
      <c r="S707" s="39">
        <f t="shared" si="141"/>
        <v>0.80139451713015963</v>
      </c>
      <c r="T707" s="39">
        <f t="shared" si="141"/>
        <v>0.87421138234703155</v>
      </c>
      <c r="U707" s="39">
        <f t="shared" si="141"/>
        <v>0.92561801640339425</v>
      </c>
      <c r="V707" s="39">
        <f t="shared" si="141"/>
        <v>0.95898957476046565</v>
      </c>
      <c r="W707" s="37">
        <v>0.29599999999999999</v>
      </c>
    </row>
    <row r="708" spans="2:23" x14ac:dyDescent="0.25">
      <c r="B708" s="39">
        <f t="shared" si="140"/>
        <v>2.3583468761437271E-8</v>
      </c>
      <c r="C708" s="39">
        <f t="shared" si="140"/>
        <v>5.2285989334977134E-7</v>
      </c>
      <c r="D708" s="39">
        <f t="shared" si="140"/>
        <v>5.697817764789469E-6</v>
      </c>
      <c r="E708" s="39">
        <f t="shared" si="140"/>
        <v>4.0697383473346373E-5</v>
      </c>
      <c r="F708" s="39">
        <f t="shared" si="140"/>
        <v>2.1438643034671573E-4</v>
      </c>
      <c r="G708" s="39">
        <f t="shared" si="140"/>
        <v>8.8870962919582316E-4</v>
      </c>
      <c r="H708" s="39">
        <f t="shared" si="140"/>
        <v>3.0211309389891771E-3</v>
      </c>
      <c r="I708" s="39">
        <f t="shared" si="140"/>
        <v>8.6679904532094183E-3</v>
      </c>
      <c r="J708" s="39">
        <f t="shared" si="140"/>
        <v>2.1444150503424419E-2</v>
      </c>
      <c r="K708" s="39">
        <f t="shared" si="140"/>
        <v>4.6520103711601896E-2</v>
      </c>
      <c r="L708" s="39">
        <f t="shared" si="141"/>
        <v>8.9724400726416811E-2</v>
      </c>
      <c r="M708" s="39">
        <f t="shared" si="141"/>
        <v>0.15568962891843241</v>
      </c>
      <c r="N708" s="39">
        <f t="shared" si="141"/>
        <v>0.24562992421227756</v>
      </c>
      <c r="O708" s="39">
        <f t="shared" si="141"/>
        <v>0.35583088123942924</v>
      </c>
      <c r="P708" s="39">
        <f t="shared" si="141"/>
        <v>0.47780977073931929</v>
      </c>
      <c r="Q708" s="39">
        <f t="shared" si="141"/>
        <v>0.60031544918865065</v>
      </c>
      <c r="R708" s="39">
        <f t="shared" si="141"/>
        <v>0.71236216734232993</v>
      </c>
      <c r="S708" s="39">
        <f t="shared" si="141"/>
        <v>0.80597996608745281</v>
      </c>
      <c r="T708" s="39">
        <f t="shared" si="141"/>
        <v>0.87762126520156003</v>
      </c>
      <c r="U708" s="39">
        <f t="shared" si="141"/>
        <v>0.92794323113416455</v>
      </c>
      <c r="V708" s="39">
        <f t="shared" si="141"/>
        <v>0.96044605670077299</v>
      </c>
      <c r="W708" s="37">
        <v>0.29499999999999998</v>
      </c>
    </row>
    <row r="709" spans="2:23" x14ac:dyDescent="0.25">
      <c r="B709" s="39">
        <f t="shared" si="140"/>
        <v>2.5400235674588406E-8</v>
      </c>
      <c r="C709" s="39">
        <f t="shared" si="140"/>
        <v>5.6044126070259744E-7</v>
      </c>
      <c r="D709" s="39">
        <f t="shared" si="140"/>
        <v>6.0782680027772769E-6</v>
      </c>
      <c r="E709" s="39">
        <f t="shared" si="140"/>
        <v>4.3209415296201392E-5</v>
      </c>
      <c r="F709" s="39">
        <f t="shared" si="140"/>
        <v>2.2655137562419965E-4</v>
      </c>
      <c r="G709" s="39">
        <f t="shared" si="140"/>
        <v>9.3477517666264382E-4</v>
      </c>
      <c r="H709" s="39">
        <f t="shared" si="140"/>
        <v>3.1631470096617573E-3</v>
      </c>
      <c r="I709" s="39">
        <f t="shared" si="140"/>
        <v>9.0344312971679212E-3</v>
      </c>
      <c r="J709" s="39">
        <f t="shared" si="140"/>
        <v>2.225156242613955E-2</v>
      </c>
      <c r="K709" s="39">
        <f t="shared" si="140"/>
        <v>4.8062529843054147E-2</v>
      </c>
      <c r="L709" s="39">
        <f t="shared" si="141"/>
        <v>9.2309445078725419E-2</v>
      </c>
      <c r="M709" s="39">
        <f t="shared" si="141"/>
        <v>0.15952651754607666</v>
      </c>
      <c r="N709" s="39">
        <f t="shared" si="141"/>
        <v>0.25071217779614935</v>
      </c>
      <c r="O709" s="39">
        <f t="shared" si="141"/>
        <v>0.36187627897190439</v>
      </c>
      <c r="P709" s="39">
        <f t="shared" si="141"/>
        <v>0.48430126659192785</v>
      </c>
      <c r="Q709" s="39">
        <f t="shared" si="141"/>
        <v>0.6066352319163224</v>
      </c>
      <c r="R709" s="39">
        <f t="shared" si="141"/>
        <v>0.71796073167301233</v>
      </c>
      <c r="S709" s="39">
        <f t="shared" si="141"/>
        <v>0.81050677506747515</v>
      </c>
      <c r="T709" s="39">
        <f t="shared" si="141"/>
        <v>0.88097057160444525</v>
      </c>
      <c r="U709" s="39">
        <f t="shared" si="141"/>
        <v>0.93021562100269028</v>
      </c>
      <c r="V709" s="39">
        <f t="shared" si="141"/>
        <v>0.96186226939382757</v>
      </c>
      <c r="W709" s="37">
        <v>0.29399999999999998</v>
      </c>
    </row>
    <row r="710" spans="2:23" x14ac:dyDescent="0.25">
      <c r="B710" s="39">
        <f t="shared" si="140"/>
        <v>2.7353949565387579E-8</v>
      </c>
      <c r="C710" s="39">
        <f t="shared" si="140"/>
        <v>6.0065252004433461E-7</v>
      </c>
      <c r="D710" s="39">
        <f t="shared" si="140"/>
        <v>6.4832964787709037E-6</v>
      </c>
      <c r="E710" s="39">
        <f t="shared" si="140"/>
        <v>4.5870291621637035E-5</v>
      </c>
      <c r="F710" s="39">
        <f t="shared" si="140"/>
        <v>2.3937234375186577E-4</v>
      </c>
      <c r="G710" s="39">
        <f t="shared" si="140"/>
        <v>9.8308075189952279E-4</v>
      </c>
      <c r="H710" s="39">
        <f t="shared" si="140"/>
        <v>3.3113196858885505E-3</v>
      </c>
      <c r="I710" s="39">
        <f t="shared" si="140"/>
        <v>9.4148338025213489E-3</v>
      </c>
      <c r="J710" s="39">
        <f t="shared" si="140"/>
        <v>2.308551770474521E-2</v>
      </c>
      <c r="K710" s="39">
        <f t="shared" si="140"/>
        <v>4.9647639586637406E-2</v>
      </c>
      <c r="L710" s="39">
        <f t="shared" si="141"/>
        <v>9.4952642268192902E-2</v>
      </c>
      <c r="M710" s="39">
        <f t="shared" si="141"/>
        <v>0.16342994944917852</v>
      </c>
      <c r="N710" s="39">
        <f t="shared" si="141"/>
        <v>0.255856508008654</v>
      </c>
      <c r="O710" s="39">
        <f t="shared" si="141"/>
        <v>0.36796465857021537</v>
      </c>
      <c r="P710" s="39">
        <f t="shared" si="141"/>
        <v>0.49080593563974756</v>
      </c>
      <c r="Q710" s="39">
        <f t="shared" si="141"/>
        <v>0.61293588237435648</v>
      </c>
      <c r="R710" s="39">
        <f t="shared" si="141"/>
        <v>0.72351417021213726</v>
      </c>
      <c r="S710" s="39">
        <f t="shared" si="141"/>
        <v>0.81497442114697261</v>
      </c>
      <c r="T710" s="39">
        <f t="shared" si="141"/>
        <v>0.8842594059983262</v>
      </c>
      <c r="U710" s="39">
        <f t="shared" si="141"/>
        <v>0.93243570670037856</v>
      </c>
      <c r="V710" s="39">
        <f t="shared" si="141"/>
        <v>0.9632388903635466</v>
      </c>
      <c r="W710" s="37">
        <v>0.29299999999999998</v>
      </c>
    </row>
    <row r="711" spans="2:23" x14ac:dyDescent="0.25">
      <c r="B711" s="39">
        <f t="shared" si="140"/>
        <v>2.9093919626999082E-8</v>
      </c>
      <c r="C711" s="39">
        <f t="shared" si="140"/>
        <v>6.3629960827083911E-7</v>
      </c>
      <c r="D711" s="39">
        <f t="shared" si="140"/>
        <v>6.8406981263278777E-6</v>
      </c>
      <c r="E711" s="39">
        <f t="shared" si="140"/>
        <v>4.8207456317121582E-5</v>
      </c>
      <c r="F711" s="39">
        <f t="shared" si="140"/>
        <v>2.5058163393453718E-4</v>
      </c>
      <c r="G711" s="39">
        <f t="shared" si="140"/>
        <v>1.0251191579238044E-3</v>
      </c>
      <c r="H711" s="39">
        <f t="shared" si="140"/>
        <v>3.4396732177218964E-3</v>
      </c>
      <c r="I711" s="39">
        <f t="shared" si="140"/>
        <v>9.7428330197590288E-3</v>
      </c>
      <c r="J711" s="39">
        <f t="shared" si="140"/>
        <v>2.3801267057058349E-2</v>
      </c>
      <c r="K711" s="39">
        <f t="shared" si="140"/>
        <v>5.100178505826837E-2</v>
      </c>
      <c r="L711" s="39">
        <f t="shared" si="141"/>
        <v>9.7200259507540063E-2</v>
      </c>
      <c r="M711" s="39">
        <f t="shared" si="141"/>
        <v>0.1667338367228087</v>
      </c>
      <c r="N711" s="39">
        <f t="shared" si="141"/>
        <v>0.26019054179027434</v>
      </c>
      <c r="O711" s="39">
        <f t="shared" si="141"/>
        <v>0.37307028496865696</v>
      </c>
      <c r="P711" s="39">
        <f t="shared" si="141"/>
        <v>0.49623537998883122</v>
      </c>
      <c r="Q711" s="39">
        <f t="shared" si="141"/>
        <v>0.61817065053079723</v>
      </c>
      <c r="R711" s="39">
        <f t="shared" si="141"/>
        <v>0.72810673118066194</v>
      </c>
      <c r="S711" s="39">
        <f t="shared" si="141"/>
        <v>0.81865191222973488</v>
      </c>
      <c r="T711" s="39">
        <f t="shared" si="141"/>
        <v>0.88695400278317715</v>
      </c>
      <c r="U711" s="39">
        <f t="shared" si="141"/>
        <v>0.93424621051140855</v>
      </c>
      <c r="V711" s="39">
        <f t="shared" si="141"/>
        <v>0.96435632213141698</v>
      </c>
      <c r="W711" s="37">
        <v>0.29199999999999998</v>
      </c>
    </row>
    <row r="712" spans="2:23" x14ac:dyDescent="0.25">
      <c r="B712" s="39">
        <f t="shared" si="140"/>
        <v>3.1325450396518141E-8</v>
      </c>
      <c r="C712" s="39">
        <f t="shared" si="140"/>
        <v>6.8180564250846722E-7</v>
      </c>
      <c r="D712" s="39">
        <f t="shared" si="140"/>
        <v>7.2948330375322242E-6</v>
      </c>
      <c r="E712" s="39">
        <f t="shared" si="140"/>
        <v>5.1163430608481521E-5</v>
      </c>
      <c r="F712" s="39">
        <f t="shared" si="140"/>
        <v>2.64693096513405E-4</v>
      </c>
      <c r="G712" s="39">
        <f t="shared" si="140"/>
        <v>1.0777963141636285E-3</v>
      </c>
      <c r="H712" s="39">
        <f t="shared" si="140"/>
        <v>3.5997637515452234E-3</v>
      </c>
      <c r="I712" s="39">
        <f t="shared" si="140"/>
        <v>1.0150036955800024E-2</v>
      </c>
      <c r="J712" s="39">
        <f t="shared" si="140"/>
        <v>2.4685732839531009E-2</v>
      </c>
      <c r="K712" s="39">
        <f t="shared" si="140"/>
        <v>5.2667366553426298E-2</v>
      </c>
      <c r="L712" s="39">
        <f t="shared" si="141"/>
        <v>9.9951971604719983E-2</v>
      </c>
      <c r="M712" s="39">
        <f t="shared" si="141"/>
        <v>0.17075994557211835</v>
      </c>
      <c r="N712" s="39">
        <f t="shared" si="141"/>
        <v>0.26544746719386969</v>
      </c>
      <c r="O712" s="39">
        <f t="shared" si="141"/>
        <v>0.37923435215129103</v>
      </c>
      <c r="P712" s="39">
        <f t="shared" si="141"/>
        <v>0.50275995311504951</v>
      </c>
      <c r="Q712" s="39">
        <f t="shared" si="141"/>
        <v>0.62443206036246945</v>
      </c>
      <c r="R712" s="39">
        <f t="shared" si="141"/>
        <v>0.73357446226510992</v>
      </c>
      <c r="S712" s="39">
        <f t="shared" si="141"/>
        <v>0.82300984932001076</v>
      </c>
      <c r="T712" s="39">
        <f t="shared" si="141"/>
        <v>0.89013233874140552</v>
      </c>
      <c r="U712" s="39">
        <f t="shared" si="141"/>
        <v>0.9363718113667937</v>
      </c>
      <c r="V712" s="39">
        <f t="shared" si="141"/>
        <v>0.96566212950827457</v>
      </c>
      <c r="W712" s="37">
        <v>0.29099999999999998</v>
      </c>
    </row>
    <row r="713" spans="2:23" x14ac:dyDescent="0.25">
      <c r="B713" s="39">
        <f t="shared" ref="B713:K722" si="142">_xlfn.HYPGEOM.DIST(B$2,comau,tongtheN*$W713,tongtheN,TRUE)</f>
        <v>3.3724463151850134E-8</v>
      </c>
      <c r="C713" s="39">
        <f t="shared" si="142"/>
        <v>7.3047987767634892E-7</v>
      </c>
      <c r="D713" s="39">
        <f t="shared" si="142"/>
        <v>7.7781307516614687E-6</v>
      </c>
      <c r="E713" s="39">
        <f t="shared" si="142"/>
        <v>5.429332327239782E-5</v>
      </c>
      <c r="F713" s="39">
        <f t="shared" si="142"/>
        <v>2.7955926303368074E-4</v>
      </c>
      <c r="G713" s="39">
        <f t="shared" si="142"/>
        <v>1.1330099939019988E-3</v>
      </c>
      <c r="H713" s="39">
        <f t="shared" si="142"/>
        <v>3.7667138423089059E-3</v>
      </c>
      <c r="I713" s="39">
        <f t="shared" si="142"/>
        <v>1.0572539025176266E-2</v>
      </c>
      <c r="J713" s="39">
        <f t="shared" si="142"/>
        <v>2.5598779567157448E-2</v>
      </c>
      <c r="K713" s="39">
        <f t="shared" si="142"/>
        <v>5.4378059947085486E-2</v>
      </c>
      <c r="L713" s="39">
        <f t="shared" ref="L713:V722" si="143">_xlfn.HYPGEOM.DIST(L$2,comau,tongtheN*$W713,tongtheN,TRUE)</f>
        <v>0.10276389077977893</v>
      </c>
      <c r="M713" s="39">
        <f t="shared" si="143"/>
        <v>0.17485328846835119</v>
      </c>
      <c r="N713" s="39">
        <f t="shared" si="143"/>
        <v>0.27076507651516696</v>
      </c>
      <c r="O713" s="39">
        <f t="shared" si="143"/>
        <v>0.38543794372134565</v>
      </c>
      <c r="P713" s="39">
        <f t="shared" si="143"/>
        <v>0.50929303917594704</v>
      </c>
      <c r="Q713" s="39">
        <f t="shared" si="143"/>
        <v>0.63066981187280358</v>
      </c>
      <c r="R713" s="39">
        <f t="shared" si="143"/>
        <v>0.73899387176301223</v>
      </c>
      <c r="S713" s="39">
        <f t="shared" si="143"/>
        <v>0.82730732945675556</v>
      </c>
      <c r="T713" s="39">
        <f t="shared" si="143"/>
        <v>0.89325065414197102</v>
      </c>
      <c r="U713" s="39">
        <f t="shared" si="143"/>
        <v>0.9384466698789582</v>
      </c>
      <c r="V713" s="39">
        <f t="shared" si="143"/>
        <v>0.96693028245491919</v>
      </c>
      <c r="W713" s="37">
        <v>0.28999999999999998</v>
      </c>
    </row>
    <row r="714" spans="2:23" x14ac:dyDescent="0.25">
      <c r="B714" s="39">
        <f t="shared" si="142"/>
        <v>3.6303252594308973E-8</v>
      </c>
      <c r="C714" s="39">
        <f t="shared" si="142"/>
        <v>7.8253677814399002E-7</v>
      </c>
      <c r="D714" s="39">
        <f t="shared" si="142"/>
        <v>8.2923981382055565E-6</v>
      </c>
      <c r="E714" s="39">
        <f t="shared" si="142"/>
        <v>5.7606907286408611E-5</v>
      </c>
      <c r="F714" s="39">
        <f t="shared" si="142"/>
        <v>2.9521815621329906E-4</v>
      </c>
      <c r="G714" s="39">
        <f t="shared" si="142"/>
        <v>1.1908730691638635E-3</v>
      </c>
      <c r="H714" s="39">
        <f t="shared" si="142"/>
        <v>3.9407876600971586E-3</v>
      </c>
      <c r="I714" s="39">
        <f t="shared" si="142"/>
        <v>1.1010834345070636E-2</v>
      </c>
      <c r="J714" s="39">
        <f t="shared" si="142"/>
        <v>2.6541149490452064E-2</v>
      </c>
      <c r="K714" s="39">
        <f t="shared" si="142"/>
        <v>5.6134730133014656E-2</v>
      </c>
      <c r="L714" s="39">
        <f t="shared" si="143"/>
        <v>0.10563671957148311</v>
      </c>
      <c r="M714" s="39">
        <f t="shared" si="143"/>
        <v>0.17901405277405025</v>
      </c>
      <c r="N714" s="39">
        <f t="shared" si="143"/>
        <v>0.27614280299084215</v>
      </c>
      <c r="O714" s="39">
        <f t="shared" si="143"/>
        <v>0.39167977447358365</v>
      </c>
      <c r="P714" s="39">
        <f t="shared" si="143"/>
        <v>0.5158329660792097</v>
      </c>
      <c r="Q714" s="39">
        <f t="shared" si="143"/>
        <v>0.63688232789469068</v>
      </c>
      <c r="R714" s="39">
        <f t="shared" si="143"/>
        <v>0.74436388762476535</v>
      </c>
      <c r="S714" s="39">
        <f t="shared" si="143"/>
        <v>0.83154396238860839</v>
      </c>
      <c r="T714" s="39">
        <f t="shared" si="143"/>
        <v>0.89630916177058395</v>
      </c>
      <c r="U714" s="39">
        <f t="shared" si="143"/>
        <v>0.94047136572736645</v>
      </c>
      <c r="V714" s="39">
        <f t="shared" si="143"/>
        <v>0.96816146918151746</v>
      </c>
      <c r="W714" s="37">
        <v>0.28899999999999998</v>
      </c>
    </row>
    <row r="715" spans="2:23" x14ac:dyDescent="0.25">
      <c r="B715" s="39">
        <f t="shared" si="142"/>
        <v>3.8599051904253537E-8</v>
      </c>
      <c r="C715" s="39">
        <f t="shared" si="142"/>
        <v>8.2866595894569553E-7</v>
      </c>
      <c r="D715" s="39">
        <f t="shared" si="142"/>
        <v>8.7459895462615026E-6</v>
      </c>
      <c r="E715" s="39">
        <f t="shared" si="142"/>
        <v>6.0515957533521541E-5</v>
      </c>
      <c r="F715" s="39">
        <f t="shared" si="142"/>
        <v>3.0890145142705447E-4</v>
      </c>
      <c r="G715" s="39">
        <f t="shared" si="142"/>
        <v>1.2412007065555918E-3</v>
      </c>
      <c r="H715" s="39">
        <f t="shared" si="142"/>
        <v>4.09148753027061E-3</v>
      </c>
      <c r="I715" s="39">
        <f t="shared" si="142"/>
        <v>1.1388510567618353E-2</v>
      </c>
      <c r="J715" s="39">
        <f t="shared" si="142"/>
        <v>2.7349401153279378E-2</v>
      </c>
      <c r="K715" s="39">
        <f t="shared" si="142"/>
        <v>5.7634369359462735E-2</v>
      </c>
      <c r="L715" s="39">
        <f t="shared" si="143"/>
        <v>0.108077769527887</v>
      </c>
      <c r="M715" s="39">
        <f t="shared" si="143"/>
        <v>0.18253297272851365</v>
      </c>
      <c r="N715" s="39">
        <f t="shared" si="143"/>
        <v>0.28066972820144837</v>
      </c>
      <c r="O715" s="39">
        <f t="shared" si="143"/>
        <v>0.39690956052421678</v>
      </c>
      <c r="P715" s="39">
        <f t="shared" si="143"/>
        <v>0.5212869158746416</v>
      </c>
      <c r="Q715" s="39">
        <f t="shared" si="143"/>
        <v>0.64203901825269338</v>
      </c>
      <c r="R715" s="39">
        <f t="shared" si="143"/>
        <v>0.74880041712272505</v>
      </c>
      <c r="S715" s="39">
        <f t="shared" si="143"/>
        <v>0.83502775180331112</v>
      </c>
      <c r="T715" s="39">
        <f t="shared" si="143"/>
        <v>0.8988124038859171</v>
      </c>
      <c r="U715" s="39">
        <f t="shared" si="143"/>
        <v>0.94212072129101665</v>
      </c>
      <c r="V715" s="39">
        <f t="shared" si="143"/>
        <v>0.96915971754426733</v>
      </c>
      <c r="W715" s="37">
        <v>0.28799999999999998</v>
      </c>
    </row>
    <row r="716" spans="2:23" x14ac:dyDescent="0.25">
      <c r="B716" s="39">
        <f t="shared" si="142"/>
        <v>4.1542335097648592E-8</v>
      </c>
      <c r="C716" s="39">
        <f t="shared" si="142"/>
        <v>8.8752881935658669E-7</v>
      </c>
      <c r="D716" s="39">
        <f t="shared" si="142"/>
        <v>9.3220890440637635E-6</v>
      </c>
      <c r="E716" s="39">
        <f t="shared" si="142"/>
        <v>6.4193439243290855E-5</v>
      </c>
      <c r="F716" s="39">
        <f t="shared" si="142"/>
        <v>3.261183999599139E-4</v>
      </c>
      <c r="G716" s="39">
        <f t="shared" si="142"/>
        <v>1.3042293233740186E-3</v>
      </c>
      <c r="H716" s="39">
        <f t="shared" si="142"/>
        <v>4.2793367619682089E-3</v>
      </c>
      <c r="I716" s="39">
        <f t="shared" si="142"/>
        <v>1.185708766952877E-2</v>
      </c>
      <c r="J716" s="39">
        <f t="shared" si="142"/>
        <v>2.8347497484682009E-2</v>
      </c>
      <c r="K716" s="39">
        <f t="shared" si="142"/>
        <v>5.9477587087400863E-2</v>
      </c>
      <c r="L716" s="39">
        <f t="shared" si="143"/>
        <v>0.11106404638114485</v>
      </c>
      <c r="M716" s="39">
        <f t="shared" si="143"/>
        <v>0.18681772680714329</v>
      </c>
      <c r="N716" s="39">
        <f t="shared" si="143"/>
        <v>0.28615606547480449</v>
      </c>
      <c r="O716" s="39">
        <f t="shared" si="143"/>
        <v>0.40321804926123084</v>
      </c>
      <c r="P716" s="39">
        <f t="shared" si="143"/>
        <v>0.52783500117862414</v>
      </c>
      <c r="Q716" s="39">
        <f t="shared" si="143"/>
        <v>0.64820121534963315</v>
      </c>
      <c r="R716" s="39">
        <f t="shared" si="143"/>
        <v>0.75407719480129853</v>
      </c>
      <c r="S716" s="39">
        <f t="shared" si="143"/>
        <v>0.83915193325694215</v>
      </c>
      <c r="T716" s="39">
        <f t="shared" si="143"/>
        <v>0.90176190609374074</v>
      </c>
      <c r="U716" s="39">
        <f t="shared" si="143"/>
        <v>0.94405500293058175</v>
      </c>
      <c r="V716" s="39">
        <f t="shared" si="143"/>
        <v>0.97032492466067155</v>
      </c>
      <c r="W716" s="37">
        <v>0.28699999999999998</v>
      </c>
    </row>
    <row r="717" spans="2:23" x14ac:dyDescent="0.25">
      <c r="B717" s="39">
        <f t="shared" si="142"/>
        <v>4.4705230196070885E-8</v>
      </c>
      <c r="C717" s="39">
        <f t="shared" si="142"/>
        <v>9.50461553814523E-7</v>
      </c>
      <c r="D717" s="39">
        <f t="shared" si="142"/>
        <v>9.9348829629811794E-6</v>
      </c>
      <c r="E717" s="39">
        <f t="shared" si="142"/>
        <v>6.8085220203535009E-5</v>
      </c>
      <c r="F717" s="39">
        <f t="shared" si="142"/>
        <v>3.4424574377561127E-4</v>
      </c>
      <c r="G717" s="39">
        <f t="shared" si="142"/>
        <v>1.3702522991484833E-3</v>
      </c>
      <c r="H717" s="39">
        <f t="shared" si="142"/>
        <v>4.4751063705095236E-3</v>
      </c>
      <c r="I717" s="39">
        <f t="shared" si="142"/>
        <v>1.2342929208982157E-2</v>
      </c>
      <c r="J717" s="39">
        <f t="shared" si="142"/>
        <v>2.9377084306893977E-2</v>
      </c>
      <c r="K717" s="39">
        <f t="shared" si="142"/>
        <v>6.1369247991806465E-2</v>
      </c>
      <c r="L717" s="39">
        <f t="shared" si="143"/>
        <v>0.11411314905810792</v>
      </c>
      <c r="M717" s="39">
        <f t="shared" si="143"/>
        <v>0.19117026319872149</v>
      </c>
      <c r="N717" s="39">
        <f t="shared" si="143"/>
        <v>0.29170069760445699</v>
      </c>
      <c r="O717" s="39">
        <f t="shared" si="143"/>
        <v>0.40956095834211587</v>
      </c>
      <c r="P717" s="39">
        <f t="shared" si="143"/>
        <v>0.53438512629248014</v>
      </c>
      <c r="Q717" s="39">
        <f t="shared" si="143"/>
        <v>0.65433378030721712</v>
      </c>
      <c r="R717" s="39">
        <f t="shared" si="143"/>
        <v>0.75930170840943678</v>
      </c>
      <c r="S717" s="39">
        <f t="shared" si="143"/>
        <v>0.84321435041914772</v>
      </c>
      <c r="T717" s="39">
        <f t="shared" si="143"/>
        <v>0.90465234871723055</v>
      </c>
      <c r="U717" s="39">
        <f t="shared" si="143"/>
        <v>0.94594083665420148</v>
      </c>
      <c r="V717" s="39">
        <f t="shared" si="143"/>
        <v>0.97145512143551715</v>
      </c>
      <c r="W717" s="37">
        <v>0.28599999999999998</v>
      </c>
    </row>
    <row r="718" spans="2:23" x14ac:dyDescent="0.25">
      <c r="B718" s="39">
        <f t="shared" si="142"/>
        <v>4.8103764788379816E-8</v>
      </c>
      <c r="C718" s="39">
        <f t="shared" si="142"/>
        <v>1.0177377174340893E-6</v>
      </c>
      <c r="D718" s="39">
        <f t="shared" si="142"/>
        <v>1.0586625358363067E-5</v>
      </c>
      <c r="E718" s="39">
        <f t="shared" si="142"/>
        <v>7.2203217186087202E-5</v>
      </c>
      <c r="F718" s="39">
        <f t="shared" si="142"/>
        <v>3.6332876418468119E-4</v>
      </c>
      <c r="G718" s="39">
        <f t="shared" si="142"/>
        <v>1.4394007639516638E-3</v>
      </c>
      <c r="H718" s="39">
        <f t="shared" si="142"/>
        <v>4.679095216413463E-3</v>
      </c>
      <c r="I718" s="39">
        <f t="shared" si="142"/>
        <v>1.2846579034786624E-2</v>
      </c>
      <c r="J718" s="39">
        <f t="shared" si="142"/>
        <v>3.0438948821880051E-2</v>
      </c>
      <c r="K718" s="39">
        <f t="shared" si="142"/>
        <v>6.3310226388615651E-2</v>
      </c>
      <c r="L718" s="39">
        <f t="shared" si="143"/>
        <v>0.11722572484343391</v>
      </c>
      <c r="M718" s="39">
        <f t="shared" si="143"/>
        <v>0.19559064678430921</v>
      </c>
      <c r="N718" s="39">
        <f t="shared" si="143"/>
        <v>0.29730290436954171</v>
      </c>
      <c r="O718" s="39">
        <f t="shared" si="143"/>
        <v>0.4159368792274527</v>
      </c>
      <c r="P718" s="39">
        <f t="shared" si="143"/>
        <v>0.54093557803541947</v>
      </c>
      <c r="Q718" s="39">
        <f t="shared" si="143"/>
        <v>0.66043519046078725</v>
      </c>
      <c r="R718" s="39">
        <f t="shared" si="143"/>
        <v>0.76447300585894329</v>
      </c>
      <c r="S718" s="39">
        <f t="shared" si="143"/>
        <v>0.84721474605820957</v>
      </c>
      <c r="T718" s="39">
        <f t="shared" si="143"/>
        <v>0.90748404540873617</v>
      </c>
      <c r="U718" s="39">
        <f t="shared" si="143"/>
        <v>0.94777885106232918</v>
      </c>
      <c r="V718" s="39">
        <f t="shared" si="143"/>
        <v>0.97255099862891303</v>
      </c>
      <c r="W718" s="37">
        <v>0.28499999999999998</v>
      </c>
    </row>
    <row r="719" spans="2:23" x14ac:dyDescent="0.25">
      <c r="B719" s="39">
        <f t="shared" si="142"/>
        <v>5.175511008264317E-8</v>
      </c>
      <c r="C719" s="39">
        <f t="shared" si="142"/>
        <v>1.0896487126225284E-6</v>
      </c>
      <c r="D719" s="39">
        <f t="shared" si="142"/>
        <v>1.1279703365500353E-5</v>
      </c>
      <c r="E719" s="39">
        <f t="shared" si="142"/>
        <v>7.6559975074600323E-5</v>
      </c>
      <c r="F719" s="39">
        <f t="shared" si="142"/>
        <v>3.834148338414521E-4</v>
      </c>
      <c r="G719" s="39">
        <f t="shared" si="142"/>
        <v>1.5118110110320018E-3</v>
      </c>
      <c r="H719" s="39">
        <f t="shared" si="142"/>
        <v>4.8916117547840561E-3</v>
      </c>
      <c r="I719" s="39">
        <f t="shared" si="142"/>
        <v>1.3368594071339276E-2</v>
      </c>
      <c r="J719" s="39">
        <f t="shared" si="142"/>
        <v>3.153388960265794E-2</v>
      </c>
      <c r="K719" s="39">
        <f t="shared" si="142"/>
        <v>6.5301397615855433E-2</v>
      </c>
      <c r="L719" s="39">
        <f t="shared" si="143"/>
        <v>0.12040240439267487</v>
      </c>
      <c r="M719" s="39">
        <f t="shared" si="143"/>
        <v>0.20007890855604776</v>
      </c>
      <c r="N719" s="39">
        <f t="shared" si="143"/>
        <v>0.30296192508729675</v>
      </c>
      <c r="O719" s="39">
        <f t="shared" si="143"/>
        <v>0.42234437279006837</v>
      </c>
      <c r="P719" s="39">
        <f t="shared" si="143"/>
        <v>0.54748463544540737</v>
      </c>
      <c r="Q719" s="39">
        <f t="shared" si="143"/>
        <v>0.66650394022545134</v>
      </c>
      <c r="R719" s="39">
        <f t="shared" si="143"/>
        <v>0.76959016788628876</v>
      </c>
      <c r="S719" s="39">
        <f t="shared" si="143"/>
        <v>0.85115289746409406</v>
      </c>
      <c r="T719" s="39">
        <f t="shared" si="143"/>
        <v>0.91025733476272608</v>
      </c>
      <c r="U719" s="39">
        <f t="shared" si="143"/>
        <v>0.9495696858485515</v>
      </c>
      <c r="V719" s="39">
        <f t="shared" si="143"/>
        <v>0.97361324640100599</v>
      </c>
      <c r="W719" s="37">
        <v>0.28399999999999997</v>
      </c>
    </row>
    <row r="720" spans="2:23" x14ac:dyDescent="0.25">
      <c r="B720" s="39">
        <f t="shared" si="142"/>
        <v>5.5004249176733362E-8</v>
      </c>
      <c r="C720" s="39">
        <f t="shared" si="142"/>
        <v>1.1533383628796275E-6</v>
      </c>
      <c r="D720" s="39">
        <f t="shared" si="142"/>
        <v>1.1890663413240714E-5</v>
      </c>
      <c r="E720" s="39">
        <f t="shared" si="142"/>
        <v>8.0382498976777408E-5</v>
      </c>
      <c r="F720" s="39">
        <f t="shared" si="142"/>
        <v>4.009551249848251E-4</v>
      </c>
      <c r="G720" s="39">
        <f t="shared" si="142"/>
        <v>1.5747465376900283E-3</v>
      </c>
      <c r="H720" s="39">
        <f t="shared" si="142"/>
        <v>5.0754524017007797E-3</v>
      </c>
      <c r="I720" s="39">
        <f t="shared" si="142"/>
        <v>1.3818046508468801E-2</v>
      </c>
      <c r="J720" s="39">
        <f t="shared" si="142"/>
        <v>3.2472190717214397E-2</v>
      </c>
      <c r="K720" s="39">
        <f t="shared" si="142"/>
        <v>6.6999680511212134E-2</v>
      </c>
      <c r="L720" s="39">
        <f t="shared" si="143"/>
        <v>0.12309904836560848</v>
      </c>
      <c r="M720" s="39">
        <f t="shared" si="143"/>
        <v>0.20387097650166308</v>
      </c>
      <c r="N720" s="39">
        <f t="shared" si="143"/>
        <v>0.30772059839087446</v>
      </c>
      <c r="O720" s="39">
        <f t="shared" si="143"/>
        <v>0.42770700985925131</v>
      </c>
      <c r="P720" s="39">
        <f t="shared" si="143"/>
        <v>0.55293987204004524</v>
      </c>
      <c r="Q720" s="39">
        <f t="shared" si="143"/>
        <v>0.67153520916820775</v>
      </c>
      <c r="R720" s="39">
        <f t="shared" si="143"/>
        <v>0.77381247600110792</v>
      </c>
      <c r="S720" s="39">
        <f t="shared" si="143"/>
        <v>0.85438700572556314</v>
      </c>
      <c r="T720" s="39">
        <f t="shared" si="143"/>
        <v>0.91252405362965128</v>
      </c>
      <c r="U720" s="39">
        <f t="shared" si="143"/>
        <v>0.95102647689708697</v>
      </c>
      <c r="V720" s="39">
        <f t="shared" si="143"/>
        <v>0.97447326090294006</v>
      </c>
      <c r="W720" s="37">
        <v>0.28299999999999997</v>
      </c>
    </row>
    <row r="721" spans="2:23" x14ac:dyDescent="0.25">
      <c r="B721" s="39">
        <f t="shared" si="142"/>
        <v>5.9167796902463239E-8</v>
      </c>
      <c r="C721" s="39">
        <f t="shared" si="142"/>
        <v>1.2345671852460153E-6</v>
      </c>
      <c r="D721" s="39">
        <f t="shared" si="142"/>
        <v>1.2666195360120883E-5</v>
      </c>
      <c r="E721" s="39">
        <f t="shared" si="142"/>
        <v>8.5211777091585193E-5</v>
      </c>
      <c r="F721" s="39">
        <f t="shared" si="142"/>
        <v>4.2301045029684243E-4</v>
      </c>
      <c r="G721" s="39">
        <f t="shared" si="142"/>
        <v>1.6535085385344104E-3</v>
      </c>
      <c r="H721" s="39">
        <f t="shared" si="142"/>
        <v>5.3044369322063148E-3</v>
      </c>
      <c r="I721" s="39">
        <f t="shared" si="142"/>
        <v>1.4375221497343459E-2</v>
      </c>
      <c r="J721" s="39">
        <f t="shared" si="142"/>
        <v>3.3629882387471971E-2</v>
      </c>
      <c r="K721" s="39">
        <f t="shared" si="142"/>
        <v>6.9085146193452532E-2</v>
      </c>
      <c r="L721" s="39">
        <f t="shared" si="143"/>
        <v>0.12639483047569419</v>
      </c>
      <c r="M721" s="39">
        <f t="shared" si="143"/>
        <v>0.20848364654294035</v>
      </c>
      <c r="N721" s="39">
        <f t="shared" si="143"/>
        <v>0.31348166767942776</v>
      </c>
      <c r="O721" s="39">
        <f t="shared" si="143"/>
        <v>0.43416855039217472</v>
      </c>
      <c r="P721" s="39">
        <f t="shared" si="143"/>
        <v>0.55948188266680077</v>
      </c>
      <c r="Q721" s="39">
        <f t="shared" si="143"/>
        <v>0.67754023254658069</v>
      </c>
      <c r="R721" s="39">
        <f t="shared" si="143"/>
        <v>0.77882811341938041</v>
      </c>
      <c r="S721" s="39">
        <f t="shared" si="143"/>
        <v>0.85821057826318636</v>
      </c>
      <c r="T721" s="39">
        <f t="shared" si="143"/>
        <v>0.91519122261661801</v>
      </c>
      <c r="U721" s="39">
        <f t="shared" si="143"/>
        <v>0.95273251118361002</v>
      </c>
      <c r="V721" s="39">
        <f t="shared" si="143"/>
        <v>0.97547564324245972</v>
      </c>
      <c r="W721" s="37">
        <v>0.28199999999999997</v>
      </c>
    </row>
    <row r="722" spans="2:23" x14ac:dyDescent="0.25">
      <c r="B722" s="39">
        <f t="shared" si="142"/>
        <v>6.363973729717855E-8</v>
      </c>
      <c r="C722" s="39">
        <f t="shared" si="142"/>
        <v>1.3213635493593336E-6</v>
      </c>
      <c r="D722" s="39">
        <f t="shared" si="142"/>
        <v>1.3490616572048098E-5</v>
      </c>
      <c r="E722" s="39">
        <f t="shared" si="142"/>
        <v>9.0319048539594355E-5</v>
      </c>
      <c r="F722" s="39">
        <f t="shared" si="142"/>
        <v>4.4621518569493975E-4</v>
      </c>
      <c r="G722" s="39">
        <f t="shared" si="142"/>
        <v>1.7359480651715621E-3</v>
      </c>
      <c r="H722" s="39">
        <f t="shared" si="142"/>
        <v>5.54287723026896E-3</v>
      </c>
      <c r="I722" s="39">
        <f t="shared" si="142"/>
        <v>1.4952411837265348E-2</v>
      </c>
      <c r="J722" s="39">
        <f t="shared" si="142"/>
        <v>3.4822973036953357E-2</v>
      </c>
      <c r="K722" s="39">
        <f t="shared" si="142"/>
        <v>7.1223284708311491E-2</v>
      </c>
      <c r="L722" s="39">
        <f t="shared" si="143"/>
        <v>0.12975640464561627</v>
      </c>
      <c r="M722" s="39">
        <f t="shared" si="143"/>
        <v>0.21316409182546353</v>
      </c>
      <c r="N722" s="39">
        <f t="shared" si="143"/>
        <v>0.31929717514707923</v>
      </c>
      <c r="O722" s="39">
        <f t="shared" si="143"/>
        <v>0.44065742655367374</v>
      </c>
      <c r="P722" s="39">
        <f t="shared" si="143"/>
        <v>0.56601759168044841</v>
      </c>
      <c r="Q722" s="39">
        <f t="shared" si="143"/>
        <v>0.68350843257298333</v>
      </c>
      <c r="R722" s="39">
        <f t="shared" si="143"/>
        <v>0.78378719394045626</v>
      </c>
      <c r="S722" s="39">
        <f t="shared" si="143"/>
        <v>0.86197146167978644</v>
      </c>
      <c r="T722" s="39">
        <f t="shared" si="143"/>
        <v>0.91780107372705422</v>
      </c>
      <c r="U722" s="39">
        <f t="shared" si="143"/>
        <v>0.95439323252250985</v>
      </c>
      <c r="V722" s="39">
        <f t="shared" si="143"/>
        <v>0.97644634402013586</v>
      </c>
      <c r="W722" s="37">
        <v>0.28100000000000003</v>
      </c>
    </row>
    <row r="723" spans="2:23" x14ac:dyDescent="0.25">
      <c r="B723" s="39">
        <f t="shared" ref="B723:K732" si="144">_xlfn.HYPGEOM.DIST(B$2,comau,tongtheN*$W723,tongtheN,TRUE)</f>
        <v>6.8442413170835204E-8</v>
      </c>
      <c r="C723" s="39">
        <f t="shared" si="144"/>
        <v>1.4140983425291631E-6</v>
      </c>
      <c r="D723" s="39">
        <f t="shared" si="144"/>
        <v>1.4366897580666552E-5</v>
      </c>
      <c r="E723" s="39">
        <f t="shared" si="144"/>
        <v>9.5719566479845518E-5</v>
      </c>
      <c r="F723" s="39">
        <f t="shared" si="144"/>
        <v>4.7062556255784998E-4</v>
      </c>
      <c r="G723" s="39">
        <f t="shared" si="144"/>
        <v>1.822222854019977E-3</v>
      </c>
      <c r="H723" s="39">
        <f t="shared" si="144"/>
        <v>5.791120671169556E-3</v>
      </c>
      <c r="I723" s="39">
        <f t="shared" si="144"/>
        <v>1.5550225792014248E-2</v>
      </c>
      <c r="J723" s="39">
        <f t="shared" si="144"/>
        <v>3.6052302983402007E-2</v>
      </c>
      <c r="K723" s="39">
        <f t="shared" si="144"/>
        <v>7.3414969203229971E-2</v>
      </c>
      <c r="L723" s="39">
        <f t="shared" ref="L723:V732" si="145">_xlfn.HYPGEOM.DIST(L$2,comau,tongtheN*$W723,tongtheN,TRUE)</f>
        <v>0.13318432900086574</v>
      </c>
      <c r="M723" s="39">
        <f t="shared" si="145"/>
        <v>0.21791220639351719</v>
      </c>
      <c r="N723" s="39">
        <f t="shared" si="145"/>
        <v>0.32516620436211113</v>
      </c>
      <c r="O723" s="39">
        <f t="shared" si="145"/>
        <v>0.447172089116112</v>
      </c>
      <c r="P723" s="39">
        <f t="shared" si="145"/>
        <v>0.57254526004887918</v>
      </c>
      <c r="Q723" s="39">
        <f t="shared" si="145"/>
        <v>0.68943837976987166</v>
      </c>
      <c r="R723" s="39">
        <f t="shared" si="145"/>
        <v>0.78868892910790411</v>
      </c>
      <c r="S723" s="39">
        <f t="shared" si="145"/>
        <v>0.86566956402429029</v>
      </c>
      <c r="T723" s="39">
        <f t="shared" si="145"/>
        <v>0.92035403544098049</v>
      </c>
      <c r="U723" s="39">
        <f t="shared" si="145"/>
        <v>0.95600931675303791</v>
      </c>
      <c r="V723" s="39">
        <f t="shared" si="145"/>
        <v>0.9773860465607791</v>
      </c>
      <c r="W723" s="37">
        <v>0.28000000000000003</v>
      </c>
    </row>
    <row r="724" spans="2:23" x14ac:dyDescent="0.25">
      <c r="B724" s="39">
        <f t="shared" si="144"/>
        <v>7.2714499174186445E-8</v>
      </c>
      <c r="C724" s="39">
        <f t="shared" si="144"/>
        <v>1.4961977554694381E-6</v>
      </c>
      <c r="D724" s="39">
        <f t="shared" si="144"/>
        <v>1.513900959218516E-5</v>
      </c>
      <c r="E724" s="39">
        <f t="shared" si="144"/>
        <v>1.0045555691665568E-4</v>
      </c>
      <c r="F724" s="39">
        <f t="shared" si="144"/>
        <v>4.919308456892464E-4</v>
      </c>
      <c r="G724" s="39">
        <f t="shared" si="144"/>
        <v>1.897166199948401E-3</v>
      </c>
      <c r="H724" s="39">
        <f t="shared" si="144"/>
        <v>6.0057367365682077E-3</v>
      </c>
      <c r="I724" s="39">
        <f t="shared" si="144"/>
        <v>1.6064606521753105E-2</v>
      </c>
      <c r="J724" s="39">
        <f t="shared" si="144"/>
        <v>3.7105040789542396E-2</v>
      </c>
      <c r="K724" s="39">
        <f t="shared" si="144"/>
        <v>7.5282904507523715E-2</v>
      </c>
      <c r="L724" s="39">
        <f t="shared" si="145"/>
        <v>0.13609200478660924</v>
      </c>
      <c r="M724" s="39">
        <f t="shared" si="145"/>
        <v>0.2219205580102532</v>
      </c>
      <c r="N724" s="39">
        <f t="shared" si="145"/>
        <v>0.33009725746848645</v>
      </c>
      <c r="O724" s="39">
        <f t="shared" si="145"/>
        <v>0.45261953637754071</v>
      </c>
      <c r="P724" s="39">
        <f t="shared" si="145"/>
        <v>0.57797758578492187</v>
      </c>
      <c r="Q724" s="39">
        <f t="shared" si="145"/>
        <v>0.69434976579290164</v>
      </c>
      <c r="R724" s="39">
        <f t="shared" si="145"/>
        <v>0.79272935847158865</v>
      </c>
      <c r="S724" s="39">
        <f t="shared" si="145"/>
        <v>0.86870331507817133</v>
      </c>
      <c r="T724" s="39">
        <f t="shared" si="145"/>
        <v>0.92243837062989398</v>
      </c>
      <c r="U724" s="39">
        <f t="shared" si="145"/>
        <v>0.95732244879859041</v>
      </c>
      <c r="V724" s="39">
        <f t="shared" si="145"/>
        <v>0.9781459437878276</v>
      </c>
      <c r="W724" s="37">
        <v>0.27900000000000003</v>
      </c>
    </row>
    <row r="725" spans="2:23" x14ac:dyDescent="0.25">
      <c r="B725" s="39">
        <f t="shared" si="144"/>
        <v>7.8186880449034677E-8</v>
      </c>
      <c r="C725" s="39">
        <f t="shared" si="144"/>
        <v>1.600863545649053E-6</v>
      </c>
      <c r="D725" s="39">
        <f t="shared" si="144"/>
        <v>1.6118663947724362E-5</v>
      </c>
      <c r="E725" s="39">
        <f t="shared" si="144"/>
        <v>1.0643596414046555E-4</v>
      </c>
      <c r="F725" s="39">
        <f t="shared" si="144"/>
        <v>5.1870613307784786E-4</v>
      </c>
      <c r="G725" s="39">
        <f t="shared" si="144"/>
        <v>1.9909021776855318E-3</v>
      </c>
      <c r="H725" s="39">
        <f t="shared" si="144"/>
        <v>6.2728905517235346E-3</v>
      </c>
      <c r="I725" s="39">
        <f t="shared" si="144"/>
        <v>1.670185568120864E-2</v>
      </c>
      <c r="J725" s="39">
        <f t="shared" si="144"/>
        <v>3.8403025990848667E-2</v>
      </c>
      <c r="K725" s="39">
        <f t="shared" si="144"/>
        <v>7.7575016335419175E-2</v>
      </c>
      <c r="L725" s="39">
        <f t="shared" si="145"/>
        <v>0.13964294950802858</v>
      </c>
      <c r="M725" s="39">
        <f t="shared" si="145"/>
        <v>0.22679233288799866</v>
      </c>
      <c r="N725" s="39">
        <f t="shared" si="145"/>
        <v>0.33606189499080569</v>
      </c>
      <c r="O725" s="39">
        <f t="shared" si="145"/>
        <v>0.45917736244538043</v>
      </c>
      <c r="P725" s="39">
        <f t="shared" si="145"/>
        <v>0.58448599200802942</v>
      </c>
      <c r="Q725" s="39">
        <f t="shared" si="145"/>
        <v>0.70020594572481443</v>
      </c>
      <c r="R725" s="39">
        <f t="shared" si="145"/>
        <v>0.79752402998472793</v>
      </c>
      <c r="S725" s="39">
        <f t="shared" si="145"/>
        <v>0.87228619110665684</v>
      </c>
      <c r="T725" s="39">
        <f t="shared" si="145"/>
        <v>0.92488822012848293</v>
      </c>
      <c r="U725" s="39">
        <f t="shared" si="145"/>
        <v>0.95885847898078391</v>
      </c>
      <c r="V725" s="39">
        <f t="shared" si="145"/>
        <v>0.97903058102167229</v>
      </c>
      <c r="W725" s="37">
        <v>0.27800000000000002</v>
      </c>
    </row>
    <row r="726" spans="2:23" x14ac:dyDescent="0.25">
      <c r="B726" s="39">
        <f t="shared" si="144"/>
        <v>8.4062265031150679E-8</v>
      </c>
      <c r="C726" s="39">
        <f t="shared" si="144"/>
        <v>1.7126538526703413E-6</v>
      </c>
      <c r="D726" s="39">
        <f t="shared" si="144"/>
        <v>1.7159568358973861E-5</v>
      </c>
      <c r="E726" s="39">
        <f t="shared" si="144"/>
        <v>1.1275726492989469E-4</v>
      </c>
      <c r="F726" s="39">
        <f t="shared" si="144"/>
        <v>5.4686056065778434E-4</v>
      </c>
      <c r="G726" s="39">
        <f t="shared" si="144"/>
        <v>2.0889538205532336E-3</v>
      </c>
      <c r="H726" s="39">
        <f t="shared" si="144"/>
        <v>6.5508907322172662E-3</v>
      </c>
      <c r="I726" s="39">
        <f t="shared" si="144"/>
        <v>1.7361526449620347E-2</v>
      </c>
      <c r="J726" s="39">
        <f t="shared" si="144"/>
        <v>3.9739686491519391E-2</v>
      </c>
      <c r="K726" s="39">
        <f t="shared" si="144"/>
        <v>7.9923133228575888E-2</v>
      </c>
      <c r="L726" s="39">
        <f t="shared" si="145"/>
        <v>0.14326170708613589</v>
      </c>
      <c r="M726" s="39">
        <f t="shared" si="145"/>
        <v>0.23173127104667315</v>
      </c>
      <c r="N726" s="39">
        <f t="shared" si="145"/>
        <v>0.34207723747565766</v>
      </c>
      <c r="O726" s="39">
        <f t="shared" si="145"/>
        <v>0.46575644368934355</v>
      </c>
      <c r="P726" s="39">
        <f t="shared" si="145"/>
        <v>0.59098142618038318</v>
      </c>
      <c r="Q726" s="39">
        <f t="shared" si="145"/>
        <v>0.70601994868751894</v>
      </c>
      <c r="R726" s="39">
        <f t="shared" si="145"/>
        <v>0.80225931496310321</v>
      </c>
      <c r="S726" s="39">
        <f t="shared" si="145"/>
        <v>0.87580620672388831</v>
      </c>
      <c r="T726" s="39">
        <f t="shared" si="145"/>
        <v>0.92728251084192004</v>
      </c>
      <c r="U726" s="39">
        <f t="shared" si="145"/>
        <v>0.96035182693346999</v>
      </c>
      <c r="V726" s="39">
        <f t="shared" si="145"/>
        <v>0.97988613886879694</v>
      </c>
      <c r="W726" s="37">
        <v>0.27700000000000002</v>
      </c>
    </row>
    <row r="727" spans="2:23" x14ac:dyDescent="0.25">
      <c r="B727" s="39">
        <f t="shared" si="144"/>
        <v>9.0369682306382067E-8</v>
      </c>
      <c r="C727" s="39">
        <f t="shared" si="144"/>
        <v>1.832039923120283E-6</v>
      </c>
      <c r="D727" s="39">
        <f t="shared" si="144"/>
        <v>1.8265412029277845E-5</v>
      </c>
      <c r="E727" s="39">
        <f t="shared" si="144"/>
        <v>1.1943796314952216E-4</v>
      </c>
      <c r="F727" s="39">
        <f t="shared" si="144"/>
        <v>5.7646069906933616E-4</v>
      </c>
      <c r="G727" s="39">
        <f t="shared" si="144"/>
        <v>2.1915031171737581E-3</v>
      </c>
      <c r="H727" s="39">
        <f t="shared" si="144"/>
        <v>6.8401270264271058E-3</v>
      </c>
      <c r="I727" s="39">
        <f t="shared" si="144"/>
        <v>1.8044280015302856E-2</v>
      </c>
      <c r="J727" s="39">
        <f t="shared" si="144"/>
        <v>4.1115900592498658E-2</v>
      </c>
      <c r="K727" s="39">
        <f t="shared" si="144"/>
        <v>8.2328115492388276E-2</v>
      </c>
      <c r="L727" s="39">
        <f t="shared" si="145"/>
        <v>0.14694874882634451</v>
      </c>
      <c r="M727" s="39">
        <f t="shared" si="145"/>
        <v>0.23673711920572443</v>
      </c>
      <c r="N727" s="39">
        <f t="shared" si="145"/>
        <v>0.34814221342583351</v>
      </c>
      <c r="O727" s="39">
        <f t="shared" si="145"/>
        <v>0.47235513378459854</v>
      </c>
      <c r="P727" s="39">
        <f t="shared" si="145"/>
        <v>0.59746215045955053</v>
      </c>
      <c r="Q727" s="39">
        <f t="shared" si="145"/>
        <v>0.71179043745432391</v>
      </c>
      <c r="R727" s="39">
        <f t="shared" si="145"/>
        <v>0.80693456216124704</v>
      </c>
      <c r="S727" s="39">
        <f t="shared" si="145"/>
        <v>0.87926339688170119</v>
      </c>
      <c r="T727" s="39">
        <f t="shared" si="145"/>
        <v>0.92962175142733194</v>
      </c>
      <c r="U727" s="39">
        <f t="shared" si="145"/>
        <v>0.96180319466149211</v>
      </c>
      <c r="V727" s="39">
        <f t="shared" si="145"/>
        <v>0.98071328716809003</v>
      </c>
      <c r="W727" s="37">
        <v>0.27600000000000002</v>
      </c>
    </row>
    <row r="728" spans="2:23" x14ac:dyDescent="0.25">
      <c r="B728" s="39">
        <f t="shared" si="144"/>
        <v>9.5978241922607002E-8</v>
      </c>
      <c r="C728" s="39">
        <f t="shared" si="144"/>
        <v>1.9376914797837636E-6</v>
      </c>
      <c r="D728" s="39">
        <f t="shared" si="144"/>
        <v>1.9239363553111277E-5</v>
      </c>
      <c r="E728" s="39">
        <f t="shared" si="144"/>
        <v>1.252937561652211E-4</v>
      </c>
      <c r="F728" s="39">
        <f t="shared" si="144"/>
        <v>6.0228191901791936E-4</v>
      </c>
      <c r="G728" s="39">
        <f t="shared" si="144"/>
        <v>2.280532578506341E-3</v>
      </c>
      <c r="H728" s="39">
        <f t="shared" si="144"/>
        <v>7.0900296316956041E-3</v>
      </c>
      <c r="I728" s="39">
        <f t="shared" si="144"/>
        <v>1.8631360706142266E-2</v>
      </c>
      <c r="J728" s="39">
        <f t="shared" si="144"/>
        <v>4.2293600213197335E-2</v>
      </c>
      <c r="K728" s="39">
        <f t="shared" si="144"/>
        <v>8.4376323254663696E-2</v>
      </c>
      <c r="L728" s="39">
        <f t="shared" si="145"/>
        <v>0.15007376785595458</v>
      </c>
      <c r="M728" s="39">
        <f t="shared" si="145"/>
        <v>0.2409595607826408</v>
      </c>
      <c r="N728" s="39">
        <f t="shared" si="145"/>
        <v>0.35323347377864595</v>
      </c>
      <c r="O728" s="39">
        <f t="shared" si="145"/>
        <v>0.47786781756320423</v>
      </c>
      <c r="P728" s="39">
        <f t="shared" si="145"/>
        <v>0.60285026595955205</v>
      </c>
      <c r="Q728" s="39">
        <f t="shared" si="145"/>
        <v>0.71656499169159882</v>
      </c>
      <c r="R728" s="39">
        <f t="shared" si="145"/>
        <v>0.81078429475215041</v>
      </c>
      <c r="S728" s="39">
        <f t="shared" si="145"/>
        <v>0.8820964445360413</v>
      </c>
      <c r="T728" s="39">
        <f t="shared" si="145"/>
        <v>0.93152944668508775</v>
      </c>
      <c r="U728" s="39">
        <f t="shared" si="145"/>
        <v>0.96298110962679362</v>
      </c>
      <c r="V728" s="39">
        <f t="shared" si="145"/>
        <v>0.98138135582067265</v>
      </c>
      <c r="W728" s="37">
        <v>0.27500000000000002</v>
      </c>
    </row>
    <row r="729" spans="2:23" x14ac:dyDescent="0.25">
      <c r="B729" s="39">
        <f t="shared" si="144"/>
        <v>1.0315999683286627E-7</v>
      </c>
      <c r="C729" s="39">
        <f t="shared" si="144"/>
        <v>2.0723286984660347E-6</v>
      </c>
      <c r="D729" s="39">
        <f t="shared" si="144"/>
        <v>2.0474560067535339E-5</v>
      </c>
      <c r="E729" s="39">
        <f t="shared" si="144"/>
        <v>1.3268458952726407E-4</v>
      </c>
      <c r="F729" s="39">
        <f t="shared" si="144"/>
        <v>6.3471535191800027E-4</v>
      </c>
      <c r="G729" s="39">
        <f t="shared" si="144"/>
        <v>2.3918230202855709E-3</v>
      </c>
      <c r="H729" s="39">
        <f t="shared" si="144"/>
        <v>7.4009164820289623E-3</v>
      </c>
      <c r="I729" s="39">
        <f t="shared" si="144"/>
        <v>1.9358196494244605E-2</v>
      </c>
      <c r="J729" s="39">
        <f t="shared" si="144"/>
        <v>4.3744640487296996E-2</v>
      </c>
      <c r="K729" s="39">
        <f t="shared" si="144"/>
        <v>8.6887775074104945E-2</v>
      </c>
      <c r="L729" s="39">
        <f t="shared" si="145"/>
        <v>0.15388713751928768</v>
      </c>
      <c r="M729" s="39">
        <f t="shared" si="145"/>
        <v>0.24608728633873464</v>
      </c>
      <c r="N729" s="39">
        <f t="shared" si="145"/>
        <v>0.35938652877516875</v>
      </c>
      <c r="O729" s="39">
        <f t="shared" si="145"/>
        <v>0.48449810599718551</v>
      </c>
      <c r="P729" s="39">
        <f t="shared" si="145"/>
        <v>0.60929952126761167</v>
      </c>
      <c r="Q729" s="39">
        <f t="shared" si="145"/>
        <v>0.72225232024489805</v>
      </c>
      <c r="R729" s="39">
        <f t="shared" si="145"/>
        <v>0.81534790287583681</v>
      </c>
      <c r="S729" s="39">
        <f t="shared" si="145"/>
        <v>0.88543865222658757</v>
      </c>
      <c r="T729" s="39">
        <f t="shared" si="145"/>
        <v>0.93376914646146181</v>
      </c>
      <c r="U729" s="39">
        <f t="shared" si="145"/>
        <v>0.96435735374449183</v>
      </c>
      <c r="V729" s="39">
        <f t="shared" si="145"/>
        <v>0.98215814440884019</v>
      </c>
      <c r="W729" s="37">
        <v>0.27400000000000002</v>
      </c>
    </row>
    <row r="730" spans="2:23" x14ac:dyDescent="0.25">
      <c r="B730" s="39">
        <f t="shared" si="144"/>
        <v>1.1086761036289688E-7</v>
      </c>
      <c r="C730" s="39">
        <f t="shared" si="144"/>
        <v>2.2160674063652698E-6</v>
      </c>
      <c r="D730" s="39">
        <f t="shared" si="144"/>
        <v>2.1786346176154099E-5</v>
      </c>
      <c r="E730" s="39">
        <f t="shared" si="144"/>
        <v>1.4049255446703496E-4</v>
      </c>
      <c r="F730" s="39">
        <f t="shared" si="144"/>
        <v>6.6879961778333196E-4</v>
      </c>
      <c r="G730" s="39">
        <f t="shared" si="144"/>
        <v>2.5081644990081337E-3</v>
      </c>
      <c r="H730" s="39">
        <f t="shared" si="144"/>
        <v>7.7242076635134389E-3</v>
      </c>
      <c r="I730" s="39">
        <f t="shared" si="144"/>
        <v>2.011006467227202E-2</v>
      </c>
      <c r="J730" s="39">
        <f t="shared" si="144"/>
        <v>4.5237771326158027E-2</v>
      </c>
      <c r="K730" s="39">
        <f t="shared" si="144"/>
        <v>8.9458498457614999E-2</v>
      </c>
      <c r="L730" s="39">
        <f t="shared" si="145"/>
        <v>0.15776998741395318</v>
      </c>
      <c r="M730" s="39">
        <f t="shared" si="145"/>
        <v>0.25128098517078995</v>
      </c>
      <c r="N730" s="39">
        <f t="shared" si="145"/>
        <v>0.36558596473076455</v>
      </c>
      <c r="O730" s="39">
        <f t="shared" si="145"/>
        <v>0.49114321774988623</v>
      </c>
      <c r="P730" s="39">
        <f t="shared" si="145"/>
        <v>0.61572916659402843</v>
      </c>
      <c r="Q730" s="39">
        <f t="shared" si="145"/>
        <v>0.72789249339750484</v>
      </c>
      <c r="R730" s="39">
        <f t="shared" si="145"/>
        <v>0.81984982757169034</v>
      </c>
      <c r="S730" s="39">
        <f t="shared" si="145"/>
        <v>0.88871830727789902</v>
      </c>
      <c r="T730" s="39">
        <f t="shared" si="145"/>
        <v>0.93595533936299402</v>
      </c>
      <c r="U730" s="39">
        <f t="shared" si="145"/>
        <v>0.9656936328416672</v>
      </c>
      <c r="V730" s="39">
        <f t="shared" si="145"/>
        <v>0.98290839551940845</v>
      </c>
      <c r="W730" s="37">
        <v>0.27300000000000002</v>
      </c>
    </row>
    <row r="731" spans="2:23" x14ac:dyDescent="0.25">
      <c r="B731" s="39">
        <f t="shared" si="144"/>
        <v>1.1913874491999556E-7</v>
      </c>
      <c r="C731" s="39">
        <f t="shared" si="144"/>
        <v>2.3695053467718838E-6</v>
      </c>
      <c r="D731" s="39">
        <f t="shared" si="144"/>
        <v>2.3179294552183171E-5</v>
      </c>
      <c r="E731" s="39">
        <f t="shared" si="144"/>
        <v>1.4874004676989391E-4</v>
      </c>
      <c r="F731" s="39">
        <f t="shared" si="144"/>
        <v>7.0461331670602001E-4</v>
      </c>
      <c r="G731" s="39">
        <f t="shared" si="144"/>
        <v>2.6297663206495572E-3</v>
      </c>
      <c r="H731" s="39">
        <f t="shared" si="144"/>
        <v>8.0603387842176667E-3</v>
      </c>
      <c r="I731" s="39">
        <f t="shared" si="144"/>
        <v>2.0887680385693476E-2</v>
      </c>
      <c r="J731" s="39">
        <f t="shared" si="144"/>
        <v>4.6773904050765577E-2</v>
      </c>
      <c r="K731" s="39">
        <f t="shared" si="144"/>
        <v>9.2089328955631045E-2</v>
      </c>
      <c r="L731" s="39">
        <f t="shared" si="145"/>
        <v>0.16172268743706025</v>
      </c>
      <c r="M731" s="39">
        <f t="shared" si="145"/>
        <v>0.25654024758886845</v>
      </c>
      <c r="N731" s="39">
        <f t="shared" si="145"/>
        <v>0.37183055816537547</v>
      </c>
      <c r="O731" s="39">
        <f t="shared" si="145"/>
        <v>0.49780142451089682</v>
      </c>
      <c r="P731" s="39">
        <f t="shared" si="145"/>
        <v>0.62213748509274036</v>
      </c>
      <c r="Q731" s="39">
        <f t="shared" si="145"/>
        <v>0.73348428110443231</v>
      </c>
      <c r="R731" s="39">
        <f t="shared" si="145"/>
        <v>0.82428955913942681</v>
      </c>
      <c r="S731" s="39">
        <f t="shared" si="145"/>
        <v>0.89193556597529544</v>
      </c>
      <c r="T731" s="39">
        <f t="shared" si="145"/>
        <v>0.93808860385250858</v>
      </c>
      <c r="U731" s="39">
        <f t="shared" si="145"/>
        <v>0.96699066542233081</v>
      </c>
      <c r="V731" s="39">
        <f t="shared" si="145"/>
        <v>0.98363275962214636</v>
      </c>
      <c r="W731" s="37">
        <v>0.27200000000000002</v>
      </c>
    </row>
    <row r="732" spans="2:23" x14ac:dyDescent="0.25">
      <c r="B732" s="39">
        <f t="shared" si="144"/>
        <v>1.2649081536894413E-7</v>
      </c>
      <c r="C732" s="39">
        <f t="shared" si="144"/>
        <v>2.5052369459527387E-6</v>
      </c>
      <c r="D732" s="39">
        <f t="shared" si="144"/>
        <v>2.4405563472460186E-5</v>
      </c>
      <c r="E732" s="39">
        <f t="shared" si="144"/>
        <v>1.5596564773278027E-4</v>
      </c>
      <c r="F732" s="39">
        <f t="shared" si="144"/>
        <v>7.3583824482171092E-4</v>
      </c>
      <c r="G732" s="39">
        <f t="shared" si="144"/>
        <v>2.7352757857487951E-3</v>
      </c>
      <c r="H732" s="39">
        <f t="shared" si="144"/>
        <v>8.3505792691966063E-3</v>
      </c>
      <c r="I732" s="39">
        <f t="shared" si="144"/>
        <v>2.1555887471400876E-2</v>
      </c>
      <c r="J732" s="39">
        <f t="shared" si="144"/>
        <v>4.8087526081388457E-2</v>
      </c>
      <c r="K732" s="39">
        <f t="shared" si="144"/>
        <v>9.432819976550956E-2</v>
      </c>
      <c r="L732" s="39">
        <f t="shared" si="145"/>
        <v>0.16507020878735218</v>
      </c>
      <c r="M732" s="39">
        <f t="shared" si="145"/>
        <v>0.26097272489409296</v>
      </c>
      <c r="N732" s="39">
        <f t="shared" si="145"/>
        <v>0.37706797178771667</v>
      </c>
      <c r="O732" s="39">
        <f t="shared" si="145"/>
        <v>0.50335867345979102</v>
      </c>
      <c r="P732" s="39">
        <f t="shared" si="145"/>
        <v>0.6274602265928334</v>
      </c>
      <c r="Q732" s="39">
        <f t="shared" si="145"/>
        <v>0.73810627655680816</v>
      </c>
      <c r="R732" s="39">
        <f t="shared" si="145"/>
        <v>0.82794148491962338</v>
      </c>
      <c r="S732" s="39">
        <f t="shared" si="145"/>
        <v>0.89456908488552001</v>
      </c>
      <c r="T732" s="39">
        <f t="shared" si="145"/>
        <v>0.93982632155300283</v>
      </c>
      <c r="U732" s="39">
        <f t="shared" si="145"/>
        <v>0.96804206622191935</v>
      </c>
      <c r="V732" s="39">
        <f t="shared" si="145"/>
        <v>0.98421708677259412</v>
      </c>
      <c r="W732" s="37">
        <v>0.27100000000000002</v>
      </c>
    </row>
    <row r="733" spans="2:23" x14ac:dyDescent="0.25">
      <c r="B733" s="39">
        <f t="shared" ref="B733:K742" si="146">_xlfn.HYPGEOM.DIST(B$2,comau,tongtheN*$W733,tongtheN,TRUE)</f>
        <v>1.3590176630773238E-7</v>
      </c>
      <c r="C733" s="39">
        <f t="shared" si="146"/>
        <v>2.6781372601143176E-6</v>
      </c>
      <c r="D733" s="39">
        <f t="shared" si="146"/>
        <v>2.5960064357541359E-5</v>
      </c>
      <c r="E733" s="39">
        <f t="shared" si="146"/>
        <v>1.6508090919061636E-4</v>
      </c>
      <c r="F733" s="39">
        <f t="shared" si="146"/>
        <v>7.7503823650987064E-4</v>
      </c>
      <c r="G733" s="39">
        <f t="shared" si="146"/>
        <v>2.8670907713153654E-3</v>
      </c>
      <c r="H733" s="39">
        <f t="shared" si="146"/>
        <v>8.7114234108746341E-3</v>
      </c>
      <c r="I733" s="39">
        <f t="shared" si="146"/>
        <v>2.2382611406688173E-2</v>
      </c>
      <c r="J733" s="39">
        <f t="shared" si="146"/>
        <v>4.9704887535983434E-2</v>
      </c>
      <c r="K733" s="39">
        <f t="shared" si="146"/>
        <v>9.7071367679498741E-2</v>
      </c>
      <c r="L733" s="39">
        <f t="shared" ref="L733:V742" si="147">_xlfn.HYPGEOM.DIST(L$2,comau,tongtheN*$W733,tongtheN,TRUE)</f>
        <v>0.16915183159655162</v>
      </c>
      <c r="M733" s="39">
        <f t="shared" si="147"/>
        <v>0.266350983096379</v>
      </c>
      <c r="N733" s="39">
        <f t="shared" si="147"/>
        <v>0.38339204771712077</v>
      </c>
      <c r="O733" s="39">
        <f t="shared" si="147"/>
        <v>0.51003633784176106</v>
      </c>
      <c r="P733" s="39">
        <f t="shared" si="147"/>
        <v>0.63382501691835569</v>
      </c>
      <c r="Q733" s="39">
        <f t="shared" si="147"/>
        <v>0.74360626386939055</v>
      </c>
      <c r="R733" s="39">
        <f t="shared" si="147"/>
        <v>0.83226599605530327</v>
      </c>
      <c r="S733" s="39">
        <f t="shared" si="147"/>
        <v>0.89767245716490973</v>
      </c>
      <c r="T733" s="39">
        <f t="shared" si="147"/>
        <v>0.94186410707409529</v>
      </c>
      <c r="U733" s="39">
        <f t="shared" si="147"/>
        <v>0.96926902173118312</v>
      </c>
      <c r="V733" s="39">
        <f t="shared" si="147"/>
        <v>0.98489566089664837</v>
      </c>
      <c r="W733" s="37">
        <v>0.27</v>
      </c>
    </row>
    <row r="734" spans="2:23" x14ac:dyDescent="0.25">
      <c r="B734" s="39">
        <f t="shared" si="146"/>
        <v>1.4599787773303201E-7</v>
      </c>
      <c r="C734" s="39">
        <f t="shared" si="146"/>
        <v>2.8626450624413094E-6</v>
      </c>
      <c r="D734" s="39">
        <f t="shared" si="146"/>
        <v>2.7610153219731558E-5</v>
      </c>
      <c r="E734" s="39">
        <f t="shared" si="146"/>
        <v>1.7470549328207015E-4</v>
      </c>
      <c r="F734" s="39">
        <f t="shared" si="146"/>
        <v>8.1620951683008614E-4</v>
      </c>
      <c r="G734" s="39">
        <f t="shared" si="146"/>
        <v>3.0048015119675925E-3</v>
      </c>
      <c r="H734" s="39">
        <f t="shared" si="146"/>
        <v>9.0864105632039501E-3</v>
      </c>
      <c r="I734" s="39">
        <f t="shared" si="146"/>
        <v>2.323718607112581E-2</v>
      </c>
      <c r="J734" s="39">
        <f t="shared" si="146"/>
        <v>5.1367872917216E-2</v>
      </c>
      <c r="K734" s="39">
        <f t="shared" si="146"/>
        <v>9.9876960514739502E-2</v>
      </c>
      <c r="L734" s="39">
        <f t="shared" si="147"/>
        <v>0.17330419251040574</v>
      </c>
      <c r="M734" s="39">
        <f t="shared" si="147"/>
        <v>0.27179341386986394</v>
      </c>
      <c r="N734" s="39">
        <f t="shared" si="147"/>
        <v>0.38975760518563546</v>
      </c>
      <c r="O734" s="39">
        <f t="shared" si="147"/>
        <v>0.51672210302654009</v>
      </c>
      <c r="P734" s="39">
        <f t="shared" si="147"/>
        <v>0.64016366815876813</v>
      </c>
      <c r="Q734" s="39">
        <f t="shared" si="147"/>
        <v>0.74905454772408508</v>
      </c>
      <c r="R734" s="39">
        <f t="shared" si="147"/>
        <v>0.83652707321222153</v>
      </c>
      <c r="S734" s="39">
        <f t="shared" si="147"/>
        <v>0.90071404001384869</v>
      </c>
      <c r="T734" s="39">
        <f t="shared" si="147"/>
        <v>0.94385068998897403</v>
      </c>
      <c r="U734" s="39">
        <f t="shared" si="147"/>
        <v>0.97045877947877024</v>
      </c>
      <c r="V734" s="39">
        <f t="shared" si="147"/>
        <v>0.98555015776838806</v>
      </c>
      <c r="W734" s="37">
        <v>0.26900000000000002</v>
      </c>
    </row>
    <row r="735" spans="2:23" x14ac:dyDescent="0.25">
      <c r="B735" s="39">
        <f t="shared" si="146"/>
        <v>1.5682794240811562E-7</v>
      </c>
      <c r="C735" s="39">
        <f t="shared" si="146"/>
        <v>3.0595172624528452E-6</v>
      </c>
      <c r="D735" s="39">
        <f t="shared" si="146"/>
        <v>2.9361486512287758E-5</v>
      </c>
      <c r="E735" s="39">
        <f t="shared" si="146"/>
        <v>1.8486644345739261E-4</v>
      </c>
      <c r="F735" s="39">
        <f t="shared" si="146"/>
        <v>8.5944463683683186E-4</v>
      </c>
      <c r="G735" s="39">
        <f t="shared" si="146"/>
        <v>3.1486479527170494E-3</v>
      </c>
      <c r="H735" s="39">
        <f t="shared" si="146"/>
        <v>9.4760256523213106E-3</v>
      </c>
      <c r="I735" s="39">
        <f t="shared" si="146"/>
        <v>2.4120380920545952E-2</v>
      </c>
      <c r="J735" s="39">
        <f t="shared" si="146"/>
        <v>5.3077420294416068E-2</v>
      </c>
      <c r="K735" s="39">
        <f t="shared" si="146"/>
        <v>0.10274577593736874</v>
      </c>
      <c r="L735" s="39">
        <f t="shared" si="147"/>
        <v>0.17752754537251886</v>
      </c>
      <c r="M735" s="39">
        <f t="shared" si="147"/>
        <v>0.27729944362523717</v>
      </c>
      <c r="N735" s="39">
        <f t="shared" si="147"/>
        <v>0.39616327434489312</v>
      </c>
      <c r="O735" s="39">
        <f t="shared" si="147"/>
        <v>0.52341417578066196</v>
      </c>
      <c r="P735" s="39">
        <f t="shared" si="147"/>
        <v>0.64647450447554977</v>
      </c>
      <c r="Q735" s="39">
        <f t="shared" si="147"/>
        <v>0.75445001868526229</v>
      </c>
      <c r="R735" s="39">
        <f t="shared" si="147"/>
        <v>0.8407243504299553</v>
      </c>
      <c r="S735" s="39">
        <f t="shared" si="147"/>
        <v>0.90369410390781146</v>
      </c>
      <c r="T735" s="39">
        <f t="shared" si="147"/>
        <v>0.94578670774287821</v>
      </c>
      <c r="U735" s="39">
        <f t="shared" si="147"/>
        <v>0.97161206526413035</v>
      </c>
      <c r="V735" s="39">
        <f t="shared" si="147"/>
        <v>0.98618120341230686</v>
      </c>
      <c r="W735" s="37">
        <v>0.26800000000000002</v>
      </c>
    </row>
    <row r="736" spans="2:23" x14ac:dyDescent="0.25">
      <c r="B736" s="39">
        <f t="shared" si="146"/>
        <v>1.684441504066429E-7</v>
      </c>
      <c r="C736" s="39">
        <f t="shared" si="146"/>
        <v>3.2695586264111638E-6</v>
      </c>
      <c r="D736" s="39">
        <f t="shared" si="146"/>
        <v>3.1220041456871636E-5</v>
      </c>
      <c r="E736" s="39">
        <f t="shared" si="146"/>
        <v>1.9559215584820836E-4</v>
      </c>
      <c r="F736" s="39">
        <f t="shared" si="146"/>
        <v>9.0484013388427375E-4</v>
      </c>
      <c r="G736" s="39">
        <f t="shared" si="146"/>
        <v>3.2988786089924657E-3</v>
      </c>
      <c r="H736" s="39">
        <f t="shared" si="146"/>
        <v>9.8807670278247273E-3</v>
      </c>
      <c r="I736" s="39">
        <f t="shared" si="146"/>
        <v>2.5032979538894874E-2</v>
      </c>
      <c r="J736" s="39">
        <f t="shared" si="146"/>
        <v>5.4834473511208501E-2</v>
      </c>
      <c r="K736" s="39">
        <f t="shared" si="146"/>
        <v>0.10567859942813042</v>
      </c>
      <c r="L736" s="39">
        <f t="shared" si="147"/>
        <v>0.18182211136329332</v>
      </c>
      <c r="M736" s="39">
        <f t="shared" si="147"/>
        <v>0.28286845501305874</v>
      </c>
      <c r="N736" s="39">
        <f t="shared" si="147"/>
        <v>0.40260764841035152</v>
      </c>
      <c r="O736" s="39">
        <f t="shared" si="147"/>
        <v>0.53011074896165289</v>
      </c>
      <c r="P736" s="39">
        <f t="shared" si="147"/>
        <v>0.65275586400780239</v>
      </c>
      <c r="Q736" s="39">
        <f t="shared" si="147"/>
        <v>0.75979160077535501</v>
      </c>
      <c r="R736" s="39">
        <f t="shared" si="147"/>
        <v>0.84485749933800713</v>
      </c>
      <c r="S736" s="39">
        <f t="shared" si="147"/>
        <v>0.90661294775792467</v>
      </c>
      <c r="T736" s="39">
        <f t="shared" si="147"/>
        <v>0.94767281135328507</v>
      </c>
      <c r="U736" s="39">
        <f t="shared" si="147"/>
        <v>0.97272960534711617</v>
      </c>
      <c r="V736" s="39">
        <f t="shared" si="147"/>
        <v>0.98678941674339282</v>
      </c>
      <c r="W736" s="37">
        <v>0.26700000000000002</v>
      </c>
    </row>
    <row r="737" spans="2:23" x14ac:dyDescent="0.25">
      <c r="B737" s="39">
        <f t="shared" si="146"/>
        <v>1.7876500553691144E-7</v>
      </c>
      <c r="C737" s="39">
        <f t="shared" si="146"/>
        <v>3.4552685144810208E-6</v>
      </c>
      <c r="D737" s="39">
        <f t="shared" si="146"/>
        <v>3.2855288286106206E-5</v>
      </c>
      <c r="E737" s="39">
        <f t="shared" si="146"/>
        <v>2.0498312870812556E-4</v>
      </c>
      <c r="F737" s="39">
        <f t="shared" si="146"/>
        <v>9.4439250772529297E-4</v>
      </c>
      <c r="G737" s="39">
        <f t="shared" si="146"/>
        <v>3.4291330363346419E-3</v>
      </c>
      <c r="H737" s="39">
        <f t="shared" si="146"/>
        <v>1.022997527609177E-2</v>
      </c>
      <c r="I737" s="39">
        <f t="shared" si="146"/>
        <v>2.5816514654069766E-2</v>
      </c>
      <c r="J737" s="39">
        <f t="shared" si="146"/>
        <v>5.6335658271405568E-2</v>
      </c>
      <c r="K737" s="39">
        <f t="shared" si="146"/>
        <v>0.10817207165486738</v>
      </c>
      <c r="L737" s="39">
        <f t="shared" si="147"/>
        <v>0.18545545160839341</v>
      </c>
      <c r="M737" s="39">
        <f t="shared" si="147"/>
        <v>0.28755693293145107</v>
      </c>
      <c r="N737" s="39">
        <f t="shared" si="147"/>
        <v>0.40800648632150277</v>
      </c>
      <c r="O737" s="39">
        <f t="shared" si="147"/>
        <v>0.53569335193241985</v>
      </c>
      <c r="P737" s="39">
        <f t="shared" si="147"/>
        <v>0.65796662490973745</v>
      </c>
      <c r="Q737" s="39">
        <f t="shared" si="147"/>
        <v>0.76420100145075676</v>
      </c>
      <c r="R737" s="39">
        <f t="shared" si="147"/>
        <v>0.84825259225407257</v>
      </c>
      <c r="S737" s="39">
        <f t="shared" si="147"/>
        <v>0.90899878722721728</v>
      </c>
      <c r="T737" s="39">
        <f t="shared" si="147"/>
        <v>0.94920691405789792</v>
      </c>
      <c r="U737" s="39">
        <f t="shared" si="147"/>
        <v>0.97363410689939367</v>
      </c>
      <c r="V737" s="39">
        <f t="shared" si="147"/>
        <v>0.98727926125339005</v>
      </c>
      <c r="W737" s="37">
        <v>0.26600000000000001</v>
      </c>
    </row>
    <row r="738" spans="2:23" x14ac:dyDescent="0.25">
      <c r="B738" s="39">
        <f t="shared" si="146"/>
        <v>1.9197023734313967E-7</v>
      </c>
      <c r="C738" s="39">
        <f t="shared" si="146"/>
        <v>3.6917141774455116E-6</v>
      </c>
      <c r="D738" s="39">
        <f t="shared" si="146"/>
        <v>3.4927075048442741E-5</v>
      </c>
      <c r="E738" s="39">
        <f t="shared" si="146"/>
        <v>2.1682273262656592E-4</v>
      </c>
      <c r="F738" s="39">
        <f t="shared" si="146"/>
        <v>9.9401326955126908E-4</v>
      </c>
      <c r="G738" s="39">
        <f t="shared" si="146"/>
        <v>3.5917429754611535E-3</v>
      </c>
      <c r="H738" s="39">
        <f t="shared" si="146"/>
        <v>1.0663787953510534E-2</v>
      </c>
      <c r="I738" s="39">
        <f t="shared" si="146"/>
        <v>2.6785102011381623E-2</v>
      </c>
      <c r="J738" s="39">
        <f t="shared" si="146"/>
        <v>5.8182273847569181E-2</v>
      </c>
      <c r="K738" s="39">
        <f t="shared" si="146"/>
        <v>0.11122423891496359</v>
      </c>
      <c r="L738" s="39">
        <f t="shared" si="147"/>
        <v>0.18988103714857177</v>
      </c>
      <c r="M738" s="39">
        <f t="shared" si="147"/>
        <v>0.29323966066659574</v>
      </c>
      <c r="N738" s="39">
        <f t="shared" si="147"/>
        <v>0.41451804553758947</v>
      </c>
      <c r="O738" s="39">
        <f t="shared" si="147"/>
        <v>0.54239344145376245</v>
      </c>
      <c r="P738" s="39">
        <f t="shared" si="147"/>
        <v>0.66418967922763106</v>
      </c>
      <c r="Q738" s="39">
        <f t="shared" si="147"/>
        <v>0.76944110678700173</v>
      </c>
      <c r="R738" s="39">
        <f t="shared" si="147"/>
        <v>0.85226744432033752</v>
      </c>
      <c r="S738" s="39">
        <f t="shared" si="147"/>
        <v>0.91180626259477648</v>
      </c>
      <c r="T738" s="39">
        <f t="shared" si="147"/>
        <v>0.95100324125266145</v>
      </c>
      <c r="U738" s="39">
        <f t="shared" si="147"/>
        <v>0.97468799868480038</v>
      </c>
      <c r="V738" s="39">
        <f t="shared" si="147"/>
        <v>0.98784719811952371</v>
      </c>
      <c r="W738" s="37">
        <v>0.26500000000000001</v>
      </c>
    </row>
    <row r="739" spans="2:23" x14ac:dyDescent="0.25">
      <c r="B739" s="39">
        <f t="shared" si="146"/>
        <v>2.0613001849420213E-7</v>
      </c>
      <c r="C739" s="39">
        <f t="shared" si="146"/>
        <v>3.9438953753096705E-6</v>
      </c>
      <c r="D739" s="39">
        <f t="shared" si="146"/>
        <v>3.7124916087540304E-5</v>
      </c>
      <c r="E739" s="39">
        <f t="shared" si="146"/>
        <v>2.2931546122339697E-4</v>
      </c>
      <c r="F739" s="39">
        <f t="shared" si="146"/>
        <v>1.0460909337789638E-3</v>
      </c>
      <c r="G739" s="39">
        <f t="shared" si="146"/>
        <v>3.7614899821768926E-3</v>
      </c>
      <c r="H739" s="39">
        <f t="shared" si="146"/>
        <v>1.1114213768860529E-2</v>
      </c>
      <c r="I739" s="39">
        <f t="shared" si="146"/>
        <v>2.7785389538259476E-2</v>
      </c>
      <c r="J739" s="39">
        <f t="shared" si="146"/>
        <v>6.0079095945644964E-2</v>
      </c>
      <c r="K739" s="39">
        <f t="shared" si="146"/>
        <v>0.11434256485895916</v>
      </c>
      <c r="L739" s="39">
        <f t="shared" si="147"/>
        <v>0.19437827660947476</v>
      </c>
      <c r="M739" s="39">
        <f t="shared" si="147"/>
        <v>0.29898338036782629</v>
      </c>
      <c r="N739" s="39">
        <f t="shared" si="147"/>
        <v>0.42106412868984749</v>
      </c>
      <c r="O739" s="39">
        <f t="shared" si="147"/>
        <v>0.54909284719238016</v>
      </c>
      <c r="P739" s="39">
        <f t="shared" si="147"/>
        <v>0.67037863580264323</v>
      </c>
      <c r="Q739" s="39">
        <f t="shared" si="147"/>
        <v>0.77462446285720876</v>
      </c>
      <c r="R739" s="39">
        <f t="shared" si="147"/>
        <v>0.8562174413563467</v>
      </c>
      <c r="S739" s="39">
        <f t="shared" si="147"/>
        <v>0.91455351386998207</v>
      </c>
      <c r="T739" s="39">
        <f t="shared" si="147"/>
        <v>0.95275156594255384</v>
      </c>
      <c r="U739" s="39">
        <f t="shared" si="147"/>
        <v>0.97570820002665437</v>
      </c>
      <c r="V739" s="39">
        <f t="shared" si="147"/>
        <v>0.98839401531533122</v>
      </c>
      <c r="W739" s="37">
        <v>0.26400000000000001</v>
      </c>
    </row>
    <row r="740" spans="2:23" x14ac:dyDescent="0.25">
      <c r="B740" s="39">
        <f t="shared" si="146"/>
        <v>2.2131184212183867E-7</v>
      </c>
      <c r="C740" s="39">
        <f t="shared" si="146"/>
        <v>4.2128289946764266E-6</v>
      </c>
      <c r="D740" s="39">
        <f t="shared" si="146"/>
        <v>3.9456186704675893E-5</v>
      </c>
      <c r="E740" s="39">
        <f t="shared" si="146"/>
        <v>2.4249550213629569E-4</v>
      </c>
      <c r="F740" s="39">
        <f t="shared" si="146"/>
        <v>1.1007387755024988E-3</v>
      </c>
      <c r="G740" s="39">
        <f t="shared" si="146"/>
        <v>3.9386577554545105E-3</v>
      </c>
      <c r="H740" s="39">
        <f t="shared" si="146"/>
        <v>1.158180459206725E-2</v>
      </c>
      <c r="I740" s="39">
        <f t="shared" si="146"/>
        <v>2.8818214393158861E-2</v>
      </c>
      <c r="J740" s="39">
        <f t="shared" si="146"/>
        <v>6.2027085237643824E-2</v>
      </c>
      <c r="K740" s="39">
        <f t="shared" si="146"/>
        <v>0.11752777892244587</v>
      </c>
      <c r="L740" s="39">
        <f t="shared" si="147"/>
        <v>0.19894725699946603</v>
      </c>
      <c r="M740" s="39">
        <f t="shared" si="147"/>
        <v>0.30478730407864352</v>
      </c>
      <c r="N740" s="39">
        <f t="shared" si="147"/>
        <v>0.42764319344530377</v>
      </c>
      <c r="O740" s="39">
        <f t="shared" si="147"/>
        <v>0.55578972104570423</v>
      </c>
      <c r="P740" s="39">
        <f t="shared" si="147"/>
        <v>0.67653189874168906</v>
      </c>
      <c r="Q740" s="39">
        <f t="shared" si="147"/>
        <v>0.77975012867335158</v>
      </c>
      <c r="R740" s="39">
        <f t="shared" si="147"/>
        <v>0.86010239841552472</v>
      </c>
      <c r="S740" s="39">
        <f t="shared" si="147"/>
        <v>0.91724094317051408</v>
      </c>
      <c r="T740" s="39">
        <f t="shared" si="147"/>
        <v>0.95445258416619561</v>
      </c>
      <c r="U740" s="39">
        <f t="shared" si="147"/>
        <v>0.97669543373642198</v>
      </c>
      <c r="V740" s="39">
        <f t="shared" si="147"/>
        <v>0.98892030208992798</v>
      </c>
      <c r="W740" s="37">
        <v>0.26300000000000001</v>
      </c>
    </row>
    <row r="741" spans="2:23" x14ac:dyDescent="0.25">
      <c r="B741" s="39">
        <f t="shared" si="146"/>
        <v>2.3479600049736147E-7</v>
      </c>
      <c r="C741" s="39">
        <f t="shared" si="146"/>
        <v>4.4505149154915874E-6</v>
      </c>
      <c r="D741" s="39">
        <f t="shared" si="146"/>
        <v>4.1506443623716482E-5</v>
      </c>
      <c r="E741" s="39">
        <f t="shared" si="146"/>
        <v>2.5402972574210375E-4</v>
      </c>
      <c r="F741" s="39">
        <f t="shared" si="146"/>
        <v>1.1483269898321254E-3</v>
      </c>
      <c r="G741" s="39">
        <f t="shared" si="146"/>
        <v>4.0921776558858472E-3</v>
      </c>
      <c r="H741" s="39">
        <f t="shared" si="146"/>
        <v>1.1984983925026255E-2</v>
      </c>
      <c r="I741" s="39">
        <f t="shared" si="146"/>
        <v>2.9704370147051493E-2</v>
      </c>
      <c r="J741" s="39">
        <f t="shared" si="146"/>
        <v>6.3690190782832154E-2</v>
      </c>
      <c r="K741" s="39">
        <f t="shared" si="146"/>
        <v>0.1202337334942172</v>
      </c>
      <c r="L741" s="39">
        <f t="shared" si="147"/>
        <v>0.20280957976857322</v>
      </c>
      <c r="M741" s="39">
        <f t="shared" si="147"/>
        <v>0.30966929672018378</v>
      </c>
      <c r="N741" s="39">
        <f t="shared" si="147"/>
        <v>0.43314980574745943</v>
      </c>
      <c r="O741" s="39">
        <f t="shared" si="147"/>
        <v>0.56136717675252534</v>
      </c>
      <c r="P741" s="39">
        <f t="shared" si="147"/>
        <v>0.68163121459374199</v>
      </c>
      <c r="Q741" s="39">
        <f t="shared" si="147"/>
        <v>0.78397679446222246</v>
      </c>
      <c r="R741" s="39">
        <f t="shared" si="147"/>
        <v>0.86329007151521509</v>
      </c>
      <c r="S741" s="39">
        <f t="shared" si="147"/>
        <v>0.91943507787255763</v>
      </c>
      <c r="T741" s="39">
        <f t="shared" si="147"/>
        <v>0.95583447150143208</v>
      </c>
      <c r="U741" s="39">
        <f t="shared" si="147"/>
        <v>0.97749346485134525</v>
      </c>
      <c r="V741" s="39">
        <f t="shared" si="147"/>
        <v>0.98934361082230071</v>
      </c>
      <c r="W741" s="37">
        <v>0.26200000000000001</v>
      </c>
    </row>
    <row r="742" spans="2:23" x14ac:dyDescent="0.25">
      <c r="B742" s="39">
        <f t="shared" si="146"/>
        <v>2.5204256564176824E-7</v>
      </c>
      <c r="C742" s="39">
        <f t="shared" si="146"/>
        <v>4.7530164284441535E-6</v>
      </c>
      <c r="D742" s="39">
        <f t="shared" si="146"/>
        <v>4.4102876598649523E-5</v>
      </c>
      <c r="E742" s="39">
        <f t="shared" si="146"/>
        <v>2.6856426743899423E-4</v>
      </c>
      <c r="F742" s="39">
        <f t="shared" si="146"/>
        <v>1.2079969762437987E-3</v>
      </c>
      <c r="G742" s="39">
        <f t="shared" si="146"/>
        <v>4.2837197239321192E-3</v>
      </c>
      <c r="H742" s="39">
        <f t="shared" si="146"/>
        <v>1.2485525461808325E-2</v>
      </c>
      <c r="I742" s="39">
        <f t="shared" si="146"/>
        <v>3.0799066563976293E-2</v>
      </c>
      <c r="J742" s="39">
        <f t="shared" si="146"/>
        <v>6.5734490766431716E-2</v>
      </c>
      <c r="K742" s="39">
        <f t="shared" si="146"/>
        <v>0.12354341266705748</v>
      </c>
      <c r="L742" s="39">
        <f t="shared" si="147"/>
        <v>0.20751018678788352</v>
      </c>
      <c r="M742" s="39">
        <f t="shared" si="147"/>
        <v>0.31558139829443477</v>
      </c>
      <c r="N742" s="39">
        <f t="shared" si="147"/>
        <v>0.43978522018752997</v>
      </c>
      <c r="O742" s="39">
        <f t="shared" si="147"/>
        <v>0.56805458549566079</v>
      </c>
      <c r="P742" s="39">
        <f t="shared" si="147"/>
        <v>0.6877149628622985</v>
      </c>
      <c r="Q742" s="39">
        <f t="shared" si="147"/>
        <v>0.78899437338611156</v>
      </c>
      <c r="R742" s="39">
        <f t="shared" si="147"/>
        <v>0.86705543111576722</v>
      </c>
      <c r="S742" s="39">
        <f t="shared" si="147"/>
        <v>0.92201396146907966</v>
      </c>
      <c r="T742" s="39">
        <f t="shared" si="147"/>
        <v>0.95745060136931481</v>
      </c>
      <c r="U742" s="39">
        <f t="shared" si="147"/>
        <v>0.97842212755487479</v>
      </c>
      <c r="V742" s="39">
        <f t="shared" si="147"/>
        <v>0.98983376121861333</v>
      </c>
      <c r="W742" s="37">
        <v>0.26100000000000001</v>
      </c>
    </row>
    <row r="743" spans="2:23" x14ac:dyDescent="0.25">
      <c r="B743" s="39">
        <f t="shared" ref="B743:K752" si="148">_xlfn.HYPGEOM.DIST(B$2,comau,tongtheN*$W743,tongtheN,TRUE)</f>
        <v>2.7052880316917204E-7</v>
      </c>
      <c r="C743" s="39">
        <f t="shared" si="148"/>
        <v>5.0755103913529502E-6</v>
      </c>
      <c r="D743" s="39">
        <f t="shared" si="148"/>
        <v>4.6855953070115766E-5</v>
      </c>
      <c r="E743" s="39">
        <f t="shared" si="148"/>
        <v>2.8389237780556721E-4</v>
      </c>
      <c r="F743" s="39">
        <f t="shared" si="148"/>
        <v>1.2705845806513301E-3</v>
      </c>
      <c r="G743" s="39">
        <f t="shared" si="148"/>
        <v>4.4835405128177581E-3</v>
      </c>
      <c r="H743" s="39">
        <f t="shared" si="148"/>
        <v>1.300487496341781E-2</v>
      </c>
      <c r="I743" s="39">
        <f t="shared" si="148"/>
        <v>3.1928746416108648E-2</v>
      </c>
      <c r="J743" s="39">
        <f t="shared" si="148"/>
        <v>6.7832693221458004E-2</v>
      </c>
      <c r="K743" s="39">
        <f t="shared" si="148"/>
        <v>0.12692195005456205</v>
      </c>
      <c r="L743" s="39">
        <f t="shared" ref="L743:V752" si="149">_xlfn.HYPGEOM.DIST(L$2,comau,tongtheN*$W743,tongtheN,TRUE)</f>
        <v>0.21228257571485876</v>
      </c>
      <c r="M743" s="39">
        <f t="shared" si="149"/>
        <v>0.32155122615039017</v>
      </c>
      <c r="N743" s="39">
        <f t="shared" si="149"/>
        <v>0.44644906682974422</v>
      </c>
      <c r="O743" s="39">
        <f t="shared" si="149"/>
        <v>0.57473419092676181</v>
      </c>
      <c r="P743" s="39">
        <f t="shared" si="149"/>
        <v>0.69375861077665646</v>
      </c>
      <c r="Q743" s="39">
        <f t="shared" si="149"/>
        <v>0.79395179766802748</v>
      </c>
      <c r="R743" s="39">
        <f t="shared" si="149"/>
        <v>0.87075542724028065</v>
      </c>
      <c r="S743" s="39">
        <f t="shared" si="149"/>
        <v>0.92453429755735139</v>
      </c>
      <c r="T743" s="39">
        <f t="shared" si="149"/>
        <v>0.95902144825548563</v>
      </c>
      <c r="U743" s="39">
        <f t="shared" si="149"/>
        <v>0.97931985696813895</v>
      </c>
      <c r="V743" s="39">
        <f t="shared" si="149"/>
        <v>0.99030500499772389</v>
      </c>
      <c r="W743" s="37">
        <v>0.26</v>
      </c>
    </row>
    <row r="744" spans="2:23" x14ac:dyDescent="0.25">
      <c r="B744" s="39">
        <f t="shared" si="148"/>
        <v>2.9034187436640571E-7</v>
      </c>
      <c r="C744" s="39">
        <f t="shared" si="148"/>
        <v>5.4192795555726125E-6</v>
      </c>
      <c r="D744" s="39">
        <f t="shared" si="148"/>
        <v>4.9774755177168955E-5</v>
      </c>
      <c r="E744" s="39">
        <f t="shared" si="148"/>
        <v>3.0005511939464985E-4</v>
      </c>
      <c r="F744" s="39">
        <f t="shared" si="148"/>
        <v>1.3362223418882544E-3</v>
      </c>
      <c r="G744" s="39">
        <f t="shared" si="148"/>
        <v>4.6919627745943115E-3</v>
      </c>
      <c r="H744" s="39">
        <f t="shared" si="148"/>
        <v>1.354364091455512E-2</v>
      </c>
      <c r="I744" s="39">
        <f t="shared" si="148"/>
        <v>3.3094298736505413E-2</v>
      </c>
      <c r="J744" s="39">
        <f t="shared" si="148"/>
        <v>6.9985766089361259E-2</v>
      </c>
      <c r="K744" s="39">
        <f t="shared" si="148"/>
        <v>0.13037000352124761</v>
      </c>
      <c r="L744" s="39">
        <f t="shared" si="149"/>
        <v>0.21712668567084534</v>
      </c>
      <c r="M744" s="39">
        <f t="shared" si="149"/>
        <v>0.32757781892747051</v>
      </c>
      <c r="N744" s="39">
        <f t="shared" si="149"/>
        <v>0.45313967937797378</v>
      </c>
      <c r="O744" s="39">
        <f t="shared" si="149"/>
        <v>0.58140412460068636</v>
      </c>
      <c r="P744" s="39">
        <f t="shared" si="149"/>
        <v>0.69976064753206602</v>
      </c>
      <c r="Q744" s="39">
        <f t="shared" si="149"/>
        <v>0.79884827041198081</v>
      </c>
      <c r="R744" s="39">
        <f t="shared" si="149"/>
        <v>0.87439001570423258</v>
      </c>
      <c r="S744" s="39">
        <f t="shared" si="149"/>
        <v>0.92699658142792429</v>
      </c>
      <c r="T744" s="39">
        <f t="shared" si="149"/>
        <v>0.96054774215382466</v>
      </c>
      <c r="U744" s="39">
        <f t="shared" si="149"/>
        <v>0.98018736474928059</v>
      </c>
      <c r="V744" s="39">
        <f t="shared" si="149"/>
        <v>0.99075789853730889</v>
      </c>
      <c r="W744" s="37">
        <v>0.25900000000000001</v>
      </c>
    </row>
    <row r="745" spans="2:23" x14ac:dyDescent="0.25">
      <c r="B745" s="39">
        <f t="shared" si="148"/>
        <v>3.079333366772955E-7</v>
      </c>
      <c r="C745" s="39">
        <f t="shared" si="148"/>
        <v>5.722986217934841E-6</v>
      </c>
      <c r="D745" s="39">
        <f t="shared" si="148"/>
        <v>5.234058618197914E-5</v>
      </c>
      <c r="E745" s="39">
        <f t="shared" si="148"/>
        <v>3.1419263704384604E-4</v>
      </c>
      <c r="F745" s="39">
        <f t="shared" si="148"/>
        <v>1.3933498601302037E-3</v>
      </c>
      <c r="G745" s="39">
        <f t="shared" si="148"/>
        <v>4.8724589076020808E-3</v>
      </c>
      <c r="H745" s="39">
        <f t="shared" si="148"/>
        <v>1.4007894074776615E-2</v>
      </c>
      <c r="I745" s="39">
        <f t="shared" si="148"/>
        <v>3.409364538167186E-2</v>
      </c>
      <c r="J745" s="39">
        <f t="shared" si="148"/>
        <v>7.1822606809381739E-2</v>
      </c>
      <c r="K745" s="39">
        <f t="shared" si="148"/>
        <v>0.13329694386652408</v>
      </c>
      <c r="L745" s="39">
        <f t="shared" si="149"/>
        <v>0.22121815880607348</v>
      </c>
      <c r="M745" s="39">
        <f t="shared" si="149"/>
        <v>0.33264261671135958</v>
      </c>
      <c r="N745" s="39">
        <f t="shared" si="149"/>
        <v>0.45873441302455864</v>
      </c>
      <c r="O745" s="39">
        <f t="shared" si="149"/>
        <v>0.58695366526249049</v>
      </c>
      <c r="P745" s="39">
        <f t="shared" si="149"/>
        <v>0.704729485967721</v>
      </c>
      <c r="Q745" s="39">
        <f t="shared" si="149"/>
        <v>0.80288155606605505</v>
      </c>
      <c r="R745" s="39">
        <f t="shared" si="149"/>
        <v>0.87736886827831828</v>
      </c>
      <c r="S745" s="39">
        <f t="shared" si="149"/>
        <v>0.92900451213517032</v>
      </c>
      <c r="T745" s="39">
        <f t="shared" si="149"/>
        <v>0.96178615175689341</v>
      </c>
      <c r="U745" s="39">
        <f t="shared" si="149"/>
        <v>0.98088771254894502</v>
      </c>
      <c r="V745" s="39">
        <f t="shared" si="149"/>
        <v>0.99112168745505169</v>
      </c>
      <c r="W745" s="37">
        <v>0.25800000000000001</v>
      </c>
    </row>
    <row r="746" spans="2:23" x14ac:dyDescent="0.25">
      <c r="B746" s="39">
        <f t="shared" si="148"/>
        <v>3.3042547640934919E-7</v>
      </c>
      <c r="C746" s="39">
        <f t="shared" si="148"/>
        <v>6.109359469822755E-6</v>
      </c>
      <c r="D746" s="39">
        <f t="shared" si="148"/>
        <v>5.5588496801858207E-5</v>
      </c>
      <c r="E746" s="39">
        <f t="shared" si="148"/>
        <v>3.3199886172756427E-4</v>
      </c>
      <c r="F746" s="39">
        <f t="shared" si="148"/>
        <v>1.4649421240552159E-3</v>
      </c>
      <c r="G746" s="39">
        <f t="shared" si="148"/>
        <v>5.0975249994240322E-3</v>
      </c>
      <c r="H746" s="39">
        <f t="shared" si="148"/>
        <v>1.4583887922361694E-2</v>
      </c>
      <c r="I746" s="39">
        <f t="shared" si="148"/>
        <v>3.5327316281480788E-2</v>
      </c>
      <c r="J746" s="39">
        <f t="shared" si="148"/>
        <v>7.407878929072631E-2</v>
      </c>
      <c r="K746" s="39">
        <f t="shared" si="148"/>
        <v>0.13687408053673147</v>
      </c>
      <c r="L746" s="39">
        <f t="shared" si="149"/>
        <v>0.22619346345633898</v>
      </c>
      <c r="M746" s="39">
        <f t="shared" si="149"/>
        <v>0.33877063102959093</v>
      </c>
      <c r="N746" s="39">
        <f t="shared" si="149"/>
        <v>0.46546966944683577</v>
      </c>
      <c r="O746" s="39">
        <f t="shared" si="149"/>
        <v>0.5936010097585771</v>
      </c>
      <c r="P746" s="39">
        <f t="shared" si="149"/>
        <v>0.71065139625614704</v>
      </c>
      <c r="Q746" s="39">
        <f t="shared" si="149"/>
        <v>0.80766434370921991</v>
      </c>
      <c r="R746" s="39">
        <f t="shared" si="149"/>
        <v>0.88088354725442286</v>
      </c>
      <c r="S746" s="39">
        <f t="shared" si="149"/>
        <v>0.93136172758087965</v>
      </c>
      <c r="T746" s="39">
        <f t="shared" si="149"/>
        <v>0.96323268406081675</v>
      </c>
      <c r="U746" s="39">
        <f t="shared" si="149"/>
        <v>0.98170164849321673</v>
      </c>
      <c r="V746" s="39">
        <f t="shared" si="149"/>
        <v>0.99154235394825119</v>
      </c>
      <c r="W746" s="37">
        <v>0.25700000000000001</v>
      </c>
    </row>
    <row r="747" spans="2:23" x14ac:dyDescent="0.25">
      <c r="B747" s="39">
        <f t="shared" si="148"/>
        <v>3.5452530038635167E-7</v>
      </c>
      <c r="C747" s="39">
        <f t="shared" si="148"/>
        <v>6.5210915512102315E-6</v>
      </c>
      <c r="D747" s="39">
        <f t="shared" si="148"/>
        <v>5.9030689998747255E-5</v>
      </c>
      <c r="E747" s="39">
        <f t="shared" si="148"/>
        <v>3.5076718604107527E-4</v>
      </c>
      <c r="F747" s="39">
        <f t="shared" si="148"/>
        <v>1.5399904798303928E-3</v>
      </c>
      <c r="G747" s="39">
        <f t="shared" si="148"/>
        <v>5.3321668887629072E-3</v>
      </c>
      <c r="H747" s="39">
        <f t="shared" si="148"/>
        <v>1.518110561867597E-2</v>
      </c>
      <c r="I747" s="39">
        <f t="shared" si="148"/>
        <v>3.6599449059449299E-2</v>
      </c>
      <c r="J747" s="39">
        <f t="shared" si="148"/>
        <v>7.6392582781940471E-2</v>
      </c>
      <c r="K747" s="39">
        <f t="shared" si="148"/>
        <v>0.14052247766522119</v>
      </c>
      <c r="L747" s="39">
        <f t="shared" si="149"/>
        <v>0.23124009267709433</v>
      </c>
      <c r="M747" s="39">
        <f t="shared" si="149"/>
        <v>0.34495244005026615</v>
      </c>
      <c r="N747" s="39">
        <f t="shared" si="149"/>
        <v>0.47222681050464016</v>
      </c>
      <c r="O747" s="39">
        <f t="shared" si="149"/>
        <v>0.6002333839006988</v>
      </c>
      <c r="P747" s="39">
        <f t="shared" si="149"/>
        <v>0.71652755576738669</v>
      </c>
      <c r="Q747" s="39">
        <f t="shared" si="149"/>
        <v>0.81238413410151145</v>
      </c>
      <c r="R747" s="39">
        <f t="shared" si="149"/>
        <v>0.8843328878158716</v>
      </c>
      <c r="S747" s="39">
        <f t="shared" si="149"/>
        <v>0.93366241397623384</v>
      </c>
      <c r="T747" s="39">
        <f t="shared" si="149"/>
        <v>0.96463676761181039</v>
      </c>
      <c r="U747" s="39">
        <f t="shared" si="149"/>
        <v>0.9824873555318262</v>
      </c>
      <c r="V747" s="39">
        <f t="shared" si="149"/>
        <v>0.99194619723595678</v>
      </c>
      <c r="W747" s="37">
        <v>0.25600000000000001</v>
      </c>
    </row>
    <row r="748" spans="2:23" x14ac:dyDescent="0.25">
      <c r="B748" s="39">
        <f t="shared" si="148"/>
        <v>3.8034521387121525E-7</v>
      </c>
      <c r="C748" s="39">
        <f t="shared" si="148"/>
        <v>6.9597978655059142E-6</v>
      </c>
      <c r="D748" s="39">
        <f t="shared" si="148"/>
        <v>6.2678327196490346E-5</v>
      </c>
      <c r="E748" s="39">
        <f t="shared" si="148"/>
        <v>3.7054681129650808E-4</v>
      </c>
      <c r="F748" s="39">
        <f t="shared" si="148"/>
        <v>1.6186495584993384E-3</v>
      </c>
      <c r="G748" s="39">
        <f t="shared" si="148"/>
        <v>5.5767504589228217E-3</v>
      </c>
      <c r="H748" s="39">
        <f t="shared" si="148"/>
        <v>1.5800215028823991E-2</v>
      </c>
      <c r="I748" s="39">
        <f t="shared" si="148"/>
        <v>3.7910981770312976E-2</v>
      </c>
      <c r="J748" s="39">
        <f t="shared" si="148"/>
        <v>7.8764951379131642E-2</v>
      </c>
      <c r="K748" s="39">
        <f t="shared" si="148"/>
        <v>0.1442427052091558</v>
      </c>
      <c r="L748" s="39">
        <f t="shared" si="149"/>
        <v>0.23635782493336968</v>
      </c>
      <c r="M748" s="39">
        <f t="shared" si="149"/>
        <v>0.35118690873175501</v>
      </c>
      <c r="N748" s="39">
        <f t="shared" si="149"/>
        <v>0.47900406014792285</v>
      </c>
      <c r="O748" s="39">
        <f t="shared" si="149"/>
        <v>0.60684892059717088</v>
      </c>
      <c r="P748" s="39">
        <f t="shared" si="149"/>
        <v>0.72235655689881728</v>
      </c>
      <c r="Q748" s="39">
        <f t="shared" si="149"/>
        <v>0.81704028130382966</v>
      </c>
      <c r="R748" s="39">
        <f t="shared" si="149"/>
        <v>0.88771698182851488</v>
      </c>
      <c r="S748" s="39">
        <f t="shared" si="149"/>
        <v>0.93590714882164883</v>
      </c>
      <c r="T748" s="39">
        <f t="shared" si="149"/>
        <v>0.96599915551546134</v>
      </c>
      <c r="U748" s="39">
        <f t="shared" si="149"/>
        <v>0.98324552727915127</v>
      </c>
      <c r="V748" s="39">
        <f t="shared" si="149"/>
        <v>0.99233373842543338</v>
      </c>
      <c r="W748" s="37">
        <v>0.255</v>
      </c>
    </row>
    <row r="749" spans="2:23" x14ac:dyDescent="0.25">
      <c r="B749" s="39">
        <f t="shared" si="148"/>
        <v>4.0326216167339334E-7</v>
      </c>
      <c r="C749" s="39">
        <f t="shared" si="148"/>
        <v>7.3472259900649295E-6</v>
      </c>
      <c r="D749" s="39">
        <f t="shared" si="148"/>
        <v>6.5883436592828655E-5</v>
      </c>
      <c r="E749" s="39">
        <f t="shared" si="148"/>
        <v>3.8783947666333186E-4</v>
      </c>
      <c r="F749" s="39">
        <f t="shared" si="148"/>
        <v>1.6870728689718179E-3</v>
      </c>
      <c r="G749" s="39">
        <f t="shared" si="148"/>
        <v>5.7884366587456432E-3</v>
      </c>
      <c r="H749" s="39">
        <f t="shared" si="148"/>
        <v>1.6333355190136626E-2</v>
      </c>
      <c r="I749" s="39">
        <f t="shared" si="148"/>
        <v>3.9034708041769076E-2</v>
      </c>
      <c r="J749" s="39">
        <f t="shared" si="148"/>
        <v>8.0787363558080166E-2</v>
      </c>
      <c r="K749" s="39">
        <f t="shared" si="148"/>
        <v>0.1473981587403988</v>
      </c>
      <c r="L749" s="39">
        <f t="shared" si="149"/>
        <v>0.24067672650099123</v>
      </c>
      <c r="M749" s="39">
        <f t="shared" si="149"/>
        <v>0.35642167542369563</v>
      </c>
      <c r="N749" s="39">
        <f t="shared" si="149"/>
        <v>0.48466582958846138</v>
      </c>
      <c r="O749" s="39">
        <f t="shared" si="149"/>
        <v>0.61234766163514309</v>
      </c>
      <c r="P749" s="39">
        <f t="shared" si="149"/>
        <v>0.72717703909913423</v>
      </c>
      <c r="Q749" s="39">
        <f t="shared" si="149"/>
        <v>0.8208713494331763</v>
      </c>
      <c r="R749" s="39">
        <f t="shared" si="149"/>
        <v>0.89048730918163588</v>
      </c>
      <c r="S749" s="39">
        <f t="shared" si="149"/>
        <v>0.93773545059985419</v>
      </c>
      <c r="T749" s="39">
        <f t="shared" si="149"/>
        <v>0.96710317423909953</v>
      </c>
      <c r="U749" s="39">
        <f t="shared" si="149"/>
        <v>0.98385679961956751</v>
      </c>
      <c r="V749" s="39">
        <f t="shared" si="149"/>
        <v>0.99264460581298763</v>
      </c>
      <c r="W749" s="37">
        <v>0.254</v>
      </c>
    </row>
    <row r="750" spans="2:23" x14ac:dyDescent="0.25">
      <c r="B750" s="39">
        <f t="shared" si="148"/>
        <v>4.3255336969830342E-7</v>
      </c>
      <c r="C750" s="39">
        <f t="shared" si="148"/>
        <v>7.8399155146375476E-6</v>
      </c>
      <c r="D750" s="39">
        <f t="shared" si="148"/>
        <v>6.993876539881416E-5</v>
      </c>
      <c r="E750" s="39">
        <f t="shared" si="148"/>
        <v>4.0960883041449373E-4</v>
      </c>
      <c r="F750" s="39">
        <f t="shared" si="148"/>
        <v>1.7727741705610438E-3</v>
      </c>
      <c r="G750" s="39">
        <f t="shared" si="148"/>
        <v>6.0522367666822384E-3</v>
      </c>
      <c r="H750" s="39">
        <f t="shared" si="148"/>
        <v>1.6994386846745719E-2</v>
      </c>
      <c r="I750" s="39">
        <f t="shared" si="148"/>
        <v>4.0420950444315915E-2</v>
      </c>
      <c r="J750" s="39">
        <f t="shared" si="148"/>
        <v>8.3269613159583561E-2</v>
      </c>
      <c r="K750" s="39">
        <f t="shared" si="148"/>
        <v>0.15125146959724867</v>
      </c>
      <c r="L750" s="39">
        <f t="shared" si="149"/>
        <v>0.2459240928767909</v>
      </c>
      <c r="M750" s="39">
        <f t="shared" si="149"/>
        <v>0.36274958961393144</v>
      </c>
      <c r="N750" s="39">
        <f t="shared" si="149"/>
        <v>0.49147524677901433</v>
      </c>
      <c r="O750" s="39">
        <f t="shared" si="149"/>
        <v>0.61892749482678344</v>
      </c>
      <c r="P750" s="39">
        <f t="shared" si="149"/>
        <v>0.73291602680861612</v>
      </c>
      <c r="Q750" s="39">
        <f t="shared" si="149"/>
        <v>0.82540927345723469</v>
      </c>
      <c r="R750" s="39">
        <f t="shared" si="149"/>
        <v>0.89375213719184909</v>
      </c>
      <c r="S750" s="39">
        <f t="shared" si="149"/>
        <v>0.93987917183042313</v>
      </c>
      <c r="T750" s="39">
        <f t="shared" si="149"/>
        <v>0.96839108986411704</v>
      </c>
      <c r="U750" s="39">
        <f t="shared" si="149"/>
        <v>0.98456627217242854</v>
      </c>
      <c r="V750" s="39">
        <f t="shared" si="149"/>
        <v>0.99300358166250657</v>
      </c>
      <c r="W750" s="37">
        <v>0.253</v>
      </c>
    </row>
    <row r="751" spans="2:23" x14ac:dyDescent="0.25">
      <c r="B751" s="39">
        <f t="shared" si="148"/>
        <v>4.6392660538196873E-7</v>
      </c>
      <c r="C751" s="39">
        <f t="shared" si="148"/>
        <v>8.3647174922529444E-6</v>
      </c>
      <c r="D751" s="39">
        <f t="shared" si="148"/>
        <v>7.4234596862051002E-5</v>
      </c>
      <c r="E751" s="39">
        <f t="shared" si="148"/>
        <v>4.3254202977630963E-4</v>
      </c>
      <c r="F751" s="39">
        <f t="shared" si="148"/>
        <v>1.8625590893027908E-3</v>
      </c>
      <c r="G751" s="39">
        <f t="shared" si="148"/>
        <v>6.3270810626301797E-3</v>
      </c>
      <c r="H751" s="39">
        <f t="shared" si="148"/>
        <v>1.7679289290262613E-2</v>
      </c>
      <c r="I751" s="39">
        <f t="shared" si="148"/>
        <v>4.1849315602041533E-2</v>
      </c>
      <c r="J751" s="39">
        <f t="shared" si="148"/>
        <v>8.5813150054101617E-2</v>
      </c>
      <c r="K751" s="39">
        <f t="shared" si="148"/>
        <v>0.15517808233247873</v>
      </c>
      <c r="L751" s="39">
        <f t="shared" si="149"/>
        <v>0.25124169395199364</v>
      </c>
      <c r="M751" s="39">
        <f t="shared" si="149"/>
        <v>0.36912670380697371</v>
      </c>
      <c r="N751" s="39">
        <f t="shared" si="149"/>
        <v>0.49829960329301209</v>
      </c>
      <c r="O751" s="39">
        <f t="shared" si="149"/>
        <v>0.62548522740234258</v>
      </c>
      <c r="P751" s="39">
        <f t="shared" si="149"/>
        <v>0.73860403310281475</v>
      </c>
      <c r="Q751" s="39">
        <f t="shared" si="149"/>
        <v>0.82988194337484666</v>
      </c>
      <c r="R751" s="39">
        <f t="shared" si="149"/>
        <v>0.89695216452274973</v>
      </c>
      <c r="S751" s="39">
        <f t="shared" si="149"/>
        <v>0.94196868126422673</v>
      </c>
      <c r="T751" s="39">
        <f t="shared" si="149"/>
        <v>0.9696394646273192</v>
      </c>
      <c r="U751" s="39">
        <f t="shared" si="149"/>
        <v>0.98525014224771756</v>
      </c>
      <c r="V751" s="39">
        <f t="shared" si="149"/>
        <v>0.99334767998628559</v>
      </c>
      <c r="W751" s="37">
        <v>0.252</v>
      </c>
    </row>
    <row r="752" spans="2:23" x14ac:dyDescent="0.25">
      <c r="B752" s="39">
        <f t="shared" si="148"/>
        <v>4.9752663089530741E-7</v>
      </c>
      <c r="C752" s="39">
        <f t="shared" si="148"/>
        <v>8.9236628252571515E-6</v>
      </c>
      <c r="D752" s="39">
        <f t="shared" si="148"/>
        <v>7.8784619879331089E-5</v>
      </c>
      <c r="E752" s="39">
        <f t="shared" si="148"/>
        <v>4.5669788416809957E-4</v>
      </c>
      <c r="F752" s="39">
        <f t="shared" si="148"/>
        <v>1.956607498946215E-3</v>
      </c>
      <c r="G752" s="39">
        <f t="shared" si="148"/>
        <v>6.6133828121904131E-3</v>
      </c>
      <c r="H752" s="39">
        <f t="shared" si="148"/>
        <v>1.8388792077021127E-2</v>
      </c>
      <c r="I752" s="39">
        <f t="shared" si="148"/>
        <v>4.3320786430226597E-2</v>
      </c>
      <c r="J752" s="39">
        <f t="shared" si="148"/>
        <v>8.8418921796026936E-2</v>
      </c>
      <c r="K752" s="39">
        <f t="shared" si="148"/>
        <v>0.15917846206446176</v>
      </c>
      <c r="L752" s="39">
        <f t="shared" si="149"/>
        <v>0.25662913607089965</v>
      </c>
      <c r="M752" s="39">
        <f t="shared" si="149"/>
        <v>0.37555171175616703</v>
      </c>
      <c r="N752" s="39">
        <f t="shared" si="149"/>
        <v>0.50513703006274502</v>
      </c>
      <c r="O752" s="39">
        <f t="shared" si="149"/>
        <v>0.63201901603227051</v>
      </c>
      <c r="P752" s="39">
        <f t="shared" si="149"/>
        <v>0.74423977032082589</v>
      </c>
      <c r="Q752" s="39">
        <f t="shared" si="149"/>
        <v>0.83428886869554342</v>
      </c>
      <c r="R752" s="39">
        <f t="shared" si="149"/>
        <v>0.90008761245280333</v>
      </c>
      <c r="S752" s="39">
        <f t="shared" si="149"/>
        <v>0.94400462695589815</v>
      </c>
      <c r="T752" s="39">
        <f t="shared" si="149"/>
        <v>0.97084906430906948</v>
      </c>
      <c r="U752" s="39">
        <f t="shared" si="149"/>
        <v>0.98590907940109218</v>
      </c>
      <c r="V752" s="39">
        <f t="shared" si="149"/>
        <v>0.99367738499374381</v>
      </c>
      <c r="W752" s="37">
        <v>0.251</v>
      </c>
    </row>
    <row r="753" spans="2:23" x14ac:dyDescent="0.25">
      <c r="B753" s="39">
        <f t="shared" ref="B753:K762" si="150">_xlfn.HYPGEOM.DIST(B$2,comau,tongtheN*$W753,tongtheN,TRUE)</f>
        <v>5.2733890026431694E-7</v>
      </c>
      <c r="C753" s="39">
        <f t="shared" si="150"/>
        <v>9.4170833466947902E-6</v>
      </c>
      <c r="D753" s="39">
        <f t="shared" si="150"/>
        <v>8.2780869094079408E-5</v>
      </c>
      <c r="E753" s="39">
        <f t="shared" si="150"/>
        <v>4.7780608028392556E-4</v>
      </c>
      <c r="F753" s="39">
        <f t="shared" si="150"/>
        <v>2.0383727113031528E-3</v>
      </c>
      <c r="G753" s="39">
        <f t="shared" si="150"/>
        <v>6.8610270097432223E-3</v>
      </c>
      <c r="H753" s="39">
        <f t="shared" si="150"/>
        <v>1.8999374005349522E-2</v>
      </c>
      <c r="I753" s="39">
        <f t="shared" si="150"/>
        <v>4.4580656692351638E-2</v>
      </c>
      <c r="J753" s="39">
        <f t="shared" si="150"/>
        <v>9.0638617830109389E-2</v>
      </c>
      <c r="K753" s="39">
        <f t="shared" si="150"/>
        <v>0.16256877634993547</v>
      </c>
      <c r="L753" s="39">
        <f t="shared" ref="L753:V762" si="151">_xlfn.HYPGEOM.DIST(L$2,comau,tongtheN*$W753,tongtheN,TRUE)</f>
        <v>0.26117170576894305</v>
      </c>
      <c r="M753" s="39">
        <f t="shared" si="151"/>
        <v>0.38094149780578151</v>
      </c>
      <c r="N753" s="39">
        <f t="shared" si="151"/>
        <v>0.5108435067885575</v>
      </c>
      <c r="O753" s="39">
        <f t="shared" si="151"/>
        <v>0.63744422633669018</v>
      </c>
      <c r="P753" s="39">
        <f t="shared" si="151"/>
        <v>0.74889538462328975</v>
      </c>
      <c r="Q753" s="39">
        <f t="shared" si="151"/>
        <v>0.83791075936674897</v>
      </c>
      <c r="R753" s="39">
        <f t="shared" si="151"/>
        <v>0.90265133632883054</v>
      </c>
      <c r="S753" s="39">
        <f t="shared" si="151"/>
        <v>0.94566081053440965</v>
      </c>
      <c r="T753" s="39">
        <f t="shared" si="151"/>
        <v>0.97182799782393814</v>
      </c>
      <c r="U753" s="39">
        <f t="shared" si="151"/>
        <v>0.98643962582727285</v>
      </c>
      <c r="V753" s="39">
        <f t="shared" si="151"/>
        <v>0.99394148682940442</v>
      </c>
      <c r="W753" s="37">
        <v>0.25</v>
      </c>
    </row>
    <row r="754" spans="2:23" x14ac:dyDescent="0.25">
      <c r="B754" s="39">
        <f t="shared" si="150"/>
        <v>5.6543046471616317E-7</v>
      </c>
      <c r="C754" s="39">
        <f t="shared" si="150"/>
        <v>1.0044317344011725E-5</v>
      </c>
      <c r="D754" s="39">
        <f t="shared" si="150"/>
        <v>8.7834958019155352E-5</v>
      </c>
      <c r="E754" s="39">
        <f t="shared" si="150"/>
        <v>5.0436550668792794E-4</v>
      </c>
      <c r="F754" s="39">
        <f t="shared" si="150"/>
        <v>2.1407285727399541E-3</v>
      </c>
      <c r="G754" s="39">
        <f t="shared" si="150"/>
        <v>7.1694510370695552E-3</v>
      </c>
      <c r="H754" s="39">
        <f t="shared" si="150"/>
        <v>1.975592675000655E-2</v>
      </c>
      <c r="I754" s="39">
        <f t="shared" si="150"/>
        <v>4.6133743126469048E-2</v>
      </c>
      <c r="J754" s="39">
        <f t="shared" si="150"/>
        <v>9.3360925211268722E-2</v>
      </c>
      <c r="K754" s="39">
        <f t="shared" si="150"/>
        <v>0.16670550261255362</v>
      </c>
      <c r="L754" s="39">
        <f t="shared" si="151"/>
        <v>0.26668601234311012</v>
      </c>
      <c r="M754" s="39">
        <f t="shared" si="151"/>
        <v>0.38745077298396097</v>
      </c>
      <c r="N754" s="39">
        <f t="shared" si="151"/>
        <v>0.51769997182941474</v>
      </c>
      <c r="O754" s="39">
        <f t="shared" si="151"/>
        <v>0.64392936422975133</v>
      </c>
      <c r="P754" s="39">
        <f t="shared" si="151"/>
        <v>0.75443206383627559</v>
      </c>
      <c r="Q754" s="39">
        <f t="shared" si="151"/>
        <v>0.84219601510271669</v>
      </c>
      <c r="R754" s="39">
        <f t="shared" si="151"/>
        <v>0.90566907066066171</v>
      </c>
      <c r="S754" s="39">
        <f t="shared" si="151"/>
        <v>0.94760029311723748</v>
      </c>
      <c r="T754" s="39">
        <f t="shared" si="151"/>
        <v>0.97296850380212141</v>
      </c>
      <c r="U754" s="39">
        <f t="shared" si="151"/>
        <v>0.98705456764203903</v>
      </c>
      <c r="V754" s="39">
        <f t="shared" si="151"/>
        <v>0.99424602912514015</v>
      </c>
      <c r="W754" s="37">
        <v>0.249</v>
      </c>
    </row>
    <row r="755" spans="2:23" x14ac:dyDescent="0.25">
      <c r="B755" s="39">
        <f t="shared" si="150"/>
        <v>6.0621462183375645E-7</v>
      </c>
      <c r="C755" s="39">
        <f t="shared" si="150"/>
        <v>1.0712148996547225E-5</v>
      </c>
      <c r="D755" s="39">
        <f t="shared" si="150"/>
        <v>9.3186191458343996E-5</v>
      </c>
      <c r="E755" s="39">
        <f t="shared" si="150"/>
        <v>5.3232969367097364E-4</v>
      </c>
      <c r="F755" s="39">
        <f t="shared" si="150"/>
        <v>2.2478971805732122E-3</v>
      </c>
      <c r="G755" s="39">
        <f t="shared" si="150"/>
        <v>7.4905754447429865E-3</v>
      </c>
      <c r="H755" s="39">
        <f t="shared" si="150"/>
        <v>2.0539236330628197E-2</v>
      </c>
      <c r="I755" s="39">
        <f t="shared" si="150"/>
        <v>4.7732777649595243E-2</v>
      </c>
      <c r="J755" s="39">
        <f t="shared" si="150"/>
        <v>9.6148113006267355E-2</v>
      </c>
      <c r="K755" s="39">
        <f t="shared" si="150"/>
        <v>0.17091714588824489</v>
      </c>
      <c r="L755" s="39">
        <f t="shared" si="151"/>
        <v>0.27226878952942624</v>
      </c>
      <c r="M755" s="39">
        <f t="shared" si="151"/>
        <v>0.39400400395878066</v>
      </c>
      <c r="N755" s="39">
        <f t="shared" si="151"/>
        <v>0.52456410070014869</v>
      </c>
      <c r="O755" s="39">
        <f t="shared" si="151"/>
        <v>0.65038539448859689</v>
      </c>
      <c r="P755" s="39">
        <f t="shared" si="151"/>
        <v>0.75991301260849919</v>
      </c>
      <c r="Q755" s="39">
        <f t="shared" si="151"/>
        <v>0.84641435938412635</v>
      </c>
      <c r="R755" s="39">
        <f t="shared" si="151"/>
        <v>0.90862302672784989</v>
      </c>
      <c r="S755" s="39">
        <f t="shared" si="151"/>
        <v>0.94948813456452186</v>
      </c>
      <c r="T755" s="39">
        <f t="shared" si="151"/>
        <v>0.97407241122883337</v>
      </c>
      <c r="U755" s="39">
        <f t="shared" si="151"/>
        <v>0.98764643367976002</v>
      </c>
      <c r="V755" s="39">
        <f t="shared" si="151"/>
        <v>0.99453749664526536</v>
      </c>
      <c r="W755" s="37">
        <v>0.248</v>
      </c>
    </row>
    <row r="756" spans="2:23" x14ac:dyDescent="0.25">
      <c r="B756" s="39">
        <f t="shared" si="150"/>
        <v>6.4987755260247824E-7</v>
      </c>
      <c r="C756" s="39">
        <f t="shared" si="150"/>
        <v>1.1423127288778204E-5</v>
      </c>
      <c r="D756" s="39">
        <f t="shared" si="150"/>
        <v>9.8851323785080242E-5</v>
      </c>
      <c r="E756" s="39">
        <f t="shared" si="150"/>
        <v>5.6176876103238515E-4</v>
      </c>
      <c r="F756" s="39">
        <f t="shared" si="150"/>
        <v>2.3600871406531747E-3</v>
      </c>
      <c r="G756" s="39">
        <f t="shared" si="150"/>
        <v>7.8248652557075075E-3</v>
      </c>
      <c r="H756" s="39">
        <f t="shared" si="150"/>
        <v>2.1350095708023861E-2</v>
      </c>
      <c r="I756" s="39">
        <f t="shared" si="150"/>
        <v>4.9378782414166697E-2</v>
      </c>
      <c r="J756" s="39">
        <f t="shared" si="150"/>
        <v>9.900109795742186E-2</v>
      </c>
      <c r="K756" s="39">
        <f t="shared" si="150"/>
        <v>0.17520404919090066</v>
      </c>
      <c r="L756" s="39">
        <f t="shared" si="151"/>
        <v>0.27791946176494742</v>
      </c>
      <c r="M756" s="39">
        <f t="shared" si="151"/>
        <v>0.40059971870009808</v>
      </c>
      <c r="N756" s="39">
        <f t="shared" si="151"/>
        <v>0.53143395041643271</v>
      </c>
      <c r="O756" s="39">
        <f t="shared" si="151"/>
        <v>0.65681052026498921</v>
      </c>
      <c r="P756" s="39">
        <f t="shared" si="151"/>
        <v>0.76533707823743458</v>
      </c>
      <c r="Q756" s="39">
        <f t="shared" si="151"/>
        <v>0.85056545920344251</v>
      </c>
      <c r="R756" s="39">
        <f t="shared" si="151"/>
        <v>0.9115135468225033</v>
      </c>
      <c r="S756" s="39">
        <f t="shared" si="151"/>
        <v>0.95132504138147234</v>
      </c>
      <c r="T756" s="39">
        <f t="shared" si="151"/>
        <v>0.97514048869519643</v>
      </c>
      <c r="U756" s="39">
        <f t="shared" si="151"/>
        <v>0.98821586433599518</v>
      </c>
      <c r="V756" s="39">
        <f t="shared" si="151"/>
        <v>0.99481633579725859</v>
      </c>
      <c r="W756" s="37">
        <v>0.247</v>
      </c>
    </row>
    <row r="757" spans="2:23" x14ac:dyDescent="0.25">
      <c r="B757" s="39">
        <f t="shared" si="150"/>
        <v>6.9661802538230449E-7</v>
      </c>
      <c r="C757" s="39">
        <f t="shared" si="150"/>
        <v>1.2179956112477724E-5</v>
      </c>
      <c r="D757" s="39">
        <f t="shared" si="150"/>
        <v>1.0484801029194127E-4</v>
      </c>
      <c r="E757" s="39">
        <f t="shared" si="150"/>
        <v>5.9275609090195627E-4</v>
      </c>
      <c r="F757" s="39">
        <f t="shared" si="150"/>
        <v>2.4775151714169687E-3</v>
      </c>
      <c r="G757" s="39">
        <f t="shared" si="150"/>
        <v>8.1727997235004138E-3</v>
      </c>
      <c r="H757" s="39">
        <f t="shared" si="150"/>
        <v>2.2189314575130372E-2</v>
      </c>
      <c r="I757" s="39">
        <f t="shared" si="150"/>
        <v>5.1072788687205342E-2</v>
      </c>
      <c r="J757" s="39">
        <f t="shared" si="150"/>
        <v>0.1019207862311977</v>
      </c>
      <c r="K757" s="39">
        <f t="shared" si="150"/>
        <v>0.17956652083042332</v>
      </c>
      <c r="L757" s="39">
        <f t="shared" si="151"/>
        <v>0.28363740466938647</v>
      </c>
      <c r="M757" s="39">
        <f t="shared" si="151"/>
        <v>0.40723640320185894</v>
      </c>
      <c r="N757" s="39">
        <f t="shared" si="151"/>
        <v>0.53830756212367992</v>
      </c>
      <c r="O757" s="39">
        <f t="shared" si="151"/>
        <v>0.66320296056801453</v>
      </c>
      <c r="P757" s="39">
        <f t="shared" si="151"/>
        <v>0.77070314545031438</v>
      </c>
      <c r="Q757" s="39">
        <f t="shared" si="151"/>
        <v>0.85464902266174381</v>
      </c>
      <c r="R757" s="39">
        <f t="shared" si="151"/>
        <v>0.9143410032258058</v>
      </c>
      <c r="S757" s="39">
        <f t="shared" si="151"/>
        <v>0.95311173330009891</v>
      </c>
      <c r="T757" s="39">
        <f t="shared" si="151"/>
        <v>0.97617350398932723</v>
      </c>
      <c r="U757" s="39">
        <f t="shared" si="151"/>
        <v>0.98876349167548117</v>
      </c>
      <c r="V757" s="39">
        <f t="shared" si="151"/>
        <v>0.99508298306235332</v>
      </c>
      <c r="W757" s="37">
        <v>0.246</v>
      </c>
    </row>
    <row r="758" spans="2:23" x14ac:dyDescent="0.25">
      <c r="B758" s="39">
        <f t="shared" si="150"/>
        <v>7.3807197874103383E-7</v>
      </c>
      <c r="C758" s="39">
        <f t="shared" si="150"/>
        <v>1.2847735399404966E-5</v>
      </c>
      <c r="D758" s="39">
        <f t="shared" si="150"/>
        <v>1.1011191049713682E-4</v>
      </c>
      <c r="E758" s="39">
        <f t="shared" si="150"/>
        <v>6.1981685595703195E-4</v>
      </c>
      <c r="F758" s="39">
        <f t="shared" si="150"/>
        <v>2.57953530714088E-3</v>
      </c>
      <c r="G758" s="39">
        <f t="shared" si="150"/>
        <v>8.4735239138868882E-3</v>
      </c>
      <c r="H758" s="39">
        <f t="shared" si="150"/>
        <v>2.2910922886191346E-2</v>
      </c>
      <c r="I758" s="39">
        <f t="shared" si="150"/>
        <v>5.2521878362192929E-2</v>
      </c>
      <c r="J758" s="39">
        <f t="shared" si="150"/>
        <v>0.10440545942607475</v>
      </c>
      <c r="K758" s="39">
        <f t="shared" si="150"/>
        <v>0.18325983732692208</v>
      </c>
      <c r="L758" s="39">
        <f t="shared" si="151"/>
        <v>0.2884532598684445</v>
      </c>
      <c r="M758" s="39">
        <f t="shared" si="151"/>
        <v>0.41279714908558079</v>
      </c>
      <c r="N758" s="39">
        <f t="shared" si="151"/>
        <v>0.54403702242306629</v>
      </c>
      <c r="O758" s="39">
        <f t="shared" si="151"/>
        <v>0.66850375317544086</v>
      </c>
      <c r="P758" s="39">
        <f t="shared" si="151"/>
        <v>0.7751297856118089</v>
      </c>
      <c r="Q758" s="39">
        <f t="shared" si="151"/>
        <v>0.85800021971662832</v>
      </c>
      <c r="R758" s="39">
        <f t="shared" si="151"/>
        <v>0.91664933208860433</v>
      </c>
      <c r="S758" s="39">
        <f t="shared" si="151"/>
        <v>0.95456281246428309</v>
      </c>
      <c r="T758" s="39">
        <f t="shared" si="151"/>
        <v>0.97700811942280175</v>
      </c>
      <c r="U758" s="39">
        <f t="shared" si="151"/>
        <v>0.98920364254495396</v>
      </c>
      <c r="V758" s="39">
        <f t="shared" si="151"/>
        <v>0.99529618390293528</v>
      </c>
      <c r="W758" s="37">
        <v>0.245</v>
      </c>
    </row>
    <row r="759" spans="2:23" x14ac:dyDescent="0.25">
      <c r="B759" s="39">
        <f t="shared" si="150"/>
        <v>7.9101600190026743E-7</v>
      </c>
      <c r="C759" s="39">
        <f t="shared" si="150"/>
        <v>1.3696197002965167E-5</v>
      </c>
      <c r="D759" s="39">
        <f t="shared" si="150"/>
        <v>1.1676547612341944E-4</v>
      </c>
      <c r="E759" s="39">
        <f t="shared" si="150"/>
        <v>6.5384464247968956E-4</v>
      </c>
      <c r="F759" s="39">
        <f t="shared" si="150"/>
        <v>2.7071573343105614E-3</v>
      </c>
      <c r="G759" s="39">
        <f t="shared" si="150"/>
        <v>8.8477667533486334E-3</v>
      </c>
      <c r="H759" s="39">
        <f t="shared" si="150"/>
        <v>2.3804292824406298E-2</v>
      </c>
      <c r="I759" s="39">
        <f t="shared" si="150"/>
        <v>5.4306593965844745E-2</v>
      </c>
      <c r="J759" s="39">
        <f t="shared" si="150"/>
        <v>0.10744975110687574</v>
      </c>
      <c r="K759" s="39">
        <f t="shared" si="150"/>
        <v>0.18776153178514421</v>
      </c>
      <c r="L759" s="39">
        <f t="shared" si="151"/>
        <v>0.29429274674367145</v>
      </c>
      <c r="M759" s="39">
        <f t="shared" si="151"/>
        <v>0.41950487588308188</v>
      </c>
      <c r="N759" s="39">
        <f t="shared" si="151"/>
        <v>0.55091239682886439</v>
      </c>
      <c r="O759" s="39">
        <f t="shared" si="151"/>
        <v>0.67483170324903452</v>
      </c>
      <c r="P759" s="39">
        <f t="shared" si="151"/>
        <v>0.78038675336144681</v>
      </c>
      <c r="Q759" s="39">
        <f t="shared" si="151"/>
        <v>0.86195934448232503</v>
      </c>
      <c r="R759" s="39">
        <f t="shared" si="151"/>
        <v>0.91936223530563488</v>
      </c>
      <c r="S759" s="39">
        <f t="shared" si="151"/>
        <v>0.95625935356894165</v>
      </c>
      <c r="T759" s="39">
        <f t="shared" si="151"/>
        <v>0.9779788430875529</v>
      </c>
      <c r="U759" s="39">
        <f t="shared" si="151"/>
        <v>0.98971291004118089</v>
      </c>
      <c r="V759" s="39">
        <f t="shared" si="151"/>
        <v>0.9955415800597246</v>
      </c>
      <c r="W759" s="37">
        <v>0.24399999999999999</v>
      </c>
    </row>
    <row r="760" spans="2:23" x14ac:dyDescent="0.25">
      <c r="B760" s="39">
        <f t="shared" si="150"/>
        <v>8.4767659492508646E-7</v>
      </c>
      <c r="C760" s="39">
        <f t="shared" si="150"/>
        <v>1.4599092966826771E-5</v>
      </c>
      <c r="D760" s="39">
        <f t="shared" si="150"/>
        <v>1.238059214782071E-4</v>
      </c>
      <c r="E760" s="39">
        <f t="shared" si="150"/>
        <v>6.8964755690617714E-4</v>
      </c>
      <c r="F760" s="39">
        <f t="shared" si="150"/>
        <v>2.8406778915845759E-3</v>
      </c>
      <c r="G760" s="39">
        <f t="shared" si="150"/>
        <v>9.2370920602211758E-3</v>
      </c>
      <c r="H760" s="39">
        <f t="shared" si="150"/>
        <v>2.4728407624887958E-2</v>
      </c>
      <c r="I760" s="39">
        <f t="shared" si="150"/>
        <v>5.6142277809514578E-2</v>
      </c>
      <c r="J760" s="39">
        <f t="shared" si="150"/>
        <v>0.11056324640590968</v>
      </c>
      <c r="K760" s="39">
        <f t="shared" si="150"/>
        <v>0.19233946939970534</v>
      </c>
      <c r="L760" s="39">
        <f t="shared" si="151"/>
        <v>0.30019746601300873</v>
      </c>
      <c r="M760" s="39">
        <f t="shared" si="151"/>
        <v>0.42624906058368001</v>
      </c>
      <c r="N760" s="39">
        <f t="shared" si="151"/>
        <v>0.55778591004984623</v>
      </c>
      <c r="O760" s="39">
        <f t="shared" si="151"/>
        <v>0.68112202119886911</v>
      </c>
      <c r="P760" s="39">
        <f t="shared" si="151"/>
        <v>0.78558277324627868</v>
      </c>
      <c r="Q760" s="39">
        <f t="shared" si="151"/>
        <v>0.86585032824986108</v>
      </c>
      <c r="R760" s="39">
        <f t="shared" si="151"/>
        <v>0.92201328622905554</v>
      </c>
      <c r="S760" s="39">
        <f t="shared" si="151"/>
        <v>0.95790778350137351</v>
      </c>
      <c r="T760" s="39">
        <f t="shared" si="151"/>
        <v>0.97891667035131902</v>
      </c>
      <c r="U760" s="39">
        <f t="shared" si="151"/>
        <v>0.9902021175563912</v>
      </c>
      <c r="V760" s="39">
        <f t="shared" si="151"/>
        <v>0.99577596712141592</v>
      </c>
      <c r="W760" s="37">
        <v>0.24299999999999999</v>
      </c>
    </row>
    <row r="761" spans="2:23" x14ac:dyDescent="0.25">
      <c r="B761" s="39">
        <f t="shared" si="150"/>
        <v>9.083089660946704E-7</v>
      </c>
      <c r="C761" s="39">
        <f t="shared" si="150"/>
        <v>1.5559809761465748E-5</v>
      </c>
      <c r="D761" s="39">
        <f t="shared" si="150"/>
        <v>1.3125479932528413E-4</v>
      </c>
      <c r="E761" s="39">
        <f t="shared" si="150"/>
        <v>7.2731281634248615E-4</v>
      </c>
      <c r="F761" s="39">
        <f t="shared" si="150"/>
        <v>2.9803473317526045E-3</v>
      </c>
      <c r="G761" s="39">
        <f t="shared" si="150"/>
        <v>9.6420364376635197E-3</v>
      </c>
      <c r="H761" s="39">
        <f t="shared" si="150"/>
        <v>2.5684141444789439E-2</v>
      </c>
      <c r="I761" s="39">
        <f t="shared" si="150"/>
        <v>5.8029990993972241E-2</v>
      </c>
      <c r="J761" s="39">
        <f t="shared" si="150"/>
        <v>0.11374680051808296</v>
      </c>
      <c r="K761" s="39">
        <f t="shared" si="150"/>
        <v>0.19699381460954593</v>
      </c>
      <c r="L761" s="39">
        <f t="shared" si="151"/>
        <v>0.30616660202718654</v>
      </c>
      <c r="M761" s="39">
        <f t="shared" si="151"/>
        <v>0.43302803464700057</v>
      </c>
      <c r="N761" s="39">
        <f t="shared" si="151"/>
        <v>0.56465555640782705</v>
      </c>
      <c r="O761" s="39">
        <f t="shared" si="151"/>
        <v>0.68737300093536102</v>
      </c>
      <c r="P761" s="39">
        <f t="shared" si="151"/>
        <v>0.79071688093772785</v>
      </c>
      <c r="Q761" s="39">
        <f t="shared" si="151"/>
        <v>0.8696730356246577</v>
      </c>
      <c r="R761" s="39">
        <f t="shared" si="151"/>
        <v>0.92460296536930409</v>
      </c>
      <c r="S761" s="39">
        <f t="shared" si="151"/>
        <v>0.95950886492573584</v>
      </c>
      <c r="T761" s="39">
        <f t="shared" si="151"/>
        <v>0.97982236041448934</v>
      </c>
      <c r="U761" s="39">
        <f t="shared" si="151"/>
        <v>0.99067186288729769</v>
      </c>
      <c r="V761" s="39">
        <f t="shared" si="151"/>
        <v>0.99599974356590903</v>
      </c>
      <c r="W761" s="37">
        <v>0.24199999999999999</v>
      </c>
    </row>
    <row r="762" spans="2:23" x14ac:dyDescent="0.25">
      <c r="B762" s="39">
        <f t="shared" si="150"/>
        <v>9.6206588087725484E-7</v>
      </c>
      <c r="C762" s="39">
        <f t="shared" si="150"/>
        <v>1.6407159599537698E-5</v>
      </c>
      <c r="D762" s="39">
        <f t="shared" si="150"/>
        <v>1.377905330677067E-4</v>
      </c>
      <c r="E762" s="39">
        <f t="shared" si="150"/>
        <v>7.6018882881761693E-4</v>
      </c>
      <c r="F762" s="39">
        <f t="shared" si="150"/>
        <v>3.1016227501470591E-3</v>
      </c>
      <c r="G762" s="39">
        <f t="shared" si="150"/>
        <v>9.9918192918513997E-3</v>
      </c>
      <c r="H762" s="39">
        <f t="shared" si="150"/>
        <v>2.6505382003209198E-2</v>
      </c>
      <c r="I762" s="39">
        <f t="shared" si="150"/>
        <v>5.9643599854137391E-2</v>
      </c>
      <c r="J762" s="39">
        <f t="shared" si="150"/>
        <v>0.11645388528020671</v>
      </c>
      <c r="K762" s="39">
        <f t="shared" si="150"/>
        <v>0.20093089331186512</v>
      </c>
      <c r="L762" s="39">
        <f t="shared" si="151"/>
        <v>0.31118946573242384</v>
      </c>
      <c r="M762" s="39">
        <f t="shared" si="151"/>
        <v>0.43870252457840797</v>
      </c>
      <c r="N762" s="39">
        <f t="shared" si="151"/>
        <v>0.57037585500075916</v>
      </c>
      <c r="O762" s="39">
        <f t="shared" si="151"/>
        <v>0.6925508858139644</v>
      </c>
      <c r="P762" s="39">
        <f t="shared" si="151"/>
        <v>0.79494734267963496</v>
      </c>
      <c r="Q762" s="39">
        <f t="shared" si="151"/>
        <v>0.87280639974339336</v>
      </c>
      <c r="R762" s="39">
        <f t="shared" si="151"/>
        <v>0.92671451501343594</v>
      </c>
      <c r="S762" s="39">
        <f t="shared" si="151"/>
        <v>0.96080748703820285</v>
      </c>
      <c r="T762" s="39">
        <f t="shared" si="151"/>
        <v>0.9805530981287619</v>
      </c>
      <c r="U762" s="39">
        <f t="shared" si="151"/>
        <v>0.99104887512019579</v>
      </c>
      <c r="V762" s="39">
        <f t="shared" si="151"/>
        <v>0.99617839927239615</v>
      </c>
      <c r="W762" s="37">
        <v>0.24099999999999999</v>
      </c>
    </row>
    <row r="763" spans="2:23" x14ac:dyDescent="0.25">
      <c r="B763" s="39">
        <f t="shared" ref="B763:K772" si="152">_xlfn.HYPGEOM.DIST(B$2,comau,tongtheN*$W763,tongtheN,TRUE)</f>
        <v>1.030700319478334E-6</v>
      </c>
      <c r="C763" s="39">
        <f t="shared" si="152"/>
        <v>1.748336123635901E-5</v>
      </c>
      <c r="D763" s="39">
        <f t="shared" si="152"/>
        <v>1.4604801528312998E-4</v>
      </c>
      <c r="E763" s="39">
        <f t="shared" si="152"/>
        <v>8.0150823582245925E-4</v>
      </c>
      <c r="F763" s="39">
        <f t="shared" si="152"/>
        <v>3.2532469846218307E-3</v>
      </c>
      <c r="G763" s="39">
        <f t="shared" si="152"/>
        <v>1.0426844576473257E-2</v>
      </c>
      <c r="H763" s="39">
        <f t="shared" si="152"/>
        <v>2.7521410200587668E-2</v>
      </c>
      <c r="I763" s="39">
        <f t="shared" si="152"/>
        <v>6.1629476525880494E-2</v>
      </c>
      <c r="J763" s="39">
        <f t="shared" si="152"/>
        <v>0.11976804728915964</v>
      </c>
      <c r="K763" s="39">
        <f t="shared" si="152"/>
        <v>0.20572561158970609</v>
      </c>
      <c r="L763" s="39">
        <f t="shared" ref="L763:V772" si="153">_xlfn.HYPGEOM.DIST(L$2,comau,tongtheN*$W763,tongtheN,TRUE)</f>
        <v>0.31727441203446488</v>
      </c>
      <c r="M763" s="39">
        <f t="shared" si="153"/>
        <v>0.44554081881027635</v>
      </c>
      <c r="N763" s="39">
        <f t="shared" si="153"/>
        <v>0.57723317612395997</v>
      </c>
      <c r="O763" s="39">
        <f t="shared" si="153"/>
        <v>0.69872539228999275</v>
      </c>
      <c r="P763" s="39">
        <f t="shared" si="153"/>
        <v>0.79996557702542415</v>
      </c>
      <c r="Q763" s="39">
        <f t="shared" si="153"/>
        <v>0.87650371576604613</v>
      </c>
      <c r="R763" s="39">
        <f t="shared" si="153"/>
        <v>0.92919301417444378</v>
      </c>
      <c r="S763" s="39">
        <f t="shared" si="153"/>
        <v>0.9623237735692366</v>
      </c>
      <c r="T763" s="39">
        <f t="shared" si="153"/>
        <v>0.98140182946967958</v>
      </c>
      <c r="U763" s="39">
        <f t="shared" si="153"/>
        <v>0.99148446082759056</v>
      </c>
      <c r="V763" s="39">
        <f t="shared" si="153"/>
        <v>0.99638372518449603</v>
      </c>
      <c r="W763" s="37">
        <v>0.24</v>
      </c>
    </row>
    <row r="764" spans="2:23" x14ac:dyDescent="0.25">
      <c r="B764" s="39">
        <f t="shared" si="152"/>
        <v>1.1041264607204771E-6</v>
      </c>
      <c r="C764" s="39">
        <f t="shared" si="152"/>
        <v>1.8628125266761264E-5</v>
      </c>
      <c r="D764" s="39">
        <f t="shared" si="152"/>
        <v>1.5478139739150148E-4</v>
      </c>
      <c r="E764" s="39">
        <f t="shared" si="152"/>
        <v>8.4495927452151874E-4</v>
      </c>
      <c r="F764" s="39">
        <f t="shared" si="152"/>
        <v>3.4117818355271713E-3</v>
      </c>
      <c r="G764" s="39">
        <f t="shared" si="152"/>
        <v>1.0879095483983898E-2</v>
      </c>
      <c r="H764" s="39">
        <f t="shared" si="152"/>
        <v>2.8571625403997662E-2</v>
      </c>
      <c r="I764" s="39">
        <f t="shared" si="152"/>
        <v>6.3670420947766176E-2</v>
      </c>
      <c r="J764" s="39">
        <f t="shared" si="152"/>
        <v>0.12315459947145409</v>
      </c>
      <c r="K764" s="39">
        <f t="shared" si="152"/>
        <v>0.2105969806330589</v>
      </c>
      <c r="L764" s="39">
        <f t="shared" si="153"/>
        <v>0.32342118754799026</v>
      </c>
      <c r="M764" s="39">
        <f t="shared" si="153"/>
        <v>0.45240896947716591</v>
      </c>
      <c r="N764" s="39">
        <f t="shared" si="153"/>
        <v>0.58408090736508333</v>
      </c>
      <c r="O764" s="39">
        <f t="shared" si="153"/>
        <v>0.70485585728986422</v>
      </c>
      <c r="P764" s="39">
        <f t="shared" si="153"/>
        <v>0.80491939231964071</v>
      </c>
      <c r="Q764" s="39">
        <f t="shared" si="153"/>
        <v>0.88013258988154708</v>
      </c>
      <c r="R764" s="39">
        <f t="shared" si="153"/>
        <v>0.93161164351949721</v>
      </c>
      <c r="S764" s="39">
        <f t="shared" si="153"/>
        <v>0.96379491958805508</v>
      </c>
      <c r="T764" s="39">
        <f t="shared" si="153"/>
        <v>0.98222055334181058</v>
      </c>
      <c r="U764" s="39">
        <f t="shared" si="153"/>
        <v>0.99190222605800737</v>
      </c>
      <c r="V764" s="39">
        <f t="shared" si="153"/>
        <v>0.99657951614300233</v>
      </c>
      <c r="W764" s="37">
        <v>0.23899999999999999</v>
      </c>
    </row>
    <row r="765" spans="2:23" x14ac:dyDescent="0.25">
      <c r="B765" s="39">
        <f t="shared" si="152"/>
        <v>1.1826715458825528E-6</v>
      </c>
      <c r="C765" s="39">
        <f t="shared" si="152"/>
        <v>1.9845685926694964E-5</v>
      </c>
      <c r="D765" s="39">
        <f t="shared" si="152"/>
        <v>1.6401693510781487E-4</v>
      </c>
      <c r="E765" s="39">
        <f t="shared" si="152"/>
        <v>8.9064533871188007E-4</v>
      </c>
      <c r="F765" s="39">
        <f t="shared" si="152"/>
        <v>3.5775155847509242E-3</v>
      </c>
      <c r="G765" s="39">
        <f t="shared" si="152"/>
        <v>1.1349170359885535E-2</v>
      </c>
      <c r="H765" s="39">
        <f t="shared" si="152"/>
        <v>2.9656965984455382E-2</v>
      </c>
      <c r="I765" s="39">
        <f t="shared" si="152"/>
        <v>6.5767514595675869E-2</v>
      </c>
      <c r="J765" s="39">
        <f t="shared" si="152"/>
        <v>0.12661432846447948</v>
      </c>
      <c r="K765" s="39">
        <f t="shared" si="152"/>
        <v>0.21554500418786332</v>
      </c>
      <c r="L765" s="39">
        <f t="shared" si="153"/>
        <v>0.32962878074989566</v>
      </c>
      <c r="M765" s="39">
        <f t="shared" si="153"/>
        <v>0.45930516601813443</v>
      </c>
      <c r="N765" s="39">
        <f t="shared" si="153"/>
        <v>0.59091701972320942</v>
      </c>
      <c r="O765" s="39">
        <f t="shared" si="153"/>
        <v>0.710940671433274</v>
      </c>
      <c r="P765" s="39">
        <f t="shared" si="153"/>
        <v>0.80980798517838026</v>
      </c>
      <c r="Q765" s="39">
        <f t="shared" si="153"/>
        <v>0.88369303965407175</v>
      </c>
      <c r="R765" s="39">
        <f t="shared" si="153"/>
        <v>0.93397098019972835</v>
      </c>
      <c r="S765" s="39">
        <f t="shared" si="153"/>
        <v>0.96522171847466631</v>
      </c>
      <c r="T765" s="39">
        <f t="shared" si="153"/>
        <v>0.9830100122859835</v>
      </c>
      <c r="U765" s="39">
        <f t="shared" si="153"/>
        <v>0.99230273132909252</v>
      </c>
      <c r="V765" s="39">
        <f t="shared" si="153"/>
        <v>0.9967661331229819</v>
      </c>
      <c r="W765" s="37">
        <v>0.23799999999999999</v>
      </c>
    </row>
    <row r="766" spans="2:23" x14ac:dyDescent="0.25">
      <c r="B766" s="39">
        <f t="shared" si="152"/>
        <v>1.2522872520409856E-6</v>
      </c>
      <c r="C766" s="39">
        <f t="shared" si="152"/>
        <v>2.091915763934816E-5</v>
      </c>
      <c r="D766" s="39">
        <f t="shared" si="152"/>
        <v>1.7211670084107698E-4</v>
      </c>
      <c r="E766" s="39">
        <f t="shared" si="152"/>
        <v>9.3050217149944154E-4</v>
      </c>
      <c r="F766" s="39">
        <f t="shared" si="152"/>
        <v>3.7213415347718192E-3</v>
      </c>
      <c r="G766" s="39">
        <f t="shared" si="152"/>
        <v>1.1754958249117814E-2</v>
      </c>
      <c r="H766" s="39">
        <f t="shared" si="152"/>
        <v>3.0588936800263096E-2</v>
      </c>
      <c r="I766" s="39">
        <f t="shared" si="152"/>
        <v>6.7558767093867808E-2</v>
      </c>
      <c r="J766" s="39">
        <f t="shared" si="152"/>
        <v>0.12955388798652656</v>
      </c>
      <c r="K766" s="39">
        <f t="shared" si="152"/>
        <v>0.21972688457525116</v>
      </c>
      <c r="L766" s="39">
        <f t="shared" si="153"/>
        <v>0.33484746766857137</v>
      </c>
      <c r="M766" s="39">
        <f t="shared" si="153"/>
        <v>0.46507209022549156</v>
      </c>
      <c r="N766" s="39">
        <f t="shared" si="153"/>
        <v>0.59660343921288517</v>
      </c>
      <c r="O766" s="39">
        <f t="shared" si="153"/>
        <v>0.71597533641535005</v>
      </c>
      <c r="P766" s="39">
        <f t="shared" si="153"/>
        <v>0.81383144019887887</v>
      </c>
      <c r="Q766" s="39">
        <f t="shared" si="153"/>
        <v>0.88660785219906213</v>
      </c>
      <c r="R766" s="39">
        <f t="shared" si="153"/>
        <v>0.93589223352108053</v>
      </c>
      <c r="S766" s="39">
        <f t="shared" si="153"/>
        <v>0.96637741784397868</v>
      </c>
      <c r="T766" s="39">
        <f t="shared" si="153"/>
        <v>0.98364607146161054</v>
      </c>
      <c r="U766" s="39">
        <f t="shared" si="153"/>
        <v>0.99262369843002407</v>
      </c>
      <c r="V766" s="39">
        <f t="shared" si="153"/>
        <v>0.99691489313377912</v>
      </c>
      <c r="W766" s="37">
        <v>0.23699999999999999</v>
      </c>
    </row>
    <row r="767" spans="2:23" x14ac:dyDescent="0.25">
      <c r="B767" s="39">
        <f t="shared" si="152"/>
        <v>1.3411404892676063E-6</v>
      </c>
      <c r="C767" s="39">
        <f t="shared" si="152"/>
        <v>2.2282025281505718E-5</v>
      </c>
      <c r="D767" s="39">
        <f t="shared" si="152"/>
        <v>1.8234566844035934E-4</v>
      </c>
      <c r="E767" s="39">
        <f t="shared" si="152"/>
        <v>9.8056986824654924E-4</v>
      </c>
      <c r="F767" s="39">
        <f t="shared" si="152"/>
        <v>3.901057548342874E-3</v>
      </c>
      <c r="G767" s="39">
        <f t="shared" si="152"/>
        <v>1.2259320431283333E-2</v>
      </c>
      <c r="H767" s="39">
        <f t="shared" si="152"/>
        <v>3.1741165969788494E-2</v>
      </c>
      <c r="I767" s="39">
        <f t="shared" si="152"/>
        <v>6.976162097034512E-2</v>
      </c>
      <c r="J767" s="39">
        <f t="shared" si="152"/>
        <v>0.1331497471589447</v>
      </c>
      <c r="K767" s="39">
        <f t="shared" si="152"/>
        <v>0.22481530239599903</v>
      </c>
      <c r="L767" s="39">
        <f t="shared" si="153"/>
        <v>0.34116376183998992</v>
      </c>
      <c r="M767" s="39">
        <f t="shared" si="153"/>
        <v>0.472014887737638</v>
      </c>
      <c r="N767" s="39">
        <f t="shared" si="153"/>
        <v>0.60341297493798951</v>
      </c>
      <c r="O767" s="39">
        <f t="shared" si="153"/>
        <v>0.72197237355261668</v>
      </c>
      <c r="P767" s="39">
        <f t="shared" si="153"/>
        <v>0.81859851607541956</v>
      </c>
      <c r="Q767" s="39">
        <f t="shared" si="153"/>
        <v>0.89004303216735492</v>
      </c>
      <c r="R767" s="39">
        <f t="shared" si="153"/>
        <v>0.93814444227930849</v>
      </c>
      <c r="S767" s="39">
        <f t="shared" si="153"/>
        <v>0.9677249937277026</v>
      </c>
      <c r="T767" s="39">
        <f t="shared" si="153"/>
        <v>0.98438378781687341</v>
      </c>
      <c r="U767" s="39">
        <f t="shared" si="153"/>
        <v>0.99299398259301586</v>
      </c>
      <c r="V767" s="39">
        <f t="shared" si="153"/>
        <v>0.99708559675669928</v>
      </c>
      <c r="W767" s="37">
        <v>0.23599999999999999</v>
      </c>
    </row>
    <row r="768" spans="2:23" x14ac:dyDescent="0.25">
      <c r="B768" s="39">
        <f t="shared" si="152"/>
        <v>1.4361633175302862E-6</v>
      </c>
      <c r="C768" s="39">
        <f t="shared" si="152"/>
        <v>2.373110865043561E-5</v>
      </c>
      <c r="D768" s="39">
        <f t="shared" si="152"/>
        <v>1.9315889300802668E-4</v>
      </c>
      <c r="E768" s="39">
        <f t="shared" si="152"/>
        <v>1.0331914007374343E-3</v>
      </c>
      <c r="F768" s="39">
        <f t="shared" si="152"/>
        <v>4.0888481458848892E-3</v>
      </c>
      <c r="G768" s="39">
        <f t="shared" si="152"/>
        <v>1.2783294142386938E-2</v>
      </c>
      <c r="H768" s="39">
        <f t="shared" si="152"/>
        <v>3.2931268803314373E-2</v>
      </c>
      <c r="I768" s="39">
        <f t="shared" si="152"/>
        <v>7.2023704705337629E-2</v>
      </c>
      <c r="J768" s="39">
        <f t="shared" si="152"/>
        <v>0.13682089391896685</v>
      </c>
      <c r="K768" s="39">
        <f t="shared" si="152"/>
        <v>0.22998013963054256</v>
      </c>
      <c r="L768" s="39">
        <f t="shared" si="153"/>
        <v>0.34753772784026449</v>
      </c>
      <c r="M768" s="39">
        <f t="shared" si="153"/>
        <v>0.47898041709703626</v>
      </c>
      <c r="N768" s="39">
        <f t="shared" si="153"/>
        <v>0.61020513757587136</v>
      </c>
      <c r="O768" s="39">
        <f t="shared" si="153"/>
        <v>0.72791936026296855</v>
      </c>
      <c r="P768" s="39">
        <f t="shared" si="153"/>
        <v>0.82329832993874397</v>
      </c>
      <c r="Q768" s="39">
        <f t="shared" si="153"/>
        <v>0.89341004799069701</v>
      </c>
      <c r="R768" s="39">
        <f t="shared" si="153"/>
        <v>0.94033911658222902</v>
      </c>
      <c r="S768" s="39">
        <f t="shared" si="153"/>
        <v>0.96903050053263839</v>
      </c>
      <c r="T768" s="39">
        <f t="shared" si="153"/>
        <v>0.98509431139599568</v>
      </c>
      <c r="U768" s="39">
        <f t="shared" si="153"/>
        <v>0.99334853961476999</v>
      </c>
      <c r="V768" s="39">
        <f t="shared" si="153"/>
        <v>0.99724809709004369</v>
      </c>
      <c r="W768" s="37">
        <v>0.23499999999999999</v>
      </c>
    </row>
    <row r="769" spans="2:23" x14ac:dyDescent="0.25">
      <c r="B769" s="39">
        <f t="shared" si="152"/>
        <v>1.5377747939867543E-6</v>
      </c>
      <c r="C769" s="39">
        <f t="shared" si="152"/>
        <v>2.5271693070768676E-5</v>
      </c>
      <c r="D769" s="39">
        <f t="shared" si="152"/>
        <v>2.0458829197443599E-4</v>
      </c>
      <c r="E769" s="39">
        <f t="shared" si="152"/>
        <v>1.0884890184540399E-3</v>
      </c>
      <c r="F769" s="39">
        <f t="shared" si="152"/>
        <v>4.2850441914750919E-3</v>
      </c>
      <c r="G769" s="39">
        <f t="shared" si="152"/>
        <v>1.3327543711807048E-2</v>
      </c>
      <c r="H769" s="39">
        <f t="shared" si="152"/>
        <v>3.4160246460787684E-2</v>
      </c>
      <c r="I769" s="39">
        <f t="shared" si="152"/>
        <v>7.4346108795301541E-2</v>
      </c>
      <c r="J769" s="39">
        <f t="shared" si="152"/>
        <v>0.14056802751372549</v>
      </c>
      <c r="K769" s="39">
        <f t="shared" si="152"/>
        <v>0.2352212233352583</v>
      </c>
      <c r="L769" s="39">
        <f t="shared" si="153"/>
        <v>0.35396815654838393</v>
      </c>
      <c r="M769" s="39">
        <f t="shared" si="153"/>
        <v>0.48596674141486551</v>
      </c>
      <c r="N769" s="39">
        <f t="shared" si="153"/>
        <v>0.61697789968144257</v>
      </c>
      <c r="O769" s="39">
        <f t="shared" si="153"/>
        <v>0.733814804539903</v>
      </c>
      <c r="P769" s="39">
        <f t="shared" si="153"/>
        <v>0.82793024673631133</v>
      </c>
      <c r="Q769" s="39">
        <f t="shared" si="153"/>
        <v>0.89670906429760311</v>
      </c>
      <c r="R769" s="39">
        <f t="shared" si="153"/>
        <v>0.94247691763686026</v>
      </c>
      <c r="S769" s="39">
        <f t="shared" si="153"/>
        <v>0.97029475046729208</v>
      </c>
      <c r="T769" s="39">
        <f t="shared" si="153"/>
        <v>0.98577836096266747</v>
      </c>
      <c r="U769" s="39">
        <f t="shared" si="153"/>
        <v>0.99368789061138818</v>
      </c>
      <c r="V769" s="39">
        <f t="shared" si="153"/>
        <v>0.99740271860953744</v>
      </c>
      <c r="W769" s="37">
        <v>0.23400000000000001</v>
      </c>
    </row>
    <row r="770" spans="2:23" x14ac:dyDescent="0.25">
      <c r="B770" s="39">
        <f t="shared" si="152"/>
        <v>1.6278055498384491E-6</v>
      </c>
      <c r="C770" s="39">
        <f t="shared" si="152"/>
        <v>2.6629439280774376E-5</v>
      </c>
      <c r="D770" s="39">
        <f t="shared" si="152"/>
        <v>2.1460764999182882E-4</v>
      </c>
      <c r="E770" s="39">
        <f t="shared" si="152"/>
        <v>1.1367065272246551E-3</v>
      </c>
      <c r="F770" s="39">
        <f t="shared" si="152"/>
        <v>4.4552086579745624E-3</v>
      </c>
      <c r="G770" s="39">
        <f t="shared" si="152"/>
        <v>1.3797065158953062E-2</v>
      </c>
      <c r="H770" s="39">
        <f t="shared" si="152"/>
        <v>3.5214823894918104E-2</v>
      </c>
      <c r="I770" s="39">
        <f t="shared" si="152"/>
        <v>7.6328310513705505E-2</v>
      </c>
      <c r="J770" s="39">
        <f t="shared" si="152"/>
        <v>0.14374917084928696</v>
      </c>
      <c r="K770" s="39">
        <f t="shared" si="152"/>
        <v>0.23964687858688324</v>
      </c>
      <c r="L770" s="39">
        <f t="shared" si="153"/>
        <v>0.35936907048371403</v>
      </c>
      <c r="M770" s="39">
        <f t="shared" si="153"/>
        <v>0.49180314525112939</v>
      </c>
      <c r="N770" s="39">
        <f t="shared" si="153"/>
        <v>0.62260558870724259</v>
      </c>
      <c r="O770" s="39">
        <f t="shared" si="153"/>
        <v>0.73868724903015137</v>
      </c>
      <c r="P770" s="39">
        <f t="shared" si="153"/>
        <v>0.83173788438591578</v>
      </c>
      <c r="Q770" s="39">
        <f t="shared" si="153"/>
        <v>0.89940644492644239</v>
      </c>
      <c r="R770" s="39">
        <f t="shared" si="153"/>
        <v>0.9442154643862618</v>
      </c>
      <c r="S770" s="39">
        <f t="shared" si="153"/>
        <v>0.97131736448798445</v>
      </c>
      <c r="T770" s="39">
        <f t="shared" si="153"/>
        <v>0.98632869261450296</v>
      </c>
      <c r="U770" s="39">
        <f t="shared" si="153"/>
        <v>0.9939594360812859</v>
      </c>
      <c r="V770" s="39">
        <f t="shared" si="153"/>
        <v>0.99752577899691608</v>
      </c>
      <c r="W770" s="37">
        <v>0.23300000000000001</v>
      </c>
    </row>
    <row r="771" spans="2:23" x14ac:dyDescent="0.25">
      <c r="B771" s="39">
        <f t="shared" si="152"/>
        <v>1.7426782091951967E-6</v>
      </c>
      <c r="C771" s="39">
        <f t="shared" si="152"/>
        <v>2.8352554473402399E-5</v>
      </c>
      <c r="D771" s="39">
        <f t="shared" si="152"/>
        <v>2.2725515092922018E-4</v>
      </c>
      <c r="E771" s="39">
        <f t="shared" si="152"/>
        <v>1.1972458952891007E-3</v>
      </c>
      <c r="F771" s="39">
        <f t="shared" si="152"/>
        <v>4.6677138072883989E-3</v>
      </c>
      <c r="G771" s="39">
        <f t="shared" si="152"/>
        <v>1.438027206506903E-2</v>
      </c>
      <c r="H771" s="39">
        <f t="shared" si="152"/>
        <v>3.6517725178285679E-2</v>
      </c>
      <c r="I771" s="39">
        <f t="shared" si="152"/>
        <v>7.8764134332431193E-2</v>
      </c>
      <c r="J771" s="39">
        <f t="shared" si="152"/>
        <v>0.14763734241468787</v>
      </c>
      <c r="K771" s="39">
        <f t="shared" si="152"/>
        <v>0.24502713642429977</v>
      </c>
      <c r="L771" s="39">
        <f t="shared" si="153"/>
        <v>0.36589970319510817</v>
      </c>
      <c r="M771" s="39">
        <f t="shared" si="153"/>
        <v>0.49882246453169943</v>
      </c>
      <c r="N771" s="39">
        <f t="shared" si="153"/>
        <v>0.6293375340190599</v>
      </c>
      <c r="O771" s="39">
        <f t="shared" si="153"/>
        <v>0.74448443692231192</v>
      </c>
      <c r="P771" s="39">
        <f t="shared" si="153"/>
        <v>0.83624382266953168</v>
      </c>
      <c r="Q771" s="39">
        <f t="shared" si="153"/>
        <v>0.90258134580809679</v>
      </c>
      <c r="R771" s="39">
        <f t="shared" si="153"/>
        <v>0.94625078007313945</v>
      </c>
      <c r="S771" s="39">
        <f t="shared" si="153"/>
        <v>0.97250809580555719</v>
      </c>
      <c r="T771" s="39">
        <f t="shared" si="153"/>
        <v>0.98696604895059725</v>
      </c>
      <c r="U771" s="39">
        <f t="shared" si="153"/>
        <v>0.99427222784942693</v>
      </c>
      <c r="V771" s="39">
        <f t="shared" si="153"/>
        <v>0.99766676796141673</v>
      </c>
      <c r="W771" s="37">
        <v>0.23200000000000001</v>
      </c>
    </row>
    <row r="772" spans="2:23" x14ac:dyDescent="0.25">
      <c r="B772" s="39">
        <f t="shared" si="152"/>
        <v>1.8654840601144775E-6</v>
      </c>
      <c r="C772" s="39">
        <f t="shared" si="152"/>
        <v>3.0183906551131427E-5</v>
      </c>
      <c r="D772" s="39">
        <f t="shared" si="152"/>
        <v>2.4061852385324971E-4</v>
      </c>
      <c r="E772" s="39">
        <f t="shared" si="152"/>
        <v>1.2608377902263122E-3</v>
      </c>
      <c r="F772" s="39">
        <f t="shared" si="152"/>
        <v>4.889627722408957E-3</v>
      </c>
      <c r="G772" s="39">
        <f t="shared" si="152"/>
        <v>1.4985735062440516E-2</v>
      </c>
      <c r="H772" s="39">
        <f t="shared" si="152"/>
        <v>3.7862423942963214E-2</v>
      </c>
      <c r="I772" s="39">
        <f t="shared" si="152"/>
        <v>8.126336640096754E-2</v>
      </c>
      <c r="J772" s="39">
        <f t="shared" si="152"/>
        <v>0.1516033361122831</v>
      </c>
      <c r="K772" s="39">
        <f t="shared" si="152"/>
        <v>0.25048288369827171</v>
      </c>
      <c r="L772" s="39">
        <f t="shared" si="153"/>
        <v>0.37248309399319107</v>
      </c>
      <c r="M772" s="39">
        <f t="shared" si="153"/>
        <v>0.50585693253300812</v>
      </c>
      <c r="N772" s="39">
        <f t="shared" si="153"/>
        <v>0.63604436537391962</v>
      </c>
      <c r="O772" s="39">
        <f t="shared" si="153"/>
        <v>0.75022604292785366</v>
      </c>
      <c r="P772" s="39">
        <f t="shared" si="153"/>
        <v>0.84068030862191712</v>
      </c>
      <c r="Q772" s="39">
        <f t="shared" si="153"/>
        <v>0.9056889132162329</v>
      </c>
      <c r="R772" s="39">
        <f t="shared" si="153"/>
        <v>0.94823120020779506</v>
      </c>
      <c r="S772" s="39">
        <f t="shared" si="153"/>
        <v>0.97365988538684256</v>
      </c>
      <c r="T772" s="39">
        <f t="shared" si="153"/>
        <v>0.98757892710379924</v>
      </c>
      <c r="U772" s="39">
        <f t="shared" si="153"/>
        <v>0.99457123271583736</v>
      </c>
      <c r="V772" s="39">
        <f t="shared" si="153"/>
        <v>0.99780074729513335</v>
      </c>
      <c r="W772" s="37">
        <v>0.23100000000000001</v>
      </c>
    </row>
    <row r="773" spans="2:23" x14ac:dyDescent="0.25">
      <c r="B773" s="39">
        <f t="shared" ref="B773:K782" si="154">_xlfn.HYPGEOM.DIST(B$2,comau,tongtheN*$W773,tongtheN,TRUE)</f>
        <v>1.996759042695436E-6</v>
      </c>
      <c r="C773" s="39">
        <f t="shared" si="154"/>
        <v>3.2130081725741652E-5</v>
      </c>
      <c r="D773" s="39">
        <f t="shared" si="154"/>
        <v>2.5473648600555208E-4</v>
      </c>
      <c r="E773" s="39">
        <f t="shared" si="154"/>
        <v>1.3276263689279172E-3</v>
      </c>
      <c r="F773" s="39">
        <f t="shared" si="154"/>
        <v>5.1213288493227559E-3</v>
      </c>
      <c r="G773" s="39">
        <f t="shared" si="154"/>
        <v>1.561418842709582E-2</v>
      </c>
      <c r="H773" s="39">
        <f t="shared" si="154"/>
        <v>3.9249981332659549E-2</v>
      </c>
      <c r="I773" s="39">
        <f t="shared" si="154"/>
        <v>8.3827092897306235E-2</v>
      </c>
      <c r="J773" s="39">
        <f t="shared" si="154"/>
        <v>0.15564774393252281</v>
      </c>
      <c r="K773" s="39">
        <f t="shared" si="154"/>
        <v>0.25601375604312754</v>
      </c>
      <c r="L773" s="39">
        <f t="shared" ref="L773:V782" si="155">_xlfn.HYPGEOM.DIST(L$2,comau,tongtheN*$W773,tongtheN,TRUE)</f>
        <v>0.37911783763984946</v>
      </c>
      <c r="M773" s="39">
        <f t="shared" si="155"/>
        <v>0.51290450482967875</v>
      </c>
      <c r="N773" s="39">
        <f t="shared" si="155"/>
        <v>0.64272408270610093</v>
      </c>
      <c r="O773" s="39">
        <f t="shared" si="155"/>
        <v>0.75591071148613864</v>
      </c>
      <c r="P773" s="39">
        <f t="shared" si="155"/>
        <v>0.84504688012924112</v>
      </c>
      <c r="Q773" s="39">
        <f t="shared" si="155"/>
        <v>0.90872945075109879</v>
      </c>
      <c r="R773" s="39">
        <f t="shared" si="155"/>
        <v>0.95015745675297358</v>
      </c>
      <c r="S773" s="39">
        <f t="shared" si="155"/>
        <v>0.97477355292022461</v>
      </c>
      <c r="T773" s="39">
        <f t="shared" si="155"/>
        <v>0.98816801595836123</v>
      </c>
      <c r="U773" s="39">
        <f t="shared" si="155"/>
        <v>0.99485693111390405</v>
      </c>
      <c r="V773" s="39">
        <f t="shared" si="155"/>
        <v>0.99792800640294133</v>
      </c>
      <c r="W773" s="37">
        <v>0.23</v>
      </c>
    </row>
    <row r="774" spans="2:23" x14ac:dyDescent="0.25">
      <c r="B774" s="39">
        <f t="shared" si="154"/>
        <v>2.137074499535995E-6</v>
      </c>
      <c r="C774" s="39">
        <f t="shared" si="154"/>
        <v>3.4198053399535709E-5</v>
      </c>
      <c r="D774" s="39">
        <f t="shared" si="154"/>
        <v>2.6964974083639961E-4</v>
      </c>
      <c r="E774" s="39">
        <f t="shared" si="154"/>
        <v>1.3977620549950158E-3</v>
      </c>
      <c r="F774" s="39">
        <f t="shared" si="154"/>
        <v>5.3632089096971591E-3</v>
      </c>
      <c r="G774" s="39">
        <f t="shared" si="154"/>
        <v>1.6266385284284965E-2</v>
      </c>
      <c r="H774" s="39">
        <f t="shared" si="154"/>
        <v>4.0681473485049136E-2</v>
      </c>
      <c r="I774" s="39">
        <f t="shared" si="154"/>
        <v>8.6456396427041504E-2</v>
      </c>
      <c r="J774" s="39">
        <f t="shared" si="154"/>
        <v>0.15977112651719033</v>
      </c>
      <c r="K774" s="39">
        <f t="shared" si="154"/>
        <v>0.26161933693761169</v>
      </c>
      <c r="L774" s="39">
        <f t="shared" si="155"/>
        <v>0.38580247840596182</v>
      </c>
      <c r="M774" s="39">
        <f t="shared" si="155"/>
        <v>0.51996311240263837</v>
      </c>
      <c r="N774" s="39">
        <f t="shared" si="155"/>
        <v>0.64937469740827747</v>
      </c>
      <c r="O774" s="39">
        <f t="shared" si="155"/>
        <v>0.76153712552656216</v>
      </c>
      <c r="P774" s="39">
        <f t="shared" si="155"/>
        <v>0.8493431205939852</v>
      </c>
      <c r="Q774" s="39">
        <f t="shared" si="155"/>
        <v>0.91170329668268657</v>
      </c>
      <c r="R774" s="39">
        <f t="shared" si="155"/>
        <v>0.95203029788264537</v>
      </c>
      <c r="S774" s="39">
        <f t="shared" si="155"/>
        <v>0.97584991826503231</v>
      </c>
      <c r="T774" s="39">
        <f t="shared" si="155"/>
        <v>0.98873399572996745</v>
      </c>
      <c r="U774" s="39">
        <f t="shared" si="155"/>
        <v>0.99512979275164704</v>
      </c>
      <c r="V774" s="39">
        <f t="shared" si="155"/>
        <v>0.99804882582043164</v>
      </c>
      <c r="W774" s="37">
        <v>0.22900000000000001</v>
      </c>
    </row>
    <row r="775" spans="2:23" x14ac:dyDescent="0.25">
      <c r="B775" s="39">
        <f t="shared" si="154"/>
        <v>2.2613481620848543E-6</v>
      </c>
      <c r="C775" s="39">
        <f t="shared" si="154"/>
        <v>3.6019715407932265E-5</v>
      </c>
      <c r="D775" s="39">
        <f t="shared" si="154"/>
        <v>2.8271577100721441E-4</v>
      </c>
      <c r="E775" s="39">
        <f t="shared" si="154"/>
        <v>1.4588782963626849E-3</v>
      </c>
      <c r="F775" s="39">
        <f t="shared" si="154"/>
        <v>5.572843233058203E-3</v>
      </c>
      <c r="G775" s="39">
        <f t="shared" si="154"/>
        <v>1.6828576585397437E-2</v>
      </c>
      <c r="H775" s="39">
        <f t="shared" si="154"/>
        <v>4.1908731416670675E-2</v>
      </c>
      <c r="I775" s="39">
        <f t="shared" si="154"/>
        <v>8.8698354122413114E-2</v>
      </c>
      <c r="J775" s="39">
        <f t="shared" si="154"/>
        <v>0.16326798847147764</v>
      </c>
      <c r="K775" s="39">
        <f t="shared" si="154"/>
        <v>0.26634738625164633</v>
      </c>
      <c r="L775" s="39">
        <f t="shared" si="155"/>
        <v>0.39141004335432178</v>
      </c>
      <c r="M775" s="39">
        <f t="shared" si="155"/>
        <v>0.52585220642754027</v>
      </c>
      <c r="N775" s="39">
        <f t="shared" si="155"/>
        <v>0.65489321959034497</v>
      </c>
      <c r="O775" s="39">
        <f t="shared" si="155"/>
        <v>0.76618038107551989</v>
      </c>
      <c r="P775" s="39">
        <f t="shared" si="155"/>
        <v>0.85286932683919214</v>
      </c>
      <c r="Q775" s="39">
        <f t="shared" si="155"/>
        <v>0.91413082418520764</v>
      </c>
      <c r="R775" s="39">
        <f t="shared" si="155"/>
        <v>0.95355074573237408</v>
      </c>
      <c r="S775" s="39">
        <f t="shared" si="155"/>
        <v>0.97671898579043226</v>
      </c>
      <c r="T775" s="39">
        <f t="shared" si="155"/>
        <v>0.98918847729896997</v>
      </c>
      <c r="U775" s="39">
        <f t="shared" si="155"/>
        <v>0.99534770303284725</v>
      </c>
      <c r="V775" s="39">
        <f t="shared" si="155"/>
        <v>0.99814478580531907</v>
      </c>
      <c r="W775" s="37">
        <v>0.22800000000000001</v>
      </c>
    </row>
    <row r="776" spans="2:23" x14ac:dyDescent="0.25">
      <c r="B776" s="39">
        <f t="shared" si="154"/>
        <v>2.4198484764222703E-6</v>
      </c>
      <c r="C776" s="39">
        <f t="shared" si="154"/>
        <v>3.8330465757569598E-5</v>
      </c>
      <c r="D776" s="39">
        <f t="shared" si="154"/>
        <v>2.9919975597269167E-4</v>
      </c>
      <c r="E776" s="39">
        <f t="shared" si="154"/>
        <v>1.5355628061734627E-3</v>
      </c>
      <c r="F776" s="39">
        <f t="shared" si="154"/>
        <v>5.8344475955195169E-3</v>
      </c>
      <c r="G776" s="39">
        <f t="shared" si="154"/>
        <v>1.7526322689789854E-2</v>
      </c>
      <c r="H776" s="39">
        <f t="shared" si="154"/>
        <v>4.3423614022236989E-2</v>
      </c>
      <c r="I776" s="39">
        <f t="shared" si="154"/>
        <v>9.145067775773405E-2</v>
      </c>
      <c r="J776" s="39">
        <f t="shared" si="154"/>
        <v>0.16753750451789792</v>
      </c>
      <c r="K776" s="39">
        <f t="shared" si="154"/>
        <v>0.27208867454696312</v>
      </c>
      <c r="L776" s="39">
        <f t="shared" si="155"/>
        <v>0.39818221541150411</v>
      </c>
      <c r="M776" s="39">
        <f t="shared" si="155"/>
        <v>0.53292559618592694</v>
      </c>
      <c r="N776" s="39">
        <f t="shared" si="155"/>
        <v>0.66148535983675827</v>
      </c>
      <c r="O776" s="39">
        <f t="shared" si="155"/>
        <v>0.77169670664818801</v>
      </c>
      <c r="P776" s="39">
        <f t="shared" si="155"/>
        <v>0.85703569634550103</v>
      </c>
      <c r="Q776" s="39">
        <f t="shared" si="155"/>
        <v>0.91698339288564501</v>
      </c>
      <c r="R776" s="39">
        <f t="shared" si="155"/>
        <v>0.95532765180304946</v>
      </c>
      <c r="S776" s="39">
        <f t="shared" si="155"/>
        <v>0.97772909088118021</v>
      </c>
      <c r="T776" s="39">
        <f t="shared" si="155"/>
        <v>0.98971382703053734</v>
      </c>
      <c r="U776" s="39">
        <f t="shared" si="155"/>
        <v>0.99559821487764355</v>
      </c>
      <c r="V776" s="39">
        <f t="shared" si="155"/>
        <v>0.99825449881327988</v>
      </c>
      <c r="W776" s="37">
        <v>0.22700000000000001</v>
      </c>
    </row>
    <row r="777" spans="2:23" x14ac:dyDescent="0.25">
      <c r="B777" s="39">
        <f t="shared" si="154"/>
        <v>2.5892209057337673E-6</v>
      </c>
      <c r="C777" s="39">
        <f t="shared" si="154"/>
        <v>4.0785069753063924E-5</v>
      </c>
      <c r="D777" s="39">
        <f t="shared" si="154"/>
        <v>3.1660599954106252E-4</v>
      </c>
      <c r="E777" s="39">
        <f t="shared" si="154"/>
        <v>1.6160568125853155E-3</v>
      </c>
      <c r="F777" s="39">
        <f t="shared" si="154"/>
        <v>6.1074161020322681E-3</v>
      </c>
      <c r="G777" s="39">
        <f t="shared" si="154"/>
        <v>1.8250050489820254E-2</v>
      </c>
      <c r="H777" s="39">
        <f t="shared" si="154"/>
        <v>4.4985558866281833E-2</v>
      </c>
      <c r="I777" s="39">
        <f t="shared" si="154"/>
        <v>9.4271616786928025E-2</v>
      </c>
      <c r="J777" s="39">
        <f t="shared" si="154"/>
        <v>0.17188740115658885</v>
      </c>
      <c r="K777" s="39">
        <f t="shared" si="154"/>
        <v>0.27790320072235425</v>
      </c>
      <c r="L777" s="39">
        <f t="shared" si="155"/>
        <v>0.40499988960476113</v>
      </c>
      <c r="M777" s="39">
        <f t="shared" si="155"/>
        <v>0.54000403901883387</v>
      </c>
      <c r="N777" s="39">
        <f t="shared" si="155"/>
        <v>0.66804284098629996</v>
      </c>
      <c r="O777" s="39">
        <f t="shared" si="155"/>
        <v>0.77715126467070372</v>
      </c>
      <c r="P777" s="39">
        <f t="shared" si="155"/>
        <v>0.86113080199528413</v>
      </c>
      <c r="Q777" s="39">
        <f t="shared" si="155"/>
        <v>0.91977041025770678</v>
      </c>
      <c r="R777" s="39">
        <f t="shared" si="155"/>
        <v>0.95705334208613924</v>
      </c>
      <c r="S777" s="39">
        <f t="shared" si="155"/>
        <v>0.97870421150648879</v>
      </c>
      <c r="T777" s="39">
        <f t="shared" si="155"/>
        <v>0.99021794511283356</v>
      </c>
      <c r="U777" s="39">
        <f t="shared" si="155"/>
        <v>0.99583716242646703</v>
      </c>
      <c r="V777" s="39">
        <f t="shared" si="155"/>
        <v>0.99835851994243219</v>
      </c>
      <c r="W777" s="37">
        <v>0.22600000000000001</v>
      </c>
    </row>
    <row r="778" spans="2:23" x14ac:dyDescent="0.25">
      <c r="B778" s="39">
        <f t="shared" si="154"/>
        <v>2.7701949731667309E-6</v>
      </c>
      <c r="C778" s="39">
        <f t="shared" si="154"/>
        <v>4.3392198653004745E-5</v>
      </c>
      <c r="D778" s="39">
        <f t="shared" si="154"/>
        <v>3.3498374203582364E-4</v>
      </c>
      <c r="E778" s="39">
        <f t="shared" si="154"/>
        <v>1.7005370815965312E-3</v>
      </c>
      <c r="F778" s="39">
        <f t="shared" si="154"/>
        <v>6.3921948155655408E-3</v>
      </c>
      <c r="G778" s="39">
        <f t="shared" si="154"/>
        <v>1.9000587419917597E-2</v>
      </c>
      <c r="H778" s="39">
        <f t="shared" si="154"/>
        <v>4.6595696233579231E-2</v>
      </c>
      <c r="I778" s="39">
        <f t="shared" si="154"/>
        <v>9.7162229769121922E-2</v>
      </c>
      <c r="J778" s="39">
        <f t="shared" si="154"/>
        <v>0.17631810568062559</v>
      </c>
      <c r="K778" s="39">
        <f t="shared" si="154"/>
        <v>0.28379034078613169</v>
      </c>
      <c r="L778" s="39">
        <f t="shared" si="155"/>
        <v>0.41186142095352746</v>
      </c>
      <c r="M778" s="39">
        <f t="shared" si="155"/>
        <v>0.54708538621986869</v>
      </c>
      <c r="N778" s="39">
        <f t="shared" si="155"/>
        <v>0.67456373496559163</v>
      </c>
      <c r="O778" s="39">
        <f t="shared" si="155"/>
        <v>0.78254289563432911</v>
      </c>
      <c r="P778" s="39">
        <f t="shared" si="155"/>
        <v>0.86515440182478942</v>
      </c>
      <c r="Q778" s="39">
        <f t="shared" si="155"/>
        <v>0.9224923405224682</v>
      </c>
      <c r="R778" s="39">
        <f t="shared" si="155"/>
        <v>0.95872861817118227</v>
      </c>
      <c r="S778" s="39">
        <f t="shared" si="155"/>
        <v>0.97964516175195093</v>
      </c>
      <c r="T778" s="39">
        <f t="shared" si="155"/>
        <v>0.99070147568484224</v>
      </c>
      <c r="U778" s="39">
        <f t="shared" si="155"/>
        <v>0.99606497419141404</v>
      </c>
      <c r="V778" s="39">
        <f t="shared" si="155"/>
        <v>0.99845709694242413</v>
      </c>
      <c r="W778" s="37">
        <v>0.22500000000000001</v>
      </c>
    </row>
    <row r="779" spans="2:23" x14ac:dyDescent="0.25">
      <c r="B779" s="39">
        <f t="shared" si="154"/>
        <v>2.9304283968649384E-6</v>
      </c>
      <c r="C779" s="39">
        <f t="shared" si="154"/>
        <v>4.5687922297776323E-5</v>
      </c>
      <c r="D779" s="39">
        <f t="shared" si="154"/>
        <v>3.5107788721038636E-4</v>
      </c>
      <c r="E779" s="39">
        <f t="shared" si="154"/>
        <v>1.7741150847607019E-3</v>
      </c>
      <c r="F779" s="39">
        <f t="shared" si="154"/>
        <v>6.6388643388213394E-3</v>
      </c>
      <c r="G779" s="39">
        <f t="shared" si="154"/>
        <v>1.9647124742565632E-2</v>
      </c>
      <c r="H779" s="39">
        <f t="shared" si="154"/>
        <v>4.7975115619538607E-2</v>
      </c>
      <c r="I779" s="39">
        <f t="shared" si="154"/>
        <v>9.9625054483906739E-2</v>
      </c>
      <c r="J779" s="39">
        <f t="shared" si="154"/>
        <v>0.18007236955328992</v>
      </c>
      <c r="K779" s="39">
        <f t="shared" si="154"/>
        <v>0.2887512709729837</v>
      </c>
      <c r="L779" s="39">
        <f t="shared" si="155"/>
        <v>0.41761164580767768</v>
      </c>
      <c r="M779" s="39">
        <f t="shared" si="155"/>
        <v>0.55298716568568274</v>
      </c>
      <c r="N779" s="39">
        <f t="shared" si="155"/>
        <v>0.67996848760056205</v>
      </c>
      <c r="O779" s="39">
        <f t="shared" si="155"/>
        <v>0.7869870456866227</v>
      </c>
      <c r="P779" s="39">
        <f t="shared" si="155"/>
        <v>0.8684526359769974</v>
      </c>
      <c r="Q779" s="39">
        <f t="shared" si="155"/>
        <v>0.9247112527237179</v>
      </c>
      <c r="R779" s="39">
        <f t="shared" si="155"/>
        <v>0.96008675711531055</v>
      </c>
      <c r="S779" s="39">
        <f t="shared" si="155"/>
        <v>0.9804037697726441</v>
      </c>
      <c r="T779" s="39">
        <f t="shared" si="155"/>
        <v>0.9910891490183048</v>
      </c>
      <c r="U779" s="39">
        <f t="shared" si="155"/>
        <v>0.9962466125713656</v>
      </c>
      <c r="V779" s="39">
        <f t="shared" si="155"/>
        <v>0.99853525878815941</v>
      </c>
      <c r="W779" s="37">
        <v>0.224</v>
      </c>
    </row>
    <row r="780" spans="2:23" x14ac:dyDescent="0.25">
      <c r="B780" s="39">
        <f t="shared" si="154"/>
        <v>3.1347278337771344E-6</v>
      </c>
      <c r="C780" s="39">
        <f t="shared" si="154"/>
        <v>4.8598895626143132E-5</v>
      </c>
      <c r="D780" s="39">
        <f t="shared" si="154"/>
        <v>3.7137293995298732E-4</v>
      </c>
      <c r="E780" s="39">
        <f t="shared" si="154"/>
        <v>1.8663877373224472E-3</v>
      </c>
      <c r="F780" s="39">
        <f t="shared" si="154"/>
        <v>6.9465040017426746E-3</v>
      </c>
      <c r="G780" s="39">
        <f t="shared" si="154"/>
        <v>2.0449026825253156E-2</v>
      </c>
      <c r="H780" s="39">
        <f t="shared" si="154"/>
        <v>4.9676584684486588E-2</v>
      </c>
      <c r="I780" s="39">
        <f t="shared" si="154"/>
        <v>0.10264612114224214</v>
      </c>
      <c r="J780" s="39">
        <f t="shared" si="154"/>
        <v>0.18465220370082558</v>
      </c>
      <c r="K780" s="39">
        <f t="shared" si="154"/>
        <v>0.29476972991250983</v>
      </c>
      <c r="L780" s="39">
        <f t="shared" si="155"/>
        <v>0.42454915098235585</v>
      </c>
      <c r="M780" s="39">
        <f t="shared" si="155"/>
        <v>0.56006820246807043</v>
      </c>
      <c r="N780" s="39">
        <f t="shared" si="155"/>
        <v>0.68641736542158893</v>
      </c>
      <c r="O780" s="39">
        <f t="shared" si="155"/>
        <v>0.79226044388093952</v>
      </c>
      <c r="P780" s="39">
        <f t="shared" si="155"/>
        <v>0.87234466375507325</v>
      </c>
      <c r="Q780" s="39">
        <f t="shared" si="155"/>
        <v>0.92731516427353844</v>
      </c>
      <c r="R780" s="39">
        <f t="shared" si="155"/>
        <v>0.96167172709757875</v>
      </c>
      <c r="S780" s="39">
        <f t="shared" si="155"/>
        <v>0.98128417794045208</v>
      </c>
      <c r="T780" s="39">
        <f t="shared" si="155"/>
        <v>0.99153657522537819</v>
      </c>
      <c r="U780" s="39">
        <f t="shared" si="155"/>
        <v>0.99645508615305756</v>
      </c>
      <c r="V780" s="39">
        <f t="shared" si="155"/>
        <v>0.99862447118191466</v>
      </c>
      <c r="W780" s="37">
        <v>0.223</v>
      </c>
    </row>
    <row r="781" spans="2:23" x14ac:dyDescent="0.25">
      <c r="B781" s="39">
        <f t="shared" si="154"/>
        <v>3.3529661433060063E-6</v>
      </c>
      <c r="C781" s="39">
        <f t="shared" si="154"/>
        <v>5.1689797717791846E-5</v>
      </c>
      <c r="D781" s="39">
        <f t="shared" si="154"/>
        <v>3.9279291546147539E-4</v>
      </c>
      <c r="E781" s="39">
        <f t="shared" si="154"/>
        <v>1.9631892430277092E-3</v>
      </c>
      <c r="F781" s="39">
        <f t="shared" si="154"/>
        <v>7.2673010112639432E-3</v>
      </c>
      <c r="G781" s="39">
        <f t="shared" si="154"/>
        <v>2.1280190885455508E-2</v>
      </c>
      <c r="H781" s="39">
        <f t="shared" si="154"/>
        <v>5.1429518232426981E-2</v>
      </c>
      <c r="I781" s="39">
        <f t="shared" si="154"/>
        <v>0.10573980714213868</v>
      </c>
      <c r="J781" s="39">
        <f t="shared" si="154"/>
        <v>0.1893138438911143</v>
      </c>
      <c r="K781" s="39">
        <f t="shared" si="154"/>
        <v>0.3008587291229825</v>
      </c>
      <c r="L781" s="39">
        <f t="shared" si="155"/>
        <v>0.43152559468031532</v>
      </c>
      <c r="M781" s="39">
        <f t="shared" si="155"/>
        <v>0.56714597041519832</v>
      </c>
      <c r="N781" s="39">
        <f t="shared" si="155"/>
        <v>0.69282430826171137</v>
      </c>
      <c r="O781" s="39">
        <f t="shared" si="155"/>
        <v>0.79746786896242794</v>
      </c>
      <c r="P781" s="39">
        <f t="shared" si="155"/>
        <v>0.87616474579418835</v>
      </c>
      <c r="Q781" s="39">
        <f t="shared" si="155"/>
        <v>0.92985546895401472</v>
      </c>
      <c r="R781" s="39">
        <f t="shared" si="155"/>
        <v>0.96320861421056725</v>
      </c>
      <c r="S781" s="39">
        <f t="shared" si="155"/>
        <v>0.98213270336556568</v>
      </c>
      <c r="T781" s="39">
        <f t="shared" si="155"/>
        <v>0.99196518355306806</v>
      </c>
      <c r="U781" s="39">
        <f t="shared" si="155"/>
        <v>0.99665358003318161</v>
      </c>
      <c r="V781" s="39">
        <f t="shared" si="155"/>
        <v>0.99870889727799905</v>
      </c>
      <c r="W781" s="37">
        <v>0.222</v>
      </c>
    </row>
    <row r="782" spans="2:23" x14ac:dyDescent="0.25">
      <c r="B782" s="39">
        <f t="shared" si="154"/>
        <v>3.5860736456756751E-6</v>
      </c>
      <c r="C782" s="39">
        <f t="shared" si="154"/>
        <v>5.4971392769326441E-5</v>
      </c>
      <c r="D782" s="39">
        <f t="shared" si="154"/>
        <v>4.1539725033616111E-4</v>
      </c>
      <c r="E782" s="39">
        <f t="shared" si="154"/>
        <v>2.0647267371676583E-3</v>
      </c>
      <c r="F782" s="39">
        <f t="shared" si="154"/>
        <v>7.6017614429591427E-3</v>
      </c>
      <c r="G782" s="39">
        <f t="shared" si="154"/>
        <v>2.2141521403187248E-2</v>
      </c>
      <c r="H782" s="39">
        <f t="shared" si="154"/>
        <v>5.323509397385727E-2</v>
      </c>
      <c r="I782" s="39">
        <f t="shared" si="154"/>
        <v>0.10890712903519122</v>
      </c>
      <c r="J782" s="39">
        <f t="shared" si="154"/>
        <v>0.19405756297171992</v>
      </c>
      <c r="K782" s="39">
        <f t="shared" si="154"/>
        <v>0.30701742701785573</v>
      </c>
      <c r="L782" s="39">
        <f t="shared" si="155"/>
        <v>0.4385391523453549</v>
      </c>
      <c r="M782" s="39">
        <f t="shared" si="155"/>
        <v>0.57421826619705263</v>
      </c>
      <c r="N782" s="39">
        <f t="shared" si="155"/>
        <v>0.69918747469979614</v>
      </c>
      <c r="O782" s="39">
        <f t="shared" si="155"/>
        <v>0.80260833292636102</v>
      </c>
      <c r="P782" s="39">
        <f t="shared" si="155"/>
        <v>0.87991281281288403</v>
      </c>
      <c r="Q782" s="39">
        <f t="shared" si="155"/>
        <v>0.93233274468566774</v>
      </c>
      <c r="R782" s="39">
        <f t="shared" si="155"/>
        <v>0.96469825961104649</v>
      </c>
      <c r="S782" s="39">
        <f t="shared" si="155"/>
        <v>0.98295014487852128</v>
      </c>
      <c r="T782" s="39">
        <f t="shared" si="155"/>
        <v>0.99237557834101031</v>
      </c>
      <c r="U782" s="39">
        <f t="shared" si="155"/>
        <v>0.99684248190312452</v>
      </c>
      <c r="V782" s="39">
        <f t="shared" si="155"/>
        <v>0.99878875414111634</v>
      </c>
      <c r="W782" s="37">
        <v>0.221</v>
      </c>
    </row>
    <row r="783" spans="2:23" x14ac:dyDescent="0.25">
      <c r="B783" s="39">
        <f t="shared" ref="B783:K792" si="156">_xlfn.HYPGEOM.DIST(B$2,comau,tongtheN*$W783,tongtheN,TRUE)</f>
        <v>3.7924013783089608E-6</v>
      </c>
      <c r="C783" s="39">
        <f t="shared" si="156"/>
        <v>5.7859918217703447E-5</v>
      </c>
      <c r="D783" s="39">
        <f t="shared" si="156"/>
        <v>4.3518384446996559E-4</v>
      </c>
      <c r="E783" s="39">
        <f t="shared" si="156"/>
        <v>2.1531144918437179E-3</v>
      </c>
      <c r="F783" s="39">
        <f t="shared" si="156"/>
        <v>7.8912923929452018E-3</v>
      </c>
      <c r="G783" s="39">
        <f t="shared" si="156"/>
        <v>2.2883007328089806E-2</v>
      </c>
      <c r="H783" s="39">
        <f t="shared" si="156"/>
        <v>5.4780810500407541E-2</v>
      </c>
      <c r="I783" s="39">
        <f t="shared" si="156"/>
        <v>0.11160353721923126</v>
      </c>
      <c r="J783" s="39">
        <f t="shared" si="156"/>
        <v>0.19807352798244404</v>
      </c>
      <c r="K783" s="39">
        <f t="shared" si="156"/>
        <v>0.31220226999988099</v>
      </c>
      <c r="L783" s="39">
        <f t="shared" ref="L783:V792" si="157">_xlfn.HYPGEOM.DIST(L$2,comau,tongtheN*$W783,tongtheN,TRUE)</f>
        <v>0.44441078737416689</v>
      </c>
      <c r="M783" s="39">
        <f t="shared" si="157"/>
        <v>0.58010606944882093</v>
      </c>
      <c r="N783" s="39">
        <f t="shared" si="157"/>
        <v>0.70445536309966805</v>
      </c>
      <c r="O783" s="39">
        <f t="shared" si="157"/>
        <v>0.80684022150820434</v>
      </c>
      <c r="P783" s="39">
        <f t="shared" si="157"/>
        <v>0.88298117122313702</v>
      </c>
      <c r="Q783" s="39">
        <f t="shared" si="157"/>
        <v>0.93434942996827597</v>
      </c>
      <c r="R783" s="39">
        <f t="shared" si="157"/>
        <v>0.96590415580965927</v>
      </c>
      <c r="S783" s="39">
        <f t="shared" si="157"/>
        <v>0.98360817407244738</v>
      </c>
      <c r="T783" s="39">
        <f t="shared" si="157"/>
        <v>0.99270408936942423</v>
      </c>
      <c r="U783" s="39">
        <f t="shared" si="157"/>
        <v>0.99699284532957122</v>
      </c>
      <c r="V783" s="39">
        <f t="shared" si="157"/>
        <v>0.99885196245922792</v>
      </c>
      <c r="W783" s="37">
        <v>0.22</v>
      </c>
    </row>
    <row r="784" spans="2:23" x14ac:dyDescent="0.25">
      <c r="B784" s="39">
        <f t="shared" si="156"/>
        <v>4.0553894802231789E-6</v>
      </c>
      <c r="C784" s="39">
        <f t="shared" si="156"/>
        <v>6.1521160017407442E-5</v>
      </c>
      <c r="D784" s="39">
        <f t="shared" si="156"/>
        <v>4.6012382006703636E-4</v>
      </c>
      <c r="E784" s="39">
        <f t="shared" si="156"/>
        <v>2.2639015140289904E-3</v>
      </c>
      <c r="F784" s="39">
        <f t="shared" si="156"/>
        <v>8.2521722436525828E-3</v>
      </c>
      <c r="G784" s="39">
        <f t="shared" si="156"/>
        <v>2.3802060086679594E-2</v>
      </c>
      <c r="H784" s="39">
        <f t="shared" si="156"/>
        <v>5.6685991813942259E-2</v>
      </c>
      <c r="I784" s="39">
        <f t="shared" si="156"/>
        <v>0.11490845050024137</v>
      </c>
      <c r="J784" s="39">
        <f t="shared" si="156"/>
        <v>0.20296828746790174</v>
      </c>
      <c r="K784" s="39">
        <f t="shared" si="156"/>
        <v>0.31848636994598833</v>
      </c>
      <c r="L784" s="39">
        <f t="shared" si="157"/>
        <v>0.45148750063058862</v>
      </c>
      <c r="M784" s="39">
        <f t="shared" si="157"/>
        <v>0.58716257904675107</v>
      </c>
      <c r="N784" s="39">
        <f t="shared" si="157"/>
        <v>0.71073358040663348</v>
      </c>
      <c r="O784" s="39">
        <f t="shared" si="157"/>
        <v>0.81185551277969559</v>
      </c>
      <c r="P784" s="39">
        <f t="shared" si="157"/>
        <v>0.88659717775244773</v>
      </c>
      <c r="Q784" s="39">
        <f t="shared" si="157"/>
        <v>0.93671274411161232</v>
      </c>
      <c r="R784" s="39">
        <f t="shared" si="157"/>
        <v>0.96730940220451922</v>
      </c>
      <c r="S784" s="39">
        <f t="shared" si="157"/>
        <v>0.98437068481081225</v>
      </c>
      <c r="T784" s="39">
        <f t="shared" si="157"/>
        <v>0.99308262609691156</v>
      </c>
      <c r="U784" s="39">
        <f t="shared" si="157"/>
        <v>0.9971651339394646</v>
      </c>
      <c r="V784" s="39">
        <f t="shared" si="157"/>
        <v>0.99892398092847512</v>
      </c>
      <c r="W784" s="37">
        <v>0.219</v>
      </c>
    </row>
    <row r="785" spans="2:23" x14ac:dyDescent="0.25">
      <c r="B785" s="39">
        <f t="shared" si="156"/>
        <v>4.3362254156682044E-6</v>
      </c>
      <c r="C785" s="39">
        <f t="shared" si="156"/>
        <v>6.5407083478903185E-5</v>
      </c>
      <c r="D785" s="39">
        <f t="shared" si="156"/>
        <v>4.8643313915139324E-4</v>
      </c>
      <c r="E785" s="39">
        <f t="shared" si="156"/>
        <v>2.3800594070314328E-3</v>
      </c>
      <c r="F785" s="39">
        <f t="shared" si="156"/>
        <v>8.6282409703283547E-3</v>
      </c>
      <c r="G785" s="39">
        <f t="shared" si="156"/>
        <v>2.4753953387688654E-2</v>
      </c>
      <c r="H785" s="39">
        <f t="shared" si="156"/>
        <v>5.8647209829418935E-2</v>
      </c>
      <c r="I785" s="39">
        <f t="shared" si="156"/>
        <v>0.11828979835269998</v>
      </c>
      <c r="J785" s="39">
        <f t="shared" si="156"/>
        <v>0.20794565655410763</v>
      </c>
      <c r="K785" s="39">
        <f t="shared" si="156"/>
        <v>0.32483746720219198</v>
      </c>
      <c r="L785" s="39">
        <f t="shared" si="157"/>
        <v>0.45859591847803455</v>
      </c>
      <c r="M785" s="39">
        <f t="shared" si="157"/>
        <v>0.59420732659430997</v>
      </c>
      <c r="N785" s="39">
        <f t="shared" si="157"/>
        <v>0.71696295524989806</v>
      </c>
      <c r="O785" s="39">
        <f t="shared" si="157"/>
        <v>0.81680129941325696</v>
      </c>
      <c r="P785" s="39">
        <f t="shared" si="157"/>
        <v>0.89014121262589907</v>
      </c>
      <c r="Q785" s="39">
        <f t="shared" si="157"/>
        <v>0.93901481273862997</v>
      </c>
      <c r="R785" s="39">
        <f t="shared" si="157"/>
        <v>0.9686698309116355</v>
      </c>
      <c r="S785" s="39">
        <f t="shared" si="157"/>
        <v>0.98510434377622846</v>
      </c>
      <c r="T785" s="39">
        <f t="shared" si="157"/>
        <v>0.99344460203626495</v>
      </c>
      <c r="U785" s="39">
        <f t="shared" si="157"/>
        <v>0.99732887217991861</v>
      </c>
      <c r="V785" s="39">
        <f t="shared" si="157"/>
        <v>0.99899200423885881</v>
      </c>
      <c r="W785" s="37">
        <v>0.218</v>
      </c>
    </row>
    <row r="786" spans="2:23" x14ac:dyDescent="0.25">
      <c r="B786" s="39">
        <f t="shared" si="156"/>
        <v>4.6360940865940025E-6</v>
      </c>
      <c r="C786" s="39">
        <f t="shared" si="156"/>
        <v>6.9531028109466248E-5</v>
      </c>
      <c r="D786" s="39">
        <f t="shared" si="156"/>
        <v>5.1418338560317415E-4</v>
      </c>
      <c r="E786" s="39">
        <f t="shared" si="156"/>
        <v>2.5018301898195035E-3</v>
      </c>
      <c r="F786" s="39">
        <f t="shared" si="156"/>
        <v>9.0200705405533241E-3</v>
      </c>
      <c r="G786" s="39">
        <f t="shared" si="156"/>
        <v>2.5739670627492724E-2</v>
      </c>
      <c r="H786" s="39">
        <f t="shared" si="156"/>
        <v>6.0665680876216772E-2</v>
      </c>
      <c r="I786" s="39">
        <f t="shared" si="156"/>
        <v>0.12174853536623693</v>
      </c>
      <c r="J786" s="39">
        <f t="shared" si="156"/>
        <v>0.2130057326391879</v>
      </c>
      <c r="K786" s="39">
        <f t="shared" si="156"/>
        <v>0.33125449530272832</v>
      </c>
      <c r="L786" s="39">
        <f t="shared" si="157"/>
        <v>0.46573405035600657</v>
      </c>
      <c r="M786" s="39">
        <f t="shared" si="157"/>
        <v>0.60123808145082935</v>
      </c>
      <c r="N786" s="39">
        <f t="shared" si="157"/>
        <v>0.72314175821827065</v>
      </c>
      <c r="O786" s="39">
        <f t="shared" si="157"/>
        <v>0.82167677599885058</v>
      </c>
      <c r="P786" s="39">
        <f t="shared" si="157"/>
        <v>0.89361337442926325</v>
      </c>
      <c r="Q786" s="39">
        <f t="shared" si="157"/>
        <v>0.94125631383180286</v>
      </c>
      <c r="R786" s="39">
        <f t="shared" si="157"/>
        <v>0.9699863090281583</v>
      </c>
      <c r="S786" s="39">
        <f t="shared" si="157"/>
        <v>0.9858099261101948</v>
      </c>
      <c r="T786" s="39">
        <f t="shared" si="157"/>
        <v>0.99379057903610812</v>
      </c>
      <c r="U786" s="39">
        <f t="shared" si="157"/>
        <v>0.99748440789778681</v>
      </c>
      <c r="V786" s="39">
        <f t="shared" si="157"/>
        <v>0.99905622104665526</v>
      </c>
      <c r="W786" s="37">
        <v>0.217</v>
      </c>
    </row>
    <row r="787" spans="2:23" x14ac:dyDescent="0.25">
      <c r="B787" s="39">
        <f t="shared" si="156"/>
        <v>4.9014314596663821E-6</v>
      </c>
      <c r="C787" s="39">
        <f t="shared" si="156"/>
        <v>7.3159621250322245E-5</v>
      </c>
      <c r="D787" s="39">
        <f t="shared" si="156"/>
        <v>5.3846338068660375E-4</v>
      </c>
      <c r="E787" s="39">
        <f t="shared" si="156"/>
        <v>2.6077749119184351E-3</v>
      </c>
      <c r="F787" s="39">
        <f t="shared" si="156"/>
        <v>9.3590599177382078E-3</v>
      </c>
      <c r="G787" s="39">
        <f t="shared" si="156"/>
        <v>2.6587663218687052E-2</v>
      </c>
      <c r="H787" s="39">
        <f t="shared" si="156"/>
        <v>6.2392358346916039E-2</v>
      </c>
      <c r="I787" s="39">
        <f t="shared" si="156"/>
        <v>0.12469060804723912</v>
      </c>
      <c r="J787" s="39">
        <f t="shared" si="156"/>
        <v>0.21728567797540058</v>
      </c>
      <c r="K787" s="39">
        <f t="shared" si="156"/>
        <v>0.33665157205131818</v>
      </c>
      <c r="L787" s="39">
        <f t="shared" si="157"/>
        <v>0.47170372762602741</v>
      </c>
      <c r="M787" s="39">
        <f t="shared" si="157"/>
        <v>0.60708474396918155</v>
      </c>
      <c r="N787" s="39">
        <f t="shared" si="157"/>
        <v>0.72825090465747033</v>
      </c>
      <c r="O787" s="39">
        <f t="shared" si="157"/>
        <v>0.82568541694403641</v>
      </c>
      <c r="P787" s="39">
        <f t="shared" si="157"/>
        <v>0.89645204018852909</v>
      </c>
      <c r="Q787" s="39">
        <f t="shared" si="157"/>
        <v>0.94307847009788059</v>
      </c>
      <c r="R787" s="39">
        <f t="shared" si="157"/>
        <v>0.97105042951256215</v>
      </c>
      <c r="S787" s="39">
        <f t="shared" si="157"/>
        <v>0.98637701806389666</v>
      </c>
      <c r="T787" s="39">
        <f t="shared" si="157"/>
        <v>0.99406706925442589</v>
      </c>
      <c r="U787" s="39">
        <f t="shared" si="157"/>
        <v>0.99760799910179598</v>
      </c>
      <c r="V787" s="39">
        <f t="shared" si="157"/>
        <v>0.99910695855578513</v>
      </c>
      <c r="W787" s="37">
        <v>0.216</v>
      </c>
    </row>
    <row r="788" spans="2:23" x14ac:dyDescent="0.25">
      <c r="B788" s="39">
        <f t="shared" si="156"/>
        <v>5.2395295722656157E-6</v>
      </c>
      <c r="C788" s="39">
        <f t="shared" si="156"/>
        <v>7.7757147311732495E-5</v>
      </c>
      <c r="D788" s="39">
        <f t="shared" si="156"/>
        <v>5.690530739714992E-4</v>
      </c>
      <c r="E788" s="39">
        <f t="shared" si="156"/>
        <v>2.740497687738827E-3</v>
      </c>
      <c r="F788" s="39">
        <f t="shared" si="156"/>
        <v>9.7813304909857169E-3</v>
      </c>
      <c r="G788" s="39">
        <f t="shared" si="156"/>
        <v>2.7638014042434753E-2</v>
      </c>
      <c r="H788" s="39">
        <f t="shared" si="156"/>
        <v>6.4518979511896973E-2</v>
      </c>
      <c r="I788" s="39">
        <f t="shared" si="156"/>
        <v>0.1282936381033821</v>
      </c>
      <c r="J788" s="39">
        <f t="shared" si="156"/>
        <v>0.22249747240916348</v>
      </c>
      <c r="K788" s="39">
        <f t="shared" si="156"/>
        <v>0.3431865060417702</v>
      </c>
      <c r="L788" s="39">
        <f t="shared" si="157"/>
        <v>0.47889103148418788</v>
      </c>
      <c r="M788" s="39">
        <f t="shared" si="157"/>
        <v>0.61408404552279505</v>
      </c>
      <c r="N788" s="39">
        <f t="shared" si="157"/>
        <v>0.73433261227743984</v>
      </c>
      <c r="O788" s="39">
        <f t="shared" si="157"/>
        <v>0.83043006314645773</v>
      </c>
      <c r="P788" s="39">
        <f t="shared" si="157"/>
        <v>0.89979283191965698</v>
      </c>
      <c r="Q788" s="39">
        <f t="shared" si="157"/>
        <v>0.94521076960188544</v>
      </c>
      <c r="R788" s="39">
        <f t="shared" si="157"/>
        <v>0.97228859817996705</v>
      </c>
      <c r="S788" s="39">
        <f t="shared" si="157"/>
        <v>0.98703311480997313</v>
      </c>
      <c r="T788" s="39">
        <f t="shared" si="157"/>
        <v>0.99438513619659474</v>
      </c>
      <c r="U788" s="39">
        <f t="shared" si="157"/>
        <v>0.9977493666280246</v>
      </c>
      <c r="V788" s="39">
        <f t="shared" si="157"/>
        <v>0.99916466356814349</v>
      </c>
      <c r="W788" s="37">
        <v>0.215</v>
      </c>
    </row>
    <row r="789" spans="2:23" x14ac:dyDescent="0.25">
      <c r="B789" s="39">
        <f t="shared" si="156"/>
        <v>5.6004517660521719E-6</v>
      </c>
      <c r="C789" s="39">
        <f t="shared" si="156"/>
        <v>8.2634778266970613E-5</v>
      </c>
      <c r="D789" s="39">
        <f t="shared" si="156"/>
        <v>6.0130622843509833E-4</v>
      </c>
      <c r="E789" s="39">
        <f t="shared" si="156"/>
        <v>2.8795740434465712E-3</v>
      </c>
      <c r="F789" s="39">
        <f t="shared" si="156"/>
        <v>1.0221082537639058E-2</v>
      </c>
      <c r="G789" s="39">
        <f t="shared" si="156"/>
        <v>2.8725087941592734E-2</v>
      </c>
      <c r="H789" s="39">
        <f t="shared" si="156"/>
        <v>6.6706342626328977E-2</v>
      </c>
      <c r="I789" s="39">
        <f t="shared" si="156"/>
        <v>0.13197665004673736</v>
      </c>
      <c r="J789" s="39">
        <f t="shared" si="156"/>
        <v>0.22779197825427547</v>
      </c>
      <c r="K789" s="39">
        <f t="shared" si="156"/>
        <v>0.34978402567515543</v>
      </c>
      <c r="L789" s="39">
        <f t="shared" si="157"/>
        <v>0.48610219329416088</v>
      </c>
      <c r="M789" s="39">
        <f t="shared" si="157"/>
        <v>0.62106302790764922</v>
      </c>
      <c r="N789" s="39">
        <f t="shared" si="157"/>
        <v>0.74035903384298596</v>
      </c>
      <c r="O789" s="39">
        <f t="shared" si="157"/>
        <v>0.83510238537815729</v>
      </c>
      <c r="P789" s="39">
        <f t="shared" si="157"/>
        <v>0.90306225965588849</v>
      </c>
      <c r="Q789" s="39">
        <f t="shared" si="157"/>
        <v>0.94728454795369399</v>
      </c>
      <c r="R789" s="39">
        <f t="shared" si="157"/>
        <v>0.97348529498137104</v>
      </c>
      <c r="S789" s="39">
        <f t="shared" si="157"/>
        <v>0.98766328926002056</v>
      </c>
      <c r="T789" s="39">
        <f t="shared" si="157"/>
        <v>0.99468873385775403</v>
      </c>
      <c r="U789" s="39">
        <f t="shared" si="157"/>
        <v>0.99788346234851288</v>
      </c>
      <c r="V789" s="39">
        <f t="shared" si="157"/>
        <v>0.99921905901615582</v>
      </c>
      <c r="W789" s="37">
        <v>0.214</v>
      </c>
    </row>
    <row r="790" spans="2:23" x14ac:dyDescent="0.25">
      <c r="B790" s="39">
        <f t="shared" si="156"/>
        <v>5.9857053229722064E-6</v>
      </c>
      <c r="C790" s="39">
        <f t="shared" si="156"/>
        <v>8.7809016723227308E-5</v>
      </c>
      <c r="D790" s="39">
        <f t="shared" si="156"/>
        <v>6.3530886179550942E-4</v>
      </c>
      <c r="E790" s="39">
        <f t="shared" si="156"/>
        <v>3.0252859137814038E-3</v>
      </c>
      <c r="F790" s="39">
        <f t="shared" si="156"/>
        <v>1.0678959919940657E-2</v>
      </c>
      <c r="G790" s="39">
        <f t="shared" si="156"/>
        <v>2.9849947998235642E-2</v>
      </c>
      <c r="H790" s="39">
        <f t="shared" si="156"/>
        <v>6.8955691540985298E-2</v>
      </c>
      <c r="I790" s="39">
        <f t="shared" si="156"/>
        <v>0.13574051467311954</v>
      </c>
      <c r="J790" s="39">
        <f t="shared" si="156"/>
        <v>0.23316909702884217</v>
      </c>
      <c r="K790" s="39">
        <f t="shared" si="156"/>
        <v>0.35644283564707607</v>
      </c>
      <c r="L790" s="39">
        <f t="shared" si="157"/>
        <v>0.49333507400859361</v>
      </c>
      <c r="M790" s="39">
        <f t="shared" si="157"/>
        <v>0.62801946229103622</v>
      </c>
      <c r="N790" s="39">
        <f t="shared" si="157"/>
        <v>0.74632857598123514</v>
      </c>
      <c r="O790" s="39">
        <f t="shared" si="157"/>
        <v>0.83970176878596126</v>
      </c>
      <c r="P790" s="39">
        <f t="shared" si="157"/>
        <v>0.90626058229411433</v>
      </c>
      <c r="Q790" s="39">
        <f t="shared" si="157"/>
        <v>0.94930056849689914</v>
      </c>
      <c r="R790" s="39">
        <f t="shared" si="157"/>
        <v>0.9746413998138278</v>
      </c>
      <c r="S790" s="39">
        <f t="shared" si="157"/>
        <v>0.98826828557084423</v>
      </c>
      <c r="T790" s="39">
        <f t="shared" si="157"/>
        <v>0.9949783798892271</v>
      </c>
      <c r="U790" s="39">
        <f t="shared" si="157"/>
        <v>0.9980105957533334</v>
      </c>
      <c r="V790" s="39">
        <f t="shared" si="157"/>
        <v>0.99927030753144575</v>
      </c>
      <c r="W790" s="37">
        <v>0.21299999999999999</v>
      </c>
    </row>
    <row r="791" spans="2:23" x14ac:dyDescent="0.25">
      <c r="B791" s="39">
        <f t="shared" si="156"/>
        <v>6.3968948576334756E-6</v>
      </c>
      <c r="C791" s="39">
        <f t="shared" si="156"/>
        <v>9.3297302302787645E-5</v>
      </c>
      <c r="D791" s="39">
        <f t="shared" si="156"/>
        <v>6.7115117961884349E-4</v>
      </c>
      <c r="E791" s="39">
        <f t="shared" si="156"/>
        <v>3.1779265406447145E-3</v>
      </c>
      <c r="F791" s="39">
        <f t="shared" si="156"/>
        <v>1.1155626246964886E-2</v>
      </c>
      <c r="G791" s="39">
        <f t="shared" si="156"/>
        <v>3.1013678045951759E-2</v>
      </c>
      <c r="H791" s="39">
        <f t="shared" si="156"/>
        <v>7.1268275157923472E-2</v>
      </c>
      <c r="I791" s="39">
        <f t="shared" si="156"/>
        <v>0.13958607711366972</v>
      </c>
      <c r="J791" s="39">
        <f t="shared" si="156"/>
        <v>0.23862867591654355</v>
      </c>
      <c r="K791" s="39">
        <f t="shared" si="156"/>
        <v>0.36316158076404659</v>
      </c>
      <c r="L791" s="39">
        <f t="shared" si="157"/>
        <v>0.50058749921135315</v>
      </c>
      <c r="M791" s="39">
        <f t="shared" si="157"/>
        <v>0.63495112527278397</v>
      </c>
      <c r="N791" s="39">
        <f t="shared" si="157"/>
        <v>0.75223968453728418</v>
      </c>
      <c r="O791" s="39">
        <f t="shared" si="157"/>
        <v>0.84422764912688542</v>
      </c>
      <c r="P791" s="39">
        <f t="shared" si="157"/>
        <v>0.9093880989873705</v>
      </c>
      <c r="Q791" s="39">
        <f t="shared" si="157"/>
        <v>0.95125961432806527</v>
      </c>
      <c r="R791" s="39">
        <f t="shared" si="157"/>
        <v>0.97575779383752836</v>
      </c>
      <c r="S791" s="39">
        <f t="shared" si="157"/>
        <v>0.98884883876387109</v>
      </c>
      <c r="T791" s="39">
        <f t="shared" si="157"/>
        <v>0.99525458024781721</v>
      </c>
      <c r="U791" s="39">
        <f t="shared" si="157"/>
        <v>0.99813106662526663</v>
      </c>
      <c r="V791" s="39">
        <f t="shared" si="157"/>
        <v>0.99931856535556274</v>
      </c>
      <c r="W791" s="37">
        <v>0.21199999999999999</v>
      </c>
    </row>
    <row r="792" spans="2:23" x14ac:dyDescent="0.25">
      <c r="B792" s="39">
        <f t="shared" si="156"/>
        <v>6.7605940522097543E-6</v>
      </c>
      <c r="C792" s="39">
        <f t="shared" si="156"/>
        <v>9.8124034455488956E-5</v>
      </c>
      <c r="D792" s="39">
        <f t="shared" si="156"/>
        <v>7.024931927231804E-4</v>
      </c>
      <c r="E792" s="39">
        <f t="shared" si="156"/>
        <v>3.3106395002529738E-3</v>
      </c>
      <c r="F792" s="39">
        <f t="shared" si="156"/>
        <v>1.1567693539490101E-2</v>
      </c>
      <c r="G792" s="39">
        <f t="shared" si="156"/>
        <v>3.2013941676090008E-2</v>
      </c>
      <c r="H792" s="39">
        <f t="shared" si="156"/>
        <v>7.324463632543915E-2</v>
      </c>
      <c r="I792" s="39">
        <f t="shared" si="156"/>
        <v>0.14285371142077327</v>
      </c>
      <c r="J792" s="39">
        <f t="shared" si="156"/>
        <v>0.2432411666743538</v>
      </c>
      <c r="K792" s="39">
        <f t="shared" si="156"/>
        <v>0.36880529974502746</v>
      </c>
      <c r="L792" s="39">
        <f t="shared" si="157"/>
        <v>0.50664452452915354</v>
      </c>
      <c r="M792" s="39">
        <f t="shared" si="157"/>
        <v>0.64070698957051087</v>
      </c>
      <c r="N792" s="39">
        <f t="shared" si="157"/>
        <v>0.75711987842155604</v>
      </c>
      <c r="O792" s="39">
        <f t="shared" si="157"/>
        <v>0.84794269599079641</v>
      </c>
      <c r="P792" s="39">
        <f t="shared" si="157"/>
        <v>0.91194051819229904</v>
      </c>
      <c r="Q792" s="39">
        <f t="shared" si="157"/>
        <v>0.95284920808525175</v>
      </c>
      <c r="R792" s="39">
        <f t="shared" si="157"/>
        <v>0.97665842357664301</v>
      </c>
      <c r="S792" s="39">
        <f t="shared" si="157"/>
        <v>0.98931448496741581</v>
      </c>
      <c r="T792" s="39">
        <f t="shared" si="157"/>
        <v>0.99547483312518459</v>
      </c>
      <c r="U792" s="39">
        <f t="shared" si="157"/>
        <v>0.99822657924191571</v>
      </c>
      <c r="V792" s="39">
        <f t="shared" si="157"/>
        <v>0.99935660406654558</v>
      </c>
      <c r="W792" s="37">
        <v>0.21099999999999999</v>
      </c>
    </row>
    <row r="793" spans="2:23" x14ac:dyDescent="0.25">
      <c r="B793" s="39">
        <f t="shared" ref="B793:K802" si="158">_xlfn.HYPGEOM.DIST(B$2,comau,tongtheN*$W793,tongtheN,TRUE)</f>
        <v>7.223848322450059E-6</v>
      </c>
      <c r="C793" s="39">
        <f t="shared" si="158"/>
        <v>1.0423668372938209E-4</v>
      </c>
      <c r="D793" s="39">
        <f t="shared" si="158"/>
        <v>7.4195720995464569E-4</v>
      </c>
      <c r="E793" s="39">
        <f t="shared" si="158"/>
        <v>3.4767835536160343E-3</v>
      </c>
      <c r="F793" s="39">
        <f t="shared" si="158"/>
        <v>1.2080596976950466E-2</v>
      </c>
      <c r="G793" s="39">
        <f t="shared" si="158"/>
        <v>3.3251816913650464E-2</v>
      </c>
      <c r="H793" s="39">
        <f t="shared" si="158"/>
        <v>7.5676406753545339E-2</v>
      </c>
      <c r="I793" s="39">
        <f t="shared" si="158"/>
        <v>0.1468511564561229</v>
      </c>
      <c r="J793" s="39">
        <f t="shared" si="158"/>
        <v>0.24885134005997395</v>
      </c>
      <c r="K793" s="39">
        <f t="shared" si="158"/>
        <v>0.3756302077522406</v>
      </c>
      <c r="L793" s="39">
        <f t="shared" ref="L793:V802" si="159">_xlfn.HYPGEOM.DIST(L$2,comau,tongtheN*$W793,tongtheN,TRUE)</f>
        <v>0.51392702264003398</v>
      </c>
      <c r="M793" s="39">
        <f t="shared" si="159"/>
        <v>0.64758749006405514</v>
      </c>
      <c r="N793" s="39">
        <f t="shared" si="159"/>
        <v>0.76291995827365477</v>
      </c>
      <c r="O793" s="39">
        <f t="shared" si="159"/>
        <v>0.85233252418319017</v>
      </c>
      <c r="P793" s="39">
        <f t="shared" si="159"/>
        <v>0.91493913158797457</v>
      </c>
      <c r="Q793" s="39">
        <f t="shared" si="159"/>
        <v>0.95470589545048734</v>
      </c>
      <c r="R793" s="39">
        <f t="shared" si="159"/>
        <v>0.97770430389282104</v>
      </c>
      <c r="S793" s="39">
        <f t="shared" si="159"/>
        <v>0.98985210291080217</v>
      </c>
      <c r="T793" s="39">
        <f t="shared" si="159"/>
        <v>0.99572765821498055</v>
      </c>
      <c r="U793" s="39">
        <f t="shared" si="159"/>
        <v>0.99833558240971132</v>
      </c>
      <c r="V793" s="39">
        <f t="shared" si="159"/>
        <v>0.99939976420893384</v>
      </c>
      <c r="W793" s="37">
        <v>0.21</v>
      </c>
    </row>
    <row r="794" spans="2:23" x14ac:dyDescent="0.25">
      <c r="B794" s="39">
        <f t="shared" si="158"/>
        <v>7.7181688307040723E-6</v>
      </c>
      <c r="C794" s="39">
        <f t="shared" si="158"/>
        <v>1.1071833810766832E-4</v>
      </c>
      <c r="D794" s="39">
        <f t="shared" si="158"/>
        <v>7.8354091993049365E-4</v>
      </c>
      <c r="E794" s="39">
        <f t="shared" si="158"/>
        <v>3.6507520640955055E-3</v>
      </c>
      <c r="F794" s="39">
        <f t="shared" si="158"/>
        <v>1.2614280390119099E-2</v>
      </c>
      <c r="G794" s="39">
        <f t="shared" si="158"/>
        <v>3.4531745001259856E-2</v>
      </c>
      <c r="H794" s="39">
        <f t="shared" si="158"/>
        <v>7.8174969207566739E-2</v>
      </c>
      <c r="I794" s="39">
        <f t="shared" si="158"/>
        <v>0.15093254010996293</v>
      </c>
      <c r="J794" s="39">
        <f t="shared" si="158"/>
        <v>0.25454323433078047</v>
      </c>
      <c r="K794" s="39">
        <f t="shared" si="158"/>
        <v>0.38251088676372008</v>
      </c>
      <c r="L794" s="39">
        <f t="shared" si="159"/>
        <v>0.5212227259440716</v>
      </c>
      <c r="M794" s="39">
        <f t="shared" si="159"/>
        <v>0.65443696734789525</v>
      </c>
      <c r="N794" s="39">
        <f t="shared" si="159"/>
        <v>0.76865742676474125</v>
      </c>
      <c r="O794" s="39">
        <f t="shared" si="159"/>
        <v>0.85664752744239581</v>
      </c>
      <c r="P794" s="39">
        <f t="shared" si="159"/>
        <v>0.91786799868406355</v>
      </c>
      <c r="Q794" s="39">
        <f t="shared" si="159"/>
        <v>0.95650792484234071</v>
      </c>
      <c r="R794" s="39">
        <f t="shared" si="159"/>
        <v>0.97871296968155685</v>
      </c>
      <c r="S794" s="39">
        <f t="shared" si="159"/>
        <v>0.99036730733076761</v>
      </c>
      <c r="T794" s="39">
        <f t="shared" si="159"/>
        <v>0.99596840740017822</v>
      </c>
      <c r="U794" s="39">
        <f t="shared" si="159"/>
        <v>0.99843872093324904</v>
      </c>
      <c r="V794" s="39">
        <f t="shared" si="159"/>
        <v>0.99944034309260166</v>
      </c>
      <c r="W794" s="37">
        <v>0.20899999999999999</v>
      </c>
    </row>
    <row r="795" spans="2:23" x14ac:dyDescent="0.25">
      <c r="B795" s="39">
        <f t="shared" si="158"/>
        <v>8.2455936157460273E-6</v>
      </c>
      <c r="C795" s="39">
        <f t="shared" si="158"/>
        <v>1.1759052555800615E-4</v>
      </c>
      <c r="D795" s="39">
        <f t="shared" si="158"/>
        <v>8.2735239952982475E-4</v>
      </c>
      <c r="E795" s="39">
        <f t="shared" si="158"/>
        <v>3.8328853095375144E-3</v>
      </c>
      <c r="F795" s="39">
        <f t="shared" si="158"/>
        <v>1.316948685215818E-2</v>
      </c>
      <c r="G795" s="39">
        <f t="shared" si="158"/>
        <v>3.5854888450339864E-2</v>
      </c>
      <c r="H795" s="39">
        <f t="shared" si="158"/>
        <v>8.0741582567927309E-2</v>
      </c>
      <c r="I795" s="39">
        <f t="shared" si="158"/>
        <v>0.15509859381454724</v>
      </c>
      <c r="J795" s="39">
        <f t="shared" si="158"/>
        <v>0.26031647668847346</v>
      </c>
      <c r="K795" s="39">
        <f t="shared" si="158"/>
        <v>0.38944575320262431</v>
      </c>
      <c r="L795" s="39">
        <f t="shared" si="159"/>
        <v>0.52852933916790101</v>
      </c>
      <c r="M795" s="39">
        <f t="shared" si="159"/>
        <v>0.66125323829977523</v>
      </c>
      <c r="N795" s="39">
        <f t="shared" si="159"/>
        <v>0.77433089330772287</v>
      </c>
      <c r="O795" s="39">
        <f t="shared" si="159"/>
        <v>0.86088733735035672</v>
      </c>
      <c r="P795" s="39">
        <f t="shared" si="159"/>
        <v>0.92072756581218729</v>
      </c>
      <c r="Q795" s="39">
        <f t="shared" si="159"/>
        <v>0.95825614519800462</v>
      </c>
      <c r="R795" s="39">
        <f t="shared" si="159"/>
        <v>0.97968529939965077</v>
      </c>
      <c r="S795" s="39">
        <f t="shared" si="159"/>
        <v>0.990860794774169</v>
      </c>
      <c r="T795" s="39">
        <f t="shared" si="159"/>
        <v>0.99619754159119467</v>
      </c>
      <c r="U795" s="39">
        <f t="shared" si="159"/>
        <v>0.99853625870151663</v>
      </c>
      <c r="V795" s="39">
        <f t="shared" si="159"/>
        <v>0.99947847399764933</v>
      </c>
      <c r="W795" s="37">
        <v>0.20799999999999999</v>
      </c>
    </row>
    <row r="796" spans="2:23" x14ac:dyDescent="0.25">
      <c r="B796" s="39">
        <f t="shared" si="158"/>
        <v>8.7119628080023484E-6</v>
      </c>
      <c r="C796" s="39">
        <f t="shared" si="158"/>
        <v>1.2363203832709569E-4</v>
      </c>
      <c r="D796" s="39">
        <f t="shared" si="158"/>
        <v>8.6564527853483242E-4</v>
      </c>
      <c r="E796" s="39">
        <f t="shared" si="158"/>
        <v>3.9911546298607896E-3</v>
      </c>
      <c r="F796" s="39">
        <f t="shared" si="158"/>
        <v>1.364915120553265E-2</v>
      </c>
      <c r="G796" s="39">
        <f t="shared" si="158"/>
        <v>3.6991372359301798E-2</v>
      </c>
      <c r="H796" s="39">
        <f t="shared" si="158"/>
        <v>8.2933318566521724E-2</v>
      </c>
      <c r="I796" s="39">
        <f t="shared" si="158"/>
        <v>0.15863548813084094</v>
      </c>
      <c r="J796" s="39">
        <f t="shared" si="158"/>
        <v>0.26518934227748375</v>
      </c>
      <c r="K796" s="39">
        <f t="shared" si="158"/>
        <v>0.39526501853155338</v>
      </c>
      <c r="L796" s="39">
        <f t="shared" si="159"/>
        <v>0.53462484258976573</v>
      </c>
      <c r="M796" s="39">
        <f t="shared" si="159"/>
        <v>0.66690653388469023</v>
      </c>
      <c r="N796" s="39">
        <f t="shared" si="159"/>
        <v>0.77900892018723811</v>
      </c>
      <c r="O796" s="39">
        <f t="shared" si="159"/>
        <v>0.86436284255983709</v>
      </c>
      <c r="P796" s="39">
        <f t="shared" si="159"/>
        <v>0.92305794810067376</v>
      </c>
      <c r="Q796" s="39">
        <f t="shared" si="159"/>
        <v>0.95967251393805286</v>
      </c>
      <c r="R796" s="39">
        <f t="shared" si="159"/>
        <v>0.98046844943335709</v>
      </c>
      <c r="S796" s="39">
        <f t="shared" si="159"/>
        <v>0.99125593999218164</v>
      </c>
      <c r="T796" s="39">
        <f t="shared" si="159"/>
        <v>0.99637993859205531</v>
      </c>
      <c r="U796" s="39">
        <f t="shared" si="159"/>
        <v>0.99861344598082458</v>
      </c>
      <c r="V796" s="39">
        <f t="shared" si="159"/>
        <v>0.99950847205335125</v>
      </c>
      <c r="W796" s="37">
        <v>0.20699999999999999</v>
      </c>
    </row>
    <row r="797" spans="2:23" x14ac:dyDescent="0.25">
      <c r="B797" s="39">
        <f t="shared" si="158"/>
        <v>9.3058115405961594E-6</v>
      </c>
      <c r="C797" s="39">
        <f t="shared" si="158"/>
        <v>1.3128017437946129E-4</v>
      </c>
      <c r="D797" s="39">
        <f t="shared" si="158"/>
        <v>9.1383903086188873E-4</v>
      </c>
      <c r="E797" s="39">
        <f t="shared" si="158"/>
        <v>4.1891847083247672E-3</v>
      </c>
      <c r="F797" s="39">
        <f t="shared" si="158"/>
        <v>1.4245818799003045E-2</v>
      </c>
      <c r="G797" s="39">
        <f t="shared" si="158"/>
        <v>3.8396830005822766E-2</v>
      </c>
      <c r="H797" s="39">
        <f t="shared" si="158"/>
        <v>8.5627960459927308E-2</v>
      </c>
      <c r="I797" s="39">
        <f t="shared" si="158"/>
        <v>0.16295855668265957</v>
      </c>
      <c r="J797" s="39">
        <f t="shared" si="158"/>
        <v>0.2711105537152253</v>
      </c>
      <c r="K797" s="39">
        <f t="shared" si="158"/>
        <v>0.40229492048620669</v>
      </c>
      <c r="L797" s="39">
        <f t="shared" si="159"/>
        <v>0.54194540640872957</v>
      </c>
      <c r="M797" s="39">
        <f t="shared" si="159"/>
        <v>0.67365630983499614</v>
      </c>
      <c r="N797" s="39">
        <f t="shared" si="159"/>
        <v>0.78456159137172077</v>
      </c>
      <c r="O797" s="39">
        <f t="shared" si="159"/>
        <v>0.86846401123981143</v>
      </c>
      <c r="P797" s="39">
        <f t="shared" si="159"/>
        <v>0.92579174449916501</v>
      </c>
      <c r="Q797" s="39">
        <f t="shared" si="159"/>
        <v>0.9613243368971689</v>
      </c>
      <c r="R797" s="39">
        <f t="shared" si="159"/>
        <v>0.98137643545767539</v>
      </c>
      <c r="S797" s="39">
        <f t="shared" si="159"/>
        <v>0.99171138590413377</v>
      </c>
      <c r="T797" s="39">
        <f t="shared" si="159"/>
        <v>0.99658893677490445</v>
      </c>
      <c r="U797" s="39">
        <f t="shared" si="159"/>
        <v>0.99870137133824288</v>
      </c>
      <c r="V797" s="39">
        <f t="shared" si="159"/>
        <v>0.99954244271133896</v>
      </c>
      <c r="W797" s="37">
        <v>0.20599999999999999</v>
      </c>
    </row>
    <row r="798" spans="2:23" x14ac:dyDescent="0.25">
      <c r="B798" s="39">
        <f t="shared" si="158"/>
        <v>9.9392765253118573E-6</v>
      </c>
      <c r="C798" s="39">
        <f t="shared" si="158"/>
        <v>1.3938662518425831E-4</v>
      </c>
      <c r="D798" s="39">
        <f t="shared" si="158"/>
        <v>9.6459563284250632E-4</v>
      </c>
      <c r="E798" s="39">
        <f t="shared" si="158"/>
        <v>4.3964172202466461E-3</v>
      </c>
      <c r="F798" s="39">
        <f t="shared" si="158"/>
        <v>1.4866233949815637E-2</v>
      </c>
      <c r="G798" s="39">
        <f t="shared" si="158"/>
        <v>3.9848905495532737E-2</v>
      </c>
      <c r="H798" s="39">
        <f t="shared" si="158"/>
        <v>8.8394215703337733E-2</v>
      </c>
      <c r="I798" s="39">
        <f t="shared" si="158"/>
        <v>0.16736817850206318</v>
      </c>
      <c r="J798" s="39">
        <f t="shared" si="158"/>
        <v>0.27711172590366229</v>
      </c>
      <c r="K798" s="39">
        <f t="shared" si="158"/>
        <v>0.40937420465230784</v>
      </c>
      <c r="L798" s="39">
        <f t="shared" si="159"/>
        <v>0.54927023434260058</v>
      </c>
      <c r="M798" s="39">
        <f t="shared" si="159"/>
        <v>0.68036678585294774</v>
      </c>
      <c r="N798" s="39">
        <f t="shared" si="159"/>
        <v>0.79004657399774425</v>
      </c>
      <c r="O798" s="39">
        <f t="shared" si="159"/>
        <v>0.87248922093957182</v>
      </c>
      <c r="P798" s="39">
        <f t="shared" si="159"/>
        <v>0.92845769984619875</v>
      </c>
      <c r="Q798" s="39">
        <f t="shared" si="159"/>
        <v>0.96292483171112409</v>
      </c>
      <c r="R798" s="39">
        <f t="shared" si="159"/>
        <v>0.98225055785158899</v>
      </c>
      <c r="S798" s="39">
        <f t="shared" si="159"/>
        <v>0.99214702860044235</v>
      </c>
      <c r="T798" s="39">
        <f t="shared" si="159"/>
        <v>0.99678756223657805</v>
      </c>
      <c r="U798" s="39">
        <f t="shared" si="159"/>
        <v>0.99878439532096452</v>
      </c>
      <c r="V798" s="39">
        <f t="shared" si="159"/>
        <v>0.9995743131923216</v>
      </c>
      <c r="W798" s="37">
        <v>0.20499999999999999</v>
      </c>
    </row>
    <row r="799" spans="2:23" x14ac:dyDescent="0.25">
      <c r="B799" s="39">
        <f t="shared" si="158"/>
        <v>1.0614943166914068E-5</v>
      </c>
      <c r="C799" s="39">
        <f t="shared" si="158"/>
        <v>1.4797791917048244E-4</v>
      </c>
      <c r="D799" s="39">
        <f t="shared" si="158"/>
        <v>1.0180442655238495E-3</v>
      </c>
      <c r="E799" s="39">
        <f t="shared" si="158"/>
        <v>4.6132457600989319E-3</v>
      </c>
      <c r="F799" s="39">
        <f t="shared" si="158"/>
        <v>1.5511225020894297E-2</v>
      </c>
      <c r="G799" s="39">
        <f t="shared" si="158"/>
        <v>4.1348837294750085E-2</v>
      </c>
      <c r="H799" s="39">
        <f t="shared" si="158"/>
        <v>9.1233336239323115E-2</v>
      </c>
      <c r="I799" s="39">
        <f t="shared" si="158"/>
        <v>0.17186494605998295</v>
      </c>
      <c r="J799" s="39">
        <f t="shared" si="158"/>
        <v>0.28319224899688811</v>
      </c>
      <c r="K799" s="39">
        <f t="shared" si="158"/>
        <v>0.4165010642551068</v>
      </c>
      <c r="L799" s="39">
        <f t="shared" si="159"/>
        <v>0.55659693636402219</v>
      </c>
      <c r="M799" s="39">
        <f t="shared" si="159"/>
        <v>0.68703585025563729</v>
      </c>
      <c r="N799" s="39">
        <f t="shared" si="159"/>
        <v>0.79546266002315569</v>
      </c>
      <c r="O799" s="39">
        <f t="shared" si="159"/>
        <v>0.87643829931722406</v>
      </c>
      <c r="P799" s="39">
        <f t="shared" si="159"/>
        <v>0.9310563946987489</v>
      </c>
      <c r="Q799" s="39">
        <f t="shared" si="159"/>
        <v>0.96447489732744485</v>
      </c>
      <c r="R799" s="39">
        <f t="shared" si="159"/>
        <v>0.98309168117383683</v>
      </c>
      <c r="S799" s="39">
        <f t="shared" si="159"/>
        <v>0.99256352159436712</v>
      </c>
      <c r="T799" s="39">
        <f t="shared" si="159"/>
        <v>0.99697623109903821</v>
      </c>
      <c r="U799" s="39">
        <f t="shared" si="159"/>
        <v>0.99886274823144794</v>
      </c>
      <c r="V799" s="39">
        <f t="shared" si="159"/>
        <v>0.99960419622395758</v>
      </c>
      <c r="W799" s="37">
        <v>0.20399999999999999</v>
      </c>
    </row>
    <row r="800" spans="2:23" x14ac:dyDescent="0.25">
      <c r="B800" s="39">
        <f t="shared" si="158"/>
        <v>1.1212215157224553E-5</v>
      </c>
      <c r="C800" s="39">
        <f t="shared" si="158"/>
        <v>1.5552785579476869E-4</v>
      </c>
      <c r="D800" s="39">
        <f t="shared" si="158"/>
        <v>1.0647386137533172E-3</v>
      </c>
      <c r="E800" s="39">
        <f t="shared" si="158"/>
        <v>4.8015608360382264E-3</v>
      </c>
      <c r="F800" s="39">
        <f t="shared" si="158"/>
        <v>1.6068104485450253E-2</v>
      </c>
      <c r="G800" s="39">
        <f t="shared" si="158"/>
        <v>4.2636244084477068E-2</v>
      </c>
      <c r="H800" s="39">
        <f t="shared" si="158"/>
        <v>9.3655830841948909E-2</v>
      </c>
      <c r="I800" s="39">
        <f t="shared" si="158"/>
        <v>0.17567922147417042</v>
      </c>
      <c r="J800" s="39">
        <f t="shared" si="158"/>
        <v>0.28831948240691302</v>
      </c>
      <c r="K800" s="39">
        <f t="shared" si="158"/>
        <v>0.422475113481944</v>
      </c>
      <c r="L800" s="39">
        <f t="shared" si="159"/>
        <v>0.56270221481708971</v>
      </c>
      <c r="M800" s="39">
        <f t="shared" si="159"/>
        <v>0.69256026295501827</v>
      </c>
      <c r="N800" s="39">
        <f t="shared" si="159"/>
        <v>0.79992259895667217</v>
      </c>
      <c r="O800" s="39">
        <f t="shared" si="159"/>
        <v>0.87967095285712527</v>
      </c>
      <c r="P800" s="39">
        <f t="shared" si="159"/>
        <v>0.9331710356334767</v>
      </c>
      <c r="Q800" s="39">
        <f t="shared" si="159"/>
        <v>0.96572875216225706</v>
      </c>
      <c r="R800" s="39">
        <f t="shared" si="159"/>
        <v>0.98376802972086363</v>
      </c>
      <c r="S800" s="39">
        <f t="shared" si="159"/>
        <v>0.99289643415087103</v>
      </c>
      <c r="T800" s="39">
        <f t="shared" si="159"/>
        <v>0.99712614163975699</v>
      </c>
      <c r="U800" s="39">
        <f t="shared" si="159"/>
        <v>0.99892463451575364</v>
      </c>
      <c r="V800" s="39">
        <f t="shared" si="159"/>
        <v>0.99962765844551305</v>
      </c>
      <c r="W800" s="37">
        <v>0.20300000000000001</v>
      </c>
    </row>
    <row r="801" spans="2:23" x14ac:dyDescent="0.25">
      <c r="B801" s="39">
        <f t="shared" si="158"/>
        <v>1.1972521017263885E-5</v>
      </c>
      <c r="C801" s="39">
        <f t="shared" si="158"/>
        <v>1.6508188669618227E-4</v>
      </c>
      <c r="D801" s="39">
        <f t="shared" si="158"/>
        <v>1.1234785718834117E-3</v>
      </c>
      <c r="E801" s="39">
        <f t="shared" si="158"/>
        <v>5.0370544934737835E-3</v>
      </c>
      <c r="F801" s="39">
        <f t="shared" si="158"/>
        <v>1.6760379993771408E-2</v>
      </c>
      <c r="G801" s="39">
        <f t="shared" si="158"/>
        <v>4.4227192230692769E-2</v>
      </c>
      <c r="H801" s="39">
        <f t="shared" si="158"/>
        <v>9.6631771986934706E-2</v>
      </c>
      <c r="I801" s="39">
        <f t="shared" si="158"/>
        <v>0.18033715923230423</v>
      </c>
      <c r="J801" s="39">
        <f t="shared" si="158"/>
        <v>0.29454368404703568</v>
      </c>
      <c r="K801" s="39">
        <f t="shared" si="158"/>
        <v>0.4296843141268476</v>
      </c>
      <c r="L801" s="39">
        <f t="shared" si="159"/>
        <v>0.57002608029854973</v>
      </c>
      <c r="M801" s="39">
        <f t="shared" si="159"/>
        <v>0.69914800185653758</v>
      </c>
      <c r="N801" s="39">
        <f t="shared" si="159"/>
        <v>0.80520940487235648</v>
      </c>
      <c r="O801" s="39">
        <f t="shared" si="159"/>
        <v>0.88348017778525856</v>
      </c>
      <c r="P801" s="39">
        <f t="shared" si="159"/>
        <v>0.9356480350226728</v>
      </c>
      <c r="Q801" s="39">
        <f t="shared" si="159"/>
        <v>0.96718873293620233</v>
      </c>
      <c r="R801" s="39">
        <f t="shared" si="159"/>
        <v>0.98455088206279817</v>
      </c>
      <c r="S801" s="39">
        <f t="shared" si="159"/>
        <v>0.9932794772882555</v>
      </c>
      <c r="T801" s="39">
        <f t="shared" si="159"/>
        <v>0.9972975992219828</v>
      </c>
      <c r="U801" s="39">
        <f t="shared" si="159"/>
        <v>0.99899499433957895</v>
      </c>
      <c r="V801" s="39">
        <f t="shared" si="159"/>
        <v>0.99965417420499558</v>
      </c>
      <c r="W801" s="37">
        <v>0.20200000000000001</v>
      </c>
    </row>
    <row r="802" spans="2:23" x14ac:dyDescent="0.25">
      <c r="B802" s="39">
        <f t="shared" si="158"/>
        <v>1.2783284411443415E-5</v>
      </c>
      <c r="C802" s="39">
        <f t="shared" si="158"/>
        <v>1.75204212088111E-4</v>
      </c>
      <c r="D802" s="39">
        <f t="shared" si="158"/>
        <v>1.1853105803168616E-3</v>
      </c>
      <c r="E802" s="39">
        <f t="shared" si="158"/>
        <v>5.283342470371496E-3</v>
      </c>
      <c r="F802" s="39">
        <f t="shared" si="158"/>
        <v>1.7479705472104742E-2</v>
      </c>
      <c r="G802" s="39">
        <f t="shared" si="158"/>
        <v>4.5869608282190673E-2</v>
      </c>
      <c r="H802" s="39">
        <f t="shared" si="158"/>
        <v>9.9684094154662659E-2</v>
      </c>
      <c r="I802" s="39">
        <f t="shared" si="158"/>
        <v>0.18508369529125385</v>
      </c>
      <c r="J802" s="39">
        <f t="shared" si="158"/>
        <v>0.30084515615489726</v>
      </c>
      <c r="K802" s="39">
        <f t="shared" si="158"/>
        <v>0.43693566509280318</v>
      </c>
      <c r="L802" s="39">
        <f t="shared" si="159"/>
        <v>0.57734494642342138</v>
      </c>
      <c r="M802" s="39">
        <f t="shared" si="159"/>
        <v>0.70568848203864132</v>
      </c>
      <c r="N802" s="39">
        <f t="shared" si="159"/>
        <v>0.81042416831045372</v>
      </c>
      <c r="O802" s="39">
        <f t="shared" si="159"/>
        <v>0.88721305774535519</v>
      </c>
      <c r="P802" s="39">
        <f t="shared" si="159"/>
        <v>0.93805959261421534</v>
      </c>
      <c r="Q802" s="39">
        <f t="shared" si="159"/>
        <v>0.96860088470258587</v>
      </c>
      <c r="R802" s="39">
        <f t="shared" si="159"/>
        <v>0.98530315381341327</v>
      </c>
      <c r="S802" s="39">
        <f t="shared" si="159"/>
        <v>0.99364515745415893</v>
      </c>
      <c r="T802" s="39">
        <f t="shared" si="159"/>
        <v>0.99746021676384411</v>
      </c>
      <c r="U802" s="39">
        <f t="shared" si="159"/>
        <v>0.99906129083479389</v>
      </c>
      <c r="V802" s="39">
        <f t="shared" si="159"/>
        <v>0.99967899542801031</v>
      </c>
      <c r="W802" s="37">
        <v>0.20100000000000001</v>
      </c>
    </row>
    <row r="803" spans="2:23" x14ac:dyDescent="0.25">
      <c r="B803" s="39">
        <f t="shared" ref="B803:K812" si="160">_xlfn.HYPGEOM.DIST(B$2,comau,tongtheN*$W803,tongtheN,TRUE)</f>
        <v>1.3647781192293894E-5</v>
      </c>
      <c r="C803" s="39">
        <f t="shared" si="160"/>
        <v>1.8592746488200026E-4</v>
      </c>
      <c r="D803" s="39">
        <f t="shared" si="160"/>
        <v>1.2503886700108051E-3</v>
      </c>
      <c r="E803" s="39">
        <f t="shared" si="160"/>
        <v>5.5408785220086385E-3</v>
      </c>
      <c r="F803" s="39">
        <f t="shared" si="160"/>
        <v>1.8227000043988306E-2</v>
      </c>
      <c r="G803" s="39">
        <f t="shared" si="160"/>
        <v>4.7564801897840153E-2</v>
      </c>
      <c r="H803" s="39">
        <f t="shared" si="160"/>
        <v>0.10281402266136015</v>
      </c>
      <c r="I803" s="39">
        <f t="shared" si="160"/>
        <v>0.18991925693518494</v>
      </c>
      <c r="J803" s="39">
        <f t="shared" si="160"/>
        <v>0.30722303728178679</v>
      </c>
      <c r="K803" s="39">
        <f t="shared" si="160"/>
        <v>0.4442271462317739</v>
      </c>
      <c r="L803" s="39">
        <f t="shared" ref="L803:V812" si="161">_xlfn.HYPGEOM.DIST(L$2,comau,tongtheN*$W803,tongtheN,TRUE)</f>
        <v>0.58465635790550996</v>
      </c>
      <c r="M803" s="39">
        <f t="shared" si="161"/>
        <v>0.71217969427225458</v>
      </c>
      <c r="N803" s="39">
        <f t="shared" si="161"/>
        <v>0.81556587968589256</v>
      </c>
      <c r="O803" s="39">
        <f t="shared" si="161"/>
        <v>0.89086961322298786</v>
      </c>
      <c r="P803" s="39">
        <f t="shared" si="161"/>
        <v>0.9404064083412107</v>
      </c>
      <c r="Q803" s="39">
        <f t="shared" si="161"/>
        <v>0.96996614066082865</v>
      </c>
      <c r="R803" s="39">
        <f t="shared" si="161"/>
        <v>0.98602568559938231</v>
      </c>
      <c r="S803" s="39">
        <f t="shared" si="161"/>
        <v>0.99399408177767323</v>
      </c>
      <c r="T803" s="39">
        <f t="shared" si="161"/>
        <v>0.99761436657701685</v>
      </c>
      <c r="U803" s="39">
        <f t="shared" si="161"/>
        <v>0.99912372324240339</v>
      </c>
      <c r="V803" s="39">
        <f t="shared" si="161"/>
        <v>0.99970221663129877</v>
      </c>
      <c r="W803" s="37">
        <v>0.2</v>
      </c>
    </row>
    <row r="804" spans="2:23" x14ac:dyDescent="0.25">
      <c r="B804" s="39">
        <f t="shared" si="160"/>
        <v>1.4411748371956251E-5</v>
      </c>
      <c r="C804" s="39">
        <f t="shared" si="160"/>
        <v>1.9534733706103052E-4</v>
      </c>
      <c r="D804" s="39">
        <f t="shared" si="160"/>
        <v>1.3072161319008478E-3</v>
      </c>
      <c r="E804" s="39">
        <f t="shared" si="160"/>
        <v>5.7644232044315831E-3</v>
      </c>
      <c r="F804" s="39">
        <f t="shared" si="160"/>
        <v>1.8871790841482161E-2</v>
      </c>
      <c r="G804" s="39">
        <f t="shared" si="160"/>
        <v>4.9018736406698633E-2</v>
      </c>
      <c r="H804" s="39">
        <f t="shared" si="160"/>
        <v>0.10548245579573806</v>
      </c>
      <c r="I804" s="39">
        <f t="shared" si="160"/>
        <v>0.19401717277391792</v>
      </c>
      <c r="J804" s="39">
        <f t="shared" si="160"/>
        <v>0.31259563797256096</v>
      </c>
      <c r="K804" s="39">
        <f t="shared" si="160"/>
        <v>0.4503325410944688</v>
      </c>
      <c r="L804" s="39">
        <f t="shared" si="161"/>
        <v>0.59074172671522318</v>
      </c>
      <c r="M804" s="39">
        <f t="shared" si="161"/>
        <v>0.71754997489887118</v>
      </c>
      <c r="N804" s="39">
        <f t="shared" si="161"/>
        <v>0.81979414443239784</v>
      </c>
      <c r="O804" s="39">
        <f t="shared" si="161"/>
        <v>0.89385848826815484</v>
      </c>
      <c r="P804" s="39">
        <f t="shared" si="161"/>
        <v>0.94231315722160736</v>
      </c>
      <c r="Q804" s="39">
        <f t="shared" si="161"/>
        <v>0.97106870846958393</v>
      </c>
      <c r="R804" s="39">
        <f t="shared" si="161"/>
        <v>0.98660567852801762</v>
      </c>
      <c r="S804" s="39">
        <f t="shared" si="161"/>
        <v>0.99427248181601424</v>
      </c>
      <c r="T804" s="39">
        <f t="shared" si="161"/>
        <v>0.99773661721658857</v>
      </c>
      <c r="U804" s="39">
        <f t="shared" si="161"/>
        <v>0.99917293695115772</v>
      </c>
      <c r="V804" s="39">
        <f t="shared" si="161"/>
        <v>0.99972041055567495</v>
      </c>
      <c r="W804" s="37">
        <v>0.19900000000000001</v>
      </c>
    </row>
    <row r="805" spans="2:23" x14ac:dyDescent="0.25">
      <c r="B805" s="39">
        <f t="shared" si="160"/>
        <v>1.5383963559173241E-5</v>
      </c>
      <c r="C805" s="39">
        <f t="shared" si="160"/>
        <v>2.0726308928082428E-4</v>
      </c>
      <c r="D805" s="39">
        <f t="shared" si="160"/>
        <v>1.3786694240143136E-3</v>
      </c>
      <c r="E805" s="39">
        <f t="shared" si="160"/>
        <v>6.0438156312221623E-3</v>
      </c>
      <c r="F805" s="39">
        <f t="shared" si="160"/>
        <v>1.9672830817955823E-2</v>
      </c>
      <c r="G805" s="39">
        <f t="shared" si="160"/>
        <v>5.0814148087354731E-2</v>
      </c>
      <c r="H805" s="39">
        <f t="shared" si="160"/>
        <v>0.10875780895987668</v>
      </c>
      <c r="I805" s="39">
        <f t="shared" si="160"/>
        <v>0.19901689891539032</v>
      </c>
      <c r="J805" s="39">
        <f t="shared" si="160"/>
        <v>0.31911113992201379</v>
      </c>
      <c r="K805" s="39">
        <f t="shared" si="160"/>
        <v>0.45769217082897234</v>
      </c>
      <c r="L805" s="39">
        <f t="shared" si="161"/>
        <v>0.59803305685240171</v>
      </c>
      <c r="M805" s="39">
        <f t="shared" si="161"/>
        <v>0.72394575088103952</v>
      </c>
      <c r="N805" s="39">
        <f t="shared" si="161"/>
        <v>0.82479948453865592</v>
      </c>
      <c r="O805" s="39">
        <f t="shared" si="161"/>
        <v>0.89737533212460263</v>
      </c>
      <c r="P805" s="39">
        <f t="shared" si="161"/>
        <v>0.94454319121157393</v>
      </c>
      <c r="Q805" s="39">
        <f t="shared" si="161"/>
        <v>0.97235043298542767</v>
      </c>
      <c r="R805" s="39">
        <f t="shared" si="161"/>
        <v>0.98727584427203097</v>
      </c>
      <c r="S805" s="39">
        <f t="shared" si="161"/>
        <v>0.99459222235369915</v>
      </c>
      <c r="T805" s="39">
        <f t="shared" si="161"/>
        <v>0.99787617278576723</v>
      </c>
      <c r="U805" s="39">
        <f t="shared" si="161"/>
        <v>0.9992287773466374</v>
      </c>
      <c r="V805" s="39">
        <f t="shared" si="161"/>
        <v>0.99974092944587734</v>
      </c>
      <c r="W805" s="37">
        <v>0.19800000000000001</v>
      </c>
    </row>
    <row r="806" spans="2:23" x14ac:dyDescent="0.25">
      <c r="B806" s="39">
        <f t="shared" si="160"/>
        <v>1.6420366460355922E-5</v>
      </c>
      <c r="C806" s="39">
        <f t="shared" si="160"/>
        <v>2.1988233078900252E-4</v>
      </c>
      <c r="D806" s="39">
        <f t="shared" si="160"/>
        <v>1.453845167493387E-3</v>
      </c>
      <c r="E806" s="39">
        <f t="shared" si="160"/>
        <v>6.3358351945071532E-3</v>
      </c>
      <c r="F806" s="39">
        <f t="shared" si="160"/>
        <v>2.0504578233850407E-2</v>
      </c>
      <c r="G806" s="39">
        <f t="shared" si="160"/>
        <v>5.2666141295144984E-2</v>
      </c>
      <c r="H806" s="39">
        <f t="shared" si="160"/>
        <v>0.1121141777061527</v>
      </c>
      <c r="I806" s="39">
        <f t="shared" si="160"/>
        <v>0.20410659739194323</v>
      </c>
      <c r="J806" s="39">
        <f t="shared" si="160"/>
        <v>0.32570024041678436</v>
      </c>
      <c r="K806" s="39">
        <f t="shared" si="160"/>
        <v>0.46508592042593178</v>
      </c>
      <c r="L806" s="39">
        <f t="shared" si="161"/>
        <v>0.60530991919042099</v>
      </c>
      <c r="M806" s="39">
        <f t="shared" si="161"/>
        <v>0.73028674518372827</v>
      </c>
      <c r="N806" s="39">
        <f t="shared" si="161"/>
        <v>0.82972920768722314</v>
      </c>
      <c r="O806" s="39">
        <f t="shared" si="161"/>
        <v>0.9008161757399259</v>
      </c>
      <c r="P806" s="39">
        <f t="shared" si="161"/>
        <v>0.94671061746397689</v>
      </c>
      <c r="Q806" s="39">
        <f t="shared" si="161"/>
        <v>0.97358793701434398</v>
      </c>
      <c r="R806" s="39">
        <f t="shared" si="161"/>
        <v>0.98791860793891395</v>
      </c>
      <c r="S806" s="39">
        <f t="shared" si="161"/>
        <v>0.99489685892437685</v>
      </c>
      <c r="T806" s="39">
        <f t="shared" si="161"/>
        <v>0.99800825514724767</v>
      </c>
      <c r="U806" s="39">
        <f t="shared" si="161"/>
        <v>0.99928127713152337</v>
      </c>
      <c r="V806" s="39">
        <f t="shared" si="161"/>
        <v>0.9997600928367637</v>
      </c>
      <c r="W806" s="37">
        <v>0.19700000000000001</v>
      </c>
    </row>
    <row r="807" spans="2:23" x14ac:dyDescent="0.25">
      <c r="B807" s="39">
        <f t="shared" si="160"/>
        <v>1.7525102844035787E-5</v>
      </c>
      <c r="C807" s="39">
        <f t="shared" si="160"/>
        <v>2.3324513240047134E-4</v>
      </c>
      <c r="D807" s="39">
        <f t="shared" si="160"/>
        <v>1.5329265661963522E-3</v>
      </c>
      <c r="E807" s="39">
        <f t="shared" si="160"/>
        <v>6.6410032039921621E-3</v>
      </c>
      <c r="F807" s="39">
        <f t="shared" si="160"/>
        <v>2.1368047866523812E-2</v>
      </c>
      <c r="G807" s="39">
        <f t="shared" si="160"/>
        <v>5.457608975262452E-2</v>
      </c>
      <c r="H807" s="39">
        <f t="shared" si="160"/>
        <v>0.11555273821697393</v>
      </c>
      <c r="I807" s="39">
        <f t="shared" si="160"/>
        <v>0.20928650358284132</v>
      </c>
      <c r="J807" s="39">
        <f t="shared" si="160"/>
        <v>0.33236181503074125</v>
      </c>
      <c r="K807" s="39">
        <f t="shared" si="160"/>
        <v>0.47251157107945219</v>
      </c>
      <c r="L807" s="39">
        <f t="shared" si="161"/>
        <v>0.61256982565522611</v>
      </c>
      <c r="M807" s="39">
        <f t="shared" si="161"/>
        <v>0.73657108118991588</v>
      </c>
      <c r="N807" s="39">
        <f t="shared" si="161"/>
        <v>0.83458251516539605</v>
      </c>
      <c r="O807" s="39">
        <f t="shared" si="161"/>
        <v>0.90418122575065496</v>
      </c>
      <c r="P807" s="39">
        <f t="shared" si="161"/>
        <v>0.94881623891324507</v>
      </c>
      <c r="Q807" s="39">
        <f t="shared" si="161"/>
        <v>0.97478217265739553</v>
      </c>
      <c r="R807" s="39">
        <f t="shared" si="161"/>
        <v>0.98853477748086338</v>
      </c>
      <c r="S807" s="39">
        <f t="shared" si="161"/>
        <v>0.99518695008778202</v>
      </c>
      <c r="T807" s="39">
        <f t="shared" si="161"/>
        <v>0.99813319439684955</v>
      </c>
      <c r="U807" s="39">
        <f t="shared" si="161"/>
        <v>0.99933060714635769</v>
      </c>
      <c r="V807" s="39">
        <f t="shared" si="161"/>
        <v>0.99977797927133671</v>
      </c>
      <c r="W807" s="37">
        <v>0.19600000000000001</v>
      </c>
    </row>
    <row r="808" spans="2:23" x14ac:dyDescent="0.25">
      <c r="B808" s="39">
        <f t="shared" si="160"/>
        <v>1.8702580317581307E-5</v>
      </c>
      <c r="C808" s="39">
        <f t="shared" si="160"/>
        <v>2.4739375732807497E-4</v>
      </c>
      <c r="D808" s="39">
        <f t="shared" si="160"/>
        <v>1.6161052236554089E-3</v>
      </c>
      <c r="E808" s="39">
        <f t="shared" si="160"/>
        <v>6.9598598732085676E-3</v>
      </c>
      <c r="F808" s="39">
        <f t="shared" si="160"/>
        <v>2.2264280153539213E-2</v>
      </c>
      <c r="G808" s="39">
        <f t="shared" si="160"/>
        <v>5.6545382395042275E-2</v>
      </c>
      <c r="H808" s="39">
        <f t="shared" si="160"/>
        <v>0.11907464980748572</v>
      </c>
      <c r="I808" s="39">
        <f t="shared" si="160"/>
        <v>0.21455679840584471</v>
      </c>
      <c r="J808" s="39">
        <f t="shared" si="160"/>
        <v>0.33909466932718674</v>
      </c>
      <c r="K808" s="39">
        <f t="shared" si="160"/>
        <v>0.47996685520270604</v>
      </c>
      <c r="L808" s="39">
        <f t="shared" si="161"/>
        <v>0.61981028527613291</v>
      </c>
      <c r="M808" s="39">
        <f t="shared" si="161"/>
        <v>0.74279692165693811</v>
      </c>
      <c r="N808" s="39">
        <f t="shared" si="161"/>
        <v>0.8393586648418655</v>
      </c>
      <c r="O808" s="39">
        <f t="shared" si="161"/>
        <v>0.90747073584669891</v>
      </c>
      <c r="P808" s="39">
        <f t="shared" si="161"/>
        <v>0.95086088252218393</v>
      </c>
      <c r="Q808" s="39">
        <f t="shared" si="161"/>
        <v>0.97593409450470048</v>
      </c>
      <c r="R808" s="39">
        <f t="shared" si="161"/>
        <v>0.98912515105834153</v>
      </c>
      <c r="S808" s="39">
        <f t="shared" si="161"/>
        <v>0.99546304151184872</v>
      </c>
      <c r="T808" s="39">
        <f t="shared" si="161"/>
        <v>0.99825130994525324</v>
      </c>
      <c r="U808" s="39">
        <f t="shared" si="161"/>
        <v>0.99937693126966454</v>
      </c>
      <c r="V808" s="39">
        <f t="shared" si="161"/>
        <v>0.99979466347750068</v>
      </c>
      <c r="W808" s="37">
        <v>0.19500000000000001</v>
      </c>
    </row>
    <row r="809" spans="2:23" x14ac:dyDescent="0.25">
      <c r="B809" s="39">
        <f t="shared" si="160"/>
        <v>1.9742749344749627E-5</v>
      </c>
      <c r="C809" s="39">
        <f t="shared" si="160"/>
        <v>2.598166428343089E-4</v>
      </c>
      <c r="D809" s="39">
        <f t="shared" si="160"/>
        <v>1.6886948955924617E-3</v>
      </c>
      <c r="E809" s="39">
        <f t="shared" si="160"/>
        <v>7.2364335520938086E-3</v>
      </c>
      <c r="F809" s="39">
        <f t="shared" si="160"/>
        <v>2.303693595937387E-2</v>
      </c>
      <c r="G809" s="39">
        <f t="shared" si="160"/>
        <v>5.8232804047122624E-2</v>
      </c>
      <c r="H809" s="39">
        <f t="shared" si="160"/>
        <v>0.1220740706404473</v>
      </c>
      <c r="I809" s="39">
        <f t="shared" si="160"/>
        <v>0.21901784929034129</v>
      </c>
      <c r="J809" s="39">
        <f t="shared" si="160"/>
        <v>0.34475892057187207</v>
      </c>
      <c r="K809" s="39">
        <f t="shared" si="160"/>
        <v>0.48620055992872968</v>
      </c>
      <c r="L809" s="39">
        <f t="shared" si="161"/>
        <v>0.62582734889783309</v>
      </c>
      <c r="M809" s="39">
        <f t="shared" si="161"/>
        <v>0.74793914097532022</v>
      </c>
      <c r="N809" s="39">
        <f t="shared" si="161"/>
        <v>0.8432793536373806</v>
      </c>
      <c r="O809" s="39">
        <f t="shared" si="161"/>
        <v>0.91015450522642971</v>
      </c>
      <c r="P809" s="39">
        <f t="shared" si="161"/>
        <v>0.95251878432029846</v>
      </c>
      <c r="Q809" s="39">
        <f t="shared" si="161"/>
        <v>0.97686239609369141</v>
      </c>
      <c r="R809" s="39">
        <f t="shared" si="161"/>
        <v>0.98959799253384517</v>
      </c>
      <c r="S809" s="39">
        <f t="shared" si="161"/>
        <v>0.99568280817531474</v>
      </c>
      <c r="T809" s="39">
        <f t="shared" si="161"/>
        <v>0.99834475017191338</v>
      </c>
      <c r="U809" s="39">
        <f t="shared" si="161"/>
        <v>0.99941335207965443</v>
      </c>
      <c r="V809" s="39">
        <f t="shared" si="161"/>
        <v>0.99980769998254471</v>
      </c>
      <c r="W809" s="37">
        <v>0.19400000000000001</v>
      </c>
    </row>
    <row r="810" spans="2:23" x14ac:dyDescent="0.25">
      <c r="B810" s="39">
        <f t="shared" si="160"/>
        <v>2.1065967444552287E-5</v>
      </c>
      <c r="C810" s="39">
        <f t="shared" si="160"/>
        <v>2.7552344950344956E-4</v>
      </c>
      <c r="D810" s="39">
        <f t="shared" si="160"/>
        <v>1.7799121186828964E-3</v>
      </c>
      <c r="E810" s="39">
        <f t="shared" si="160"/>
        <v>7.5818540871143677E-3</v>
      </c>
      <c r="F810" s="39">
        <f t="shared" si="160"/>
        <v>2.3996021543722774E-2</v>
      </c>
      <c r="G810" s="39">
        <f t="shared" si="160"/>
        <v>6.031454930271641E-2</v>
      </c>
      <c r="H810" s="39">
        <f t="shared" si="160"/>
        <v>0.12575174043098125</v>
      </c>
      <c r="I810" s="39">
        <f t="shared" si="160"/>
        <v>0.22445413850511808</v>
      </c>
      <c r="J810" s="39">
        <f t="shared" si="160"/>
        <v>0.35161911801956086</v>
      </c>
      <c r="K810" s="39">
        <f t="shared" si="160"/>
        <v>0.49370412657700979</v>
      </c>
      <c r="L810" s="39">
        <f t="shared" si="161"/>
        <v>0.63302568646412183</v>
      </c>
      <c r="M810" s="39">
        <f t="shared" si="161"/>
        <v>0.75405310620327703</v>
      </c>
      <c r="N810" s="39">
        <f t="shared" si="161"/>
        <v>0.84791230964532871</v>
      </c>
      <c r="O810" s="39">
        <f t="shared" si="161"/>
        <v>0.9133063375456163</v>
      </c>
      <c r="P810" s="39">
        <f t="shared" si="161"/>
        <v>0.95445385791745052</v>
      </c>
      <c r="Q810" s="39">
        <f t="shared" si="161"/>
        <v>0.97793922627002972</v>
      </c>
      <c r="R810" s="39">
        <f t="shared" si="161"/>
        <v>0.99014311212290518</v>
      </c>
      <c r="S810" s="39">
        <f t="shared" si="161"/>
        <v>0.9959346076391431</v>
      </c>
      <c r="T810" s="39">
        <f t="shared" si="161"/>
        <v>0.99845115033369891</v>
      </c>
      <c r="U810" s="39">
        <f t="shared" si="161"/>
        <v>0.99945456867161853</v>
      </c>
      <c r="V810" s="39">
        <f t="shared" si="161"/>
        <v>0.99982236208944342</v>
      </c>
      <c r="W810" s="37">
        <v>0.193</v>
      </c>
    </row>
    <row r="811" spans="2:23" x14ac:dyDescent="0.25">
      <c r="B811" s="39">
        <f t="shared" si="160"/>
        <v>2.2475982153525068E-5</v>
      </c>
      <c r="C811" s="39">
        <f t="shared" si="160"/>
        <v>2.9214875565969389E-4</v>
      </c>
      <c r="D811" s="39">
        <f t="shared" si="160"/>
        <v>1.8758182048453232E-3</v>
      </c>
      <c r="E811" s="39">
        <f t="shared" si="160"/>
        <v>7.9426013647705043E-3</v>
      </c>
      <c r="F811" s="39">
        <f t="shared" si="160"/>
        <v>2.4990959224358619E-2</v>
      </c>
      <c r="G811" s="39">
        <f t="shared" si="160"/>
        <v>6.2459650168136906E-2</v>
      </c>
      <c r="H811" s="39">
        <f t="shared" si="160"/>
        <v>0.12951593873949488</v>
      </c>
      <c r="I811" s="39">
        <f t="shared" si="160"/>
        <v>0.22998101742247781</v>
      </c>
      <c r="J811" s="39">
        <f t="shared" si="160"/>
        <v>0.35854682719613695</v>
      </c>
      <c r="K811" s="39">
        <f t="shared" si="160"/>
        <v>0.50123064986891652</v>
      </c>
      <c r="L811" s="39">
        <f t="shared" si="161"/>
        <v>0.64019752497401972</v>
      </c>
      <c r="M811" s="39">
        <f t="shared" si="161"/>
        <v>0.76010360075995953</v>
      </c>
      <c r="N811" s="39">
        <f t="shared" si="161"/>
        <v>0.85246631660480898</v>
      </c>
      <c r="O811" s="39">
        <f t="shared" si="161"/>
        <v>0.91638359763126209</v>
      </c>
      <c r="P811" s="39">
        <f t="shared" si="161"/>
        <v>0.95633041660249885</v>
      </c>
      <c r="Q811" s="39">
        <f t="shared" si="161"/>
        <v>0.97897645232817876</v>
      </c>
      <c r="R811" s="39">
        <f t="shared" si="161"/>
        <v>0.99066463996584464</v>
      </c>
      <c r="S811" s="39">
        <f t="shared" si="161"/>
        <v>0.99617388300370657</v>
      </c>
      <c r="T811" s="39">
        <f t="shared" si="161"/>
        <v>0.99855157511894477</v>
      </c>
      <c r="U811" s="39">
        <f t="shared" si="161"/>
        <v>0.99949320751329063</v>
      </c>
      <c r="V811" s="39">
        <f t="shared" si="161"/>
        <v>0.99983601419860035</v>
      </c>
      <c r="W811" s="37">
        <v>0.192</v>
      </c>
    </row>
    <row r="812" spans="2:23" x14ac:dyDescent="0.25">
      <c r="B812" s="39">
        <f t="shared" si="160"/>
        <v>2.3978363295486447E-5</v>
      </c>
      <c r="C812" s="39">
        <f t="shared" si="160"/>
        <v>3.0974433973140065E-4</v>
      </c>
      <c r="D812" s="39">
        <f t="shared" si="160"/>
        <v>1.9766403099491818E-3</v>
      </c>
      <c r="E812" s="39">
        <f t="shared" si="160"/>
        <v>8.3192932024737237E-3</v>
      </c>
      <c r="F812" s="39">
        <f t="shared" si="160"/>
        <v>2.6022890023915588E-2</v>
      </c>
      <c r="G812" s="39">
        <f t="shared" si="160"/>
        <v>6.466954676129627E-2</v>
      </c>
      <c r="H812" s="39">
        <f t="shared" si="160"/>
        <v>0.13336774339673857</v>
      </c>
      <c r="I812" s="39">
        <f t="shared" si="160"/>
        <v>0.23559844155247484</v>
      </c>
      <c r="J812" s="39">
        <f t="shared" si="160"/>
        <v>0.36554058193059763</v>
      </c>
      <c r="K812" s="39">
        <f t="shared" si="160"/>
        <v>0.50877768929960332</v>
      </c>
      <c r="L812" s="39">
        <f t="shared" si="161"/>
        <v>0.64734038501160496</v>
      </c>
      <c r="M812" s="39">
        <f t="shared" si="161"/>
        <v>0.76608895568567692</v>
      </c>
      <c r="N812" s="39">
        <f t="shared" si="161"/>
        <v>0.85694085338524495</v>
      </c>
      <c r="O812" s="39">
        <f t="shared" si="161"/>
        <v>0.91938671228187074</v>
      </c>
      <c r="P812" s="39">
        <f t="shared" si="161"/>
        <v>0.95814936814931428</v>
      </c>
      <c r="Q812" s="39">
        <f t="shared" si="161"/>
        <v>0.97997502946988158</v>
      </c>
      <c r="R812" s="39">
        <f t="shared" si="161"/>
        <v>0.99116333250239408</v>
      </c>
      <c r="S812" s="39">
        <f t="shared" si="161"/>
        <v>0.99640113016477527</v>
      </c>
      <c r="T812" s="39">
        <f t="shared" si="161"/>
        <v>0.99864630444341462</v>
      </c>
      <c r="U812" s="39">
        <f t="shared" si="161"/>
        <v>0.99952940751660369</v>
      </c>
      <c r="V812" s="39">
        <f t="shared" si="161"/>
        <v>0.99984871769232275</v>
      </c>
      <c r="W812" s="37">
        <v>0.191</v>
      </c>
    </row>
    <row r="813" spans="2:23" x14ac:dyDescent="0.25">
      <c r="B813" s="39">
        <f t="shared" ref="B813:K822" si="162">_xlfn.HYPGEOM.DIST(B$2,comau,tongtheN*$W813,tongtheN,TRUE)</f>
        <v>2.5305164784628375E-5</v>
      </c>
      <c r="C813" s="39">
        <f t="shared" si="162"/>
        <v>3.2518779940765992E-4</v>
      </c>
      <c r="D813" s="39">
        <f t="shared" si="162"/>
        <v>2.0645849549586455E-3</v>
      </c>
      <c r="E813" s="39">
        <f t="shared" si="162"/>
        <v>8.6458435997608003E-3</v>
      </c>
      <c r="F813" s="39">
        <f t="shared" si="162"/>
        <v>2.6911932648312958E-2</v>
      </c>
      <c r="G813" s="39">
        <f t="shared" si="162"/>
        <v>6.6561670753444518E-2</v>
      </c>
      <c r="H813" s="39">
        <f t="shared" si="162"/>
        <v>0.13664526189062268</v>
      </c>
      <c r="I813" s="39">
        <f t="shared" si="162"/>
        <v>0.24034871914863767</v>
      </c>
      <c r="J813" s="39">
        <f t="shared" si="162"/>
        <v>0.37141805522922233</v>
      </c>
      <c r="K813" s="39">
        <f t="shared" si="162"/>
        <v>0.51508077177159894</v>
      </c>
      <c r="L813" s="39">
        <f t="shared" ref="L813:V822" si="163">_xlfn.HYPGEOM.DIST(L$2,comau,tongtheN*$W813,tongtheN,TRUE)</f>
        <v>0.65326884947230779</v>
      </c>
      <c r="M813" s="39">
        <f t="shared" si="163"/>
        <v>0.77102582124161612</v>
      </c>
      <c r="N813" s="39">
        <f t="shared" si="163"/>
        <v>0.86060859203480689</v>
      </c>
      <c r="O813" s="39">
        <f t="shared" si="163"/>
        <v>0.92183300662931655</v>
      </c>
      <c r="P813" s="39">
        <f t="shared" si="163"/>
        <v>0.95962182309930821</v>
      </c>
      <c r="Q813" s="39">
        <f t="shared" si="163"/>
        <v>0.98077834132325026</v>
      </c>
      <c r="R813" s="39">
        <f t="shared" si="163"/>
        <v>0.99156200352477386</v>
      </c>
      <c r="S813" s="39">
        <f t="shared" si="163"/>
        <v>0.99658166336750209</v>
      </c>
      <c r="T813" s="39">
        <f t="shared" si="163"/>
        <v>0.99872108995132325</v>
      </c>
      <c r="U813" s="39">
        <f t="shared" si="163"/>
        <v>0.99955780720450427</v>
      </c>
      <c r="V813" s="39">
        <f t="shared" si="163"/>
        <v>0.99985862139610915</v>
      </c>
      <c r="W813" s="37">
        <v>0.19</v>
      </c>
    </row>
    <row r="814" spans="2:23" x14ac:dyDescent="0.25">
      <c r="B814" s="39">
        <f t="shared" si="162"/>
        <v>2.6992525158990691E-5</v>
      </c>
      <c r="C814" s="39">
        <f t="shared" si="162"/>
        <v>3.4470609950119533E-4</v>
      </c>
      <c r="D814" s="39">
        <f t="shared" si="162"/>
        <v>2.1750439075119521E-3</v>
      </c>
      <c r="E814" s="39">
        <f t="shared" si="162"/>
        <v>9.0534438982041235E-3</v>
      </c>
      <c r="F814" s="39">
        <f t="shared" si="162"/>
        <v>2.8014736419532154E-2</v>
      </c>
      <c r="G814" s="39">
        <f t="shared" si="162"/>
        <v>6.8894136408278614E-2</v>
      </c>
      <c r="H814" s="39">
        <f t="shared" si="162"/>
        <v>0.14066039032935565</v>
      </c>
      <c r="I814" s="39">
        <f t="shared" si="162"/>
        <v>0.24613181679885776</v>
      </c>
      <c r="J814" s="39">
        <f t="shared" si="162"/>
        <v>0.37852884863352548</v>
      </c>
      <c r="K814" s="39">
        <f t="shared" si="162"/>
        <v>0.52265895076169677</v>
      </c>
      <c r="L814" s="39">
        <f t="shared" si="163"/>
        <v>0.66035217454239681</v>
      </c>
      <c r="M814" s="39">
        <f t="shared" si="163"/>
        <v>0.77688758003253511</v>
      </c>
      <c r="N814" s="39">
        <f t="shared" si="163"/>
        <v>0.86493627382910532</v>
      </c>
      <c r="O814" s="39">
        <f t="shared" si="163"/>
        <v>0.9247014385605612</v>
      </c>
      <c r="P814" s="39">
        <f t="shared" si="163"/>
        <v>0.96133757840425837</v>
      </c>
      <c r="Q814" s="39">
        <f t="shared" si="163"/>
        <v>0.98170853547252102</v>
      </c>
      <c r="R814" s="39">
        <f t="shared" si="163"/>
        <v>0.99202075638660192</v>
      </c>
      <c r="S814" s="39">
        <f t="shared" si="163"/>
        <v>0.99678810366829451</v>
      </c>
      <c r="T814" s="39">
        <f t="shared" si="163"/>
        <v>0.99880607190527215</v>
      </c>
      <c r="U814" s="39">
        <f t="shared" si="163"/>
        <v>0.99958987678556688</v>
      </c>
      <c r="V814" s="39">
        <f t="shared" si="163"/>
        <v>0.99986973478211572</v>
      </c>
      <c r="W814" s="37">
        <v>0.189</v>
      </c>
    </row>
    <row r="815" spans="2:23" x14ac:dyDescent="0.25">
      <c r="B815" s="39">
        <f t="shared" si="162"/>
        <v>2.8790003196372922E-5</v>
      </c>
      <c r="C815" s="39">
        <f t="shared" si="162"/>
        <v>3.6535707424205209E-4</v>
      </c>
      <c r="D815" s="39">
        <f t="shared" si="162"/>
        <v>2.2911193203784515E-3</v>
      </c>
      <c r="E815" s="39">
        <f t="shared" si="162"/>
        <v>9.4788585972828861E-3</v>
      </c>
      <c r="F815" s="39">
        <f t="shared" si="162"/>
        <v>2.9157911763176565E-2</v>
      </c>
      <c r="G815" s="39">
        <f t="shared" si="162"/>
        <v>7.1295535785435668E-2</v>
      </c>
      <c r="H815" s="39">
        <f t="shared" si="162"/>
        <v>0.14476603184322401</v>
      </c>
      <c r="I815" s="39">
        <f t="shared" si="162"/>
        <v>0.25200498543117705</v>
      </c>
      <c r="J815" s="39">
        <f t="shared" si="162"/>
        <v>0.38570114582693638</v>
      </c>
      <c r="K815" s="39">
        <f t="shared" si="162"/>
        <v>0.53025051464562623</v>
      </c>
      <c r="L815" s="39">
        <f t="shared" si="163"/>
        <v>0.66739955378723725</v>
      </c>
      <c r="M815" s="39">
        <f t="shared" si="163"/>
        <v>0.78267973787634693</v>
      </c>
      <c r="N815" s="39">
        <f t="shared" si="163"/>
        <v>0.86918332636793583</v>
      </c>
      <c r="O815" s="39">
        <f t="shared" si="163"/>
        <v>0.9274971646444663</v>
      </c>
      <c r="P815" s="39">
        <f t="shared" si="163"/>
        <v>0.96299839265258358</v>
      </c>
      <c r="Q815" s="39">
        <f t="shared" si="163"/>
        <v>0.98260277288883524</v>
      </c>
      <c r="R815" s="39">
        <f t="shared" si="163"/>
        <v>0.99245875165512376</v>
      </c>
      <c r="S815" s="39">
        <f t="shared" si="163"/>
        <v>0.99698385033999026</v>
      </c>
      <c r="T815" s="39">
        <f t="shared" si="163"/>
        <v>0.99888609839257314</v>
      </c>
      <c r="U815" s="39">
        <f t="shared" si="163"/>
        <v>0.99961986877890041</v>
      </c>
      <c r="V815" s="39">
        <f t="shared" si="163"/>
        <v>0.99988005672152158</v>
      </c>
      <c r="W815" s="37">
        <v>0.188</v>
      </c>
    </row>
    <row r="816" spans="2:23" x14ac:dyDescent="0.25">
      <c r="B816" s="39">
        <f t="shared" si="162"/>
        <v>3.0704629238397847E-5</v>
      </c>
      <c r="C816" s="39">
        <f t="shared" si="162"/>
        <v>3.8720404374631613E-4</v>
      </c>
      <c r="D816" s="39">
        <f t="shared" si="162"/>
        <v>2.4130797853409974E-3</v>
      </c>
      <c r="E816" s="39">
        <f t="shared" si="162"/>
        <v>9.9227915860798897E-3</v>
      </c>
      <c r="F816" s="39">
        <f t="shared" si="162"/>
        <v>3.0342702827067733E-2</v>
      </c>
      <c r="G816" s="39">
        <f t="shared" si="162"/>
        <v>7.3767346473456272E-2</v>
      </c>
      <c r="H816" s="39">
        <f t="shared" si="162"/>
        <v>0.14896315412302871</v>
      </c>
      <c r="I816" s="39">
        <f t="shared" si="162"/>
        <v>0.25796792955302889</v>
      </c>
      <c r="J816" s="39">
        <f t="shared" si="162"/>
        <v>0.39293320720465208</v>
      </c>
      <c r="K816" s="39">
        <f t="shared" si="162"/>
        <v>0.53785287611942834</v>
      </c>
      <c r="L816" s="39">
        <f t="shared" si="163"/>
        <v>0.67440855639574337</v>
      </c>
      <c r="M816" s="39">
        <f t="shared" si="163"/>
        <v>0.78840081962123953</v>
      </c>
      <c r="N816" s="39">
        <f t="shared" si="163"/>
        <v>0.87334945286381382</v>
      </c>
      <c r="O816" s="39">
        <f t="shared" si="163"/>
        <v>0.93022077109916468</v>
      </c>
      <c r="P816" s="39">
        <f t="shared" si="163"/>
        <v>0.96460523613416949</v>
      </c>
      <c r="Q816" s="39">
        <f t="shared" si="163"/>
        <v>0.98346199606480245</v>
      </c>
      <c r="R816" s="39">
        <f t="shared" si="163"/>
        <v>0.9928766984963201</v>
      </c>
      <c r="S816" s="39">
        <f t="shared" si="163"/>
        <v>0.99716934966943582</v>
      </c>
      <c r="T816" s="39">
        <f t="shared" si="163"/>
        <v>0.99896141242197889</v>
      </c>
      <c r="U816" s="39">
        <f t="shared" si="163"/>
        <v>0.99964789983559554</v>
      </c>
      <c r="V816" s="39">
        <f t="shared" si="163"/>
        <v>0.99988963715781798</v>
      </c>
      <c r="W816" s="37">
        <v>0.187</v>
      </c>
    </row>
    <row r="817" spans="2:23" x14ac:dyDescent="0.25">
      <c r="B817" s="39">
        <f t="shared" si="162"/>
        <v>3.2395013893359964E-5</v>
      </c>
      <c r="C817" s="39">
        <f t="shared" si="162"/>
        <v>4.0637148270319929E-4</v>
      </c>
      <c r="D817" s="39">
        <f t="shared" si="162"/>
        <v>2.5194110075386538E-3</v>
      </c>
      <c r="E817" s="39">
        <f t="shared" si="162"/>
        <v>1.0307405983896666E-2</v>
      </c>
      <c r="F817" s="39">
        <f t="shared" si="162"/>
        <v>3.1362734847282067E-2</v>
      </c>
      <c r="G817" s="39">
        <f t="shared" si="162"/>
        <v>7.5882046076048995E-2</v>
      </c>
      <c r="H817" s="39">
        <f t="shared" si="162"/>
        <v>0.15253131202015552</v>
      </c>
      <c r="I817" s="39">
        <f t="shared" si="162"/>
        <v>0.26300536695800342</v>
      </c>
      <c r="J817" s="39">
        <f t="shared" si="162"/>
        <v>0.3990042741052805</v>
      </c>
      <c r="K817" s="39">
        <f t="shared" si="162"/>
        <v>0.54419453575982391</v>
      </c>
      <c r="L817" s="39">
        <f t="shared" si="163"/>
        <v>0.68021833571016577</v>
      </c>
      <c r="M817" s="39">
        <f t="shared" si="163"/>
        <v>0.79311306681015292</v>
      </c>
      <c r="N817" s="39">
        <f t="shared" si="163"/>
        <v>0.87675923279973766</v>
      </c>
      <c r="O817" s="39">
        <f t="shared" si="163"/>
        <v>0.93243580168448459</v>
      </c>
      <c r="P817" s="39">
        <f t="shared" si="163"/>
        <v>0.96590375392139927</v>
      </c>
      <c r="Q817" s="39">
        <f t="shared" si="163"/>
        <v>0.98415194467080325</v>
      </c>
      <c r="R817" s="39">
        <f t="shared" si="163"/>
        <v>0.99321017535959399</v>
      </c>
      <c r="S817" s="39">
        <f t="shared" si="163"/>
        <v>0.9973164177323619</v>
      </c>
      <c r="T817" s="39">
        <f t="shared" si="163"/>
        <v>0.99902074329516488</v>
      </c>
      <c r="U817" s="39">
        <f t="shared" si="163"/>
        <v>0.99966984155262284</v>
      </c>
      <c r="V817" s="39">
        <f t="shared" si="163"/>
        <v>0.9998970885970051</v>
      </c>
      <c r="W817" s="37">
        <v>0.186</v>
      </c>
    </row>
    <row r="818" spans="2:23" x14ac:dyDescent="0.25">
      <c r="B818" s="39">
        <f t="shared" si="162"/>
        <v>3.454414572665092E-5</v>
      </c>
      <c r="C818" s="39">
        <f t="shared" si="162"/>
        <v>4.3058694358220933E-4</v>
      </c>
      <c r="D818" s="39">
        <f t="shared" si="162"/>
        <v>2.6528980625168575E-3</v>
      </c>
      <c r="E818" s="39">
        <f t="shared" si="162"/>
        <v>1.0787197028060519E-2</v>
      </c>
      <c r="F818" s="39">
        <f t="shared" si="162"/>
        <v>3.2627142783516805E-2</v>
      </c>
      <c r="G818" s="39">
        <f t="shared" si="162"/>
        <v>7.8486804509093455E-2</v>
      </c>
      <c r="H818" s="39">
        <f t="shared" si="162"/>
        <v>0.15689854885401738</v>
      </c>
      <c r="I818" s="39">
        <f t="shared" si="162"/>
        <v>0.26913190028097073</v>
      </c>
      <c r="J818" s="39">
        <f t="shared" si="162"/>
        <v>0.40634114974212632</v>
      </c>
      <c r="K818" s="39">
        <f t="shared" si="162"/>
        <v>0.55180986372241725</v>
      </c>
      <c r="L818" s="39">
        <f t="shared" si="163"/>
        <v>0.68715073228755019</v>
      </c>
      <c r="M818" s="39">
        <f t="shared" si="163"/>
        <v>0.79870019253440827</v>
      </c>
      <c r="N818" s="39">
        <f t="shared" si="163"/>
        <v>0.88077641824715802</v>
      </c>
      <c r="O818" s="39">
        <f t="shared" si="163"/>
        <v>0.93502884001612518</v>
      </c>
      <c r="P818" s="39">
        <f t="shared" si="163"/>
        <v>0.96741421423535567</v>
      </c>
      <c r="Q818" s="39">
        <f t="shared" si="163"/>
        <v>0.98494940463396474</v>
      </c>
      <c r="R818" s="39">
        <f t="shared" si="163"/>
        <v>0.99359316507045747</v>
      </c>
      <c r="S818" s="39">
        <f t="shared" si="163"/>
        <v>0.99748424693897497</v>
      </c>
      <c r="T818" s="39">
        <f t="shared" si="163"/>
        <v>0.99908801868068187</v>
      </c>
      <c r="U818" s="39">
        <f t="shared" si="163"/>
        <v>0.99969456282748959</v>
      </c>
      <c r="V818" s="39">
        <f t="shared" si="163"/>
        <v>0.99990543047287239</v>
      </c>
      <c r="W818" s="37">
        <v>0.185</v>
      </c>
    </row>
    <row r="819" spans="2:23" x14ac:dyDescent="0.25">
      <c r="B819" s="39">
        <f t="shared" si="162"/>
        <v>3.6832818394469505E-5</v>
      </c>
      <c r="C819" s="39">
        <f t="shared" si="162"/>
        <v>4.5619680870744137E-4</v>
      </c>
      <c r="D819" s="39">
        <f t="shared" si="162"/>
        <v>2.7930972405513406E-3</v>
      </c>
      <c r="E819" s="39">
        <f t="shared" si="162"/>
        <v>1.1287632458557288E-2</v>
      </c>
      <c r="F819" s="39">
        <f t="shared" si="162"/>
        <v>3.3936838936408011E-2</v>
      </c>
      <c r="G819" s="39">
        <f t="shared" si="162"/>
        <v>8.1166195187452592E-2</v>
      </c>
      <c r="H819" s="39">
        <f t="shared" si="162"/>
        <v>0.16135981779182809</v>
      </c>
      <c r="I819" s="39">
        <f t="shared" si="162"/>
        <v>0.27534698921122025</v>
      </c>
      <c r="J819" s="39">
        <f t="shared" si="162"/>
        <v>0.41373247652081574</v>
      </c>
      <c r="K819" s="39">
        <f t="shared" si="162"/>
        <v>0.55942848460543304</v>
      </c>
      <c r="L819" s="39">
        <f t="shared" si="163"/>
        <v>0.69403797612289109</v>
      </c>
      <c r="M819" s="39">
        <f t="shared" si="163"/>
        <v>0.80421236263235851</v>
      </c>
      <c r="N819" s="39">
        <f t="shared" si="163"/>
        <v>0.88471215414701743</v>
      </c>
      <c r="O819" s="39">
        <f t="shared" si="163"/>
        <v>0.93755162765626832</v>
      </c>
      <c r="P819" s="39">
        <f t="shared" si="163"/>
        <v>0.96887352085425582</v>
      </c>
      <c r="Q819" s="39">
        <f t="shared" si="163"/>
        <v>0.98571448908818782</v>
      </c>
      <c r="R819" s="39">
        <f t="shared" si="163"/>
        <v>0.99395804386811359</v>
      </c>
      <c r="S819" s="39">
        <f t="shared" si="163"/>
        <v>0.99764302403948701</v>
      </c>
      <c r="T819" s="39">
        <f t="shared" si="163"/>
        <v>0.99915122101102549</v>
      </c>
      <c r="U819" s="39">
        <f t="shared" si="163"/>
        <v>0.99971762509967566</v>
      </c>
      <c r="V819" s="39">
        <f t="shared" si="163"/>
        <v>0.99991315811577353</v>
      </c>
      <c r="W819" s="37">
        <v>0.184</v>
      </c>
    </row>
    <row r="820" spans="2:23" x14ac:dyDescent="0.25">
      <c r="B820" s="39">
        <f t="shared" si="162"/>
        <v>3.9269895550497027E-5</v>
      </c>
      <c r="C820" s="39">
        <f t="shared" si="162"/>
        <v>4.8327836916371242E-4</v>
      </c>
      <c r="D820" s="39">
        <f t="shared" si="162"/>
        <v>2.9403252603071137E-3</v>
      </c>
      <c r="E820" s="39">
        <f t="shared" si="162"/>
        <v>1.1809511035929176E-2</v>
      </c>
      <c r="F820" s="39">
        <f t="shared" si="162"/>
        <v>3.5293171507541736E-2</v>
      </c>
      <c r="G820" s="39">
        <f t="shared" si="162"/>
        <v>8.3921716021105749E-2</v>
      </c>
      <c r="H820" s="39">
        <f t="shared" si="162"/>
        <v>0.16591594533110735</v>
      </c>
      <c r="I820" s="39">
        <f t="shared" si="162"/>
        <v>0.28165006336174109</v>
      </c>
      <c r="J820" s="39">
        <f t="shared" si="162"/>
        <v>0.42117624502029893</v>
      </c>
      <c r="K820" s="39">
        <f t="shared" si="162"/>
        <v>0.56704769531000454</v>
      </c>
      <c r="L820" s="39">
        <f t="shared" si="163"/>
        <v>0.70087772288307604</v>
      </c>
      <c r="M820" s="39">
        <f t="shared" si="163"/>
        <v>0.80964831807296278</v>
      </c>
      <c r="N820" s="39">
        <f t="shared" si="163"/>
        <v>0.88856636709798709</v>
      </c>
      <c r="O820" s="39">
        <f t="shared" si="163"/>
        <v>0.94000489397406439</v>
      </c>
      <c r="P820" s="39">
        <f t="shared" si="163"/>
        <v>0.97028268814983798</v>
      </c>
      <c r="Q820" s="39">
        <f t="shared" si="163"/>
        <v>0.98644811579961988</v>
      </c>
      <c r="R820" s="39">
        <f t="shared" si="163"/>
        <v>0.99430546952722243</v>
      </c>
      <c r="S820" s="39">
        <f t="shared" si="163"/>
        <v>0.99779314674306652</v>
      </c>
      <c r="T820" s="39">
        <f t="shared" si="163"/>
        <v>0.99921055924132551</v>
      </c>
      <c r="U820" s="39">
        <f t="shared" si="163"/>
        <v>0.99973912538953857</v>
      </c>
      <c r="V820" s="39">
        <f t="shared" si="163"/>
        <v>0.9999203117663058</v>
      </c>
      <c r="W820" s="37">
        <v>0.183</v>
      </c>
    </row>
    <row r="821" spans="2:23" x14ac:dyDescent="0.25">
      <c r="B821" s="39">
        <f t="shared" si="162"/>
        <v>4.1420932303064847E-5</v>
      </c>
      <c r="C821" s="39">
        <f t="shared" si="162"/>
        <v>5.0702914046760509E-4</v>
      </c>
      <c r="D821" s="39">
        <f t="shared" si="162"/>
        <v>3.0686225308324561E-3</v>
      </c>
      <c r="E821" s="39">
        <f t="shared" si="162"/>
        <v>1.2261384415020947E-2</v>
      </c>
      <c r="F821" s="39">
        <f t="shared" si="162"/>
        <v>3.6460065061330427E-2</v>
      </c>
      <c r="G821" s="39">
        <f t="shared" si="162"/>
        <v>8.6277220464674967E-2</v>
      </c>
      <c r="H821" s="39">
        <f t="shared" si="162"/>
        <v>0.16978574686334472</v>
      </c>
      <c r="I821" s="39">
        <f t="shared" si="162"/>
        <v>0.28696937252038329</v>
      </c>
      <c r="J821" s="39">
        <f t="shared" si="162"/>
        <v>0.4274179476110434</v>
      </c>
      <c r="K821" s="39">
        <f t="shared" si="162"/>
        <v>0.57339552095088464</v>
      </c>
      <c r="L821" s="39">
        <f t="shared" si="163"/>
        <v>0.70653955789657275</v>
      </c>
      <c r="M821" s="39">
        <f t="shared" si="163"/>
        <v>0.8141191942497662</v>
      </c>
      <c r="N821" s="39">
        <f t="shared" si="163"/>
        <v>0.89171592361420804</v>
      </c>
      <c r="O821" s="39">
        <f t="shared" si="163"/>
        <v>0.94199672601719364</v>
      </c>
      <c r="P821" s="39">
        <f t="shared" si="163"/>
        <v>0.97141943107797069</v>
      </c>
      <c r="Q821" s="39">
        <f t="shared" si="163"/>
        <v>0.98703609761022937</v>
      </c>
      <c r="R821" s="39">
        <f t="shared" si="163"/>
        <v>0.99458212359028753</v>
      </c>
      <c r="S821" s="39">
        <f t="shared" si="163"/>
        <v>0.99791191634440979</v>
      </c>
      <c r="T821" s="39">
        <f t="shared" si="163"/>
        <v>0.99925720096768533</v>
      </c>
      <c r="U821" s="39">
        <f t="shared" si="163"/>
        <v>0.99975591585701862</v>
      </c>
      <c r="V821" s="39">
        <f t="shared" si="163"/>
        <v>0.99992586213680956</v>
      </c>
      <c r="W821" s="37">
        <v>0.182</v>
      </c>
    </row>
    <row r="822" spans="2:23" x14ac:dyDescent="0.25">
      <c r="B822" s="39">
        <f t="shared" si="162"/>
        <v>4.4154955447855732E-5</v>
      </c>
      <c r="C822" s="39">
        <f t="shared" si="162"/>
        <v>5.3702330446448159E-4</v>
      </c>
      <c r="D822" s="39">
        <f t="shared" si="162"/>
        <v>3.229605389216341E-3</v>
      </c>
      <c r="E822" s="39">
        <f t="shared" si="162"/>
        <v>1.2824737439628616E-2</v>
      </c>
      <c r="F822" s="39">
        <f t="shared" si="162"/>
        <v>3.7905489023807866E-2</v>
      </c>
      <c r="G822" s="39">
        <f t="shared" si="162"/>
        <v>8.9176209349482213E-2</v>
      </c>
      <c r="H822" s="39">
        <f t="shared" si="162"/>
        <v>0.17451778679985039</v>
      </c>
      <c r="I822" s="39">
        <f t="shared" si="162"/>
        <v>0.29343202047435823</v>
      </c>
      <c r="J822" s="39">
        <f t="shared" si="162"/>
        <v>0.43495241162983916</v>
      </c>
      <c r="K822" s="39">
        <f t="shared" si="162"/>
        <v>0.58100871275825106</v>
      </c>
      <c r="L822" s="39">
        <f t="shared" si="163"/>
        <v>0.71328623529697954</v>
      </c>
      <c r="M822" s="39">
        <f t="shared" si="163"/>
        <v>0.81941235139539059</v>
      </c>
      <c r="N822" s="39">
        <f t="shared" si="163"/>
        <v>0.89542067797964597</v>
      </c>
      <c r="O822" s="39">
        <f t="shared" si="163"/>
        <v>0.94432454415119482</v>
      </c>
      <c r="P822" s="39">
        <f t="shared" si="163"/>
        <v>0.97273933817158997</v>
      </c>
      <c r="Q822" s="39">
        <f t="shared" si="163"/>
        <v>0.98771440759386242</v>
      </c>
      <c r="R822" s="39">
        <f t="shared" si="163"/>
        <v>0.99489921394405112</v>
      </c>
      <c r="S822" s="39">
        <f t="shared" si="163"/>
        <v>0.99804716450789244</v>
      </c>
      <c r="T822" s="39">
        <f t="shared" si="163"/>
        <v>0.99930997001238919</v>
      </c>
      <c r="U822" s="39">
        <f t="shared" si="163"/>
        <v>0.99977478900630112</v>
      </c>
      <c r="V822" s="39">
        <f t="shared" si="163"/>
        <v>0.99993206052775441</v>
      </c>
      <c r="W822" s="37">
        <v>0.18099999999999999</v>
      </c>
    </row>
    <row r="823" spans="2:23" x14ac:dyDescent="0.25">
      <c r="B823" s="39">
        <f t="shared" ref="B823:K832" si="164">_xlfn.HYPGEOM.DIST(B$2,comau,tongtheN*$W823,tongtheN,TRUE)</f>
        <v>4.7065598948557469E-5</v>
      </c>
      <c r="C823" s="39">
        <f t="shared" si="164"/>
        <v>5.6873111957333555E-4</v>
      </c>
      <c r="D823" s="39">
        <f t="shared" si="164"/>
        <v>3.3985909709300598E-3</v>
      </c>
      <c r="E823" s="39">
        <f t="shared" si="164"/>
        <v>1.3411941214192312E-2</v>
      </c>
      <c r="F823" s="39">
        <f t="shared" si="164"/>
        <v>3.940151583083721E-2</v>
      </c>
      <c r="G823" s="39">
        <f t="shared" si="164"/>
        <v>9.2155578480718717E-2</v>
      </c>
      <c r="H823" s="39">
        <f t="shared" si="164"/>
        <v>0.17934679029154227</v>
      </c>
      <c r="I823" s="39">
        <f t="shared" si="164"/>
        <v>0.29998062378508217</v>
      </c>
      <c r="J823" s="39">
        <f t="shared" si="164"/>
        <v>0.44253325146461381</v>
      </c>
      <c r="K823" s="39">
        <f t="shared" si="164"/>
        <v>0.58861471072989624</v>
      </c>
      <c r="L823" s="39">
        <f t="shared" ref="L823:V832" si="165">_xlfn.HYPGEOM.DIST(L$2,comau,tongtheN*$W823,tongtheN,TRUE)</f>
        <v>0.71997893827658044</v>
      </c>
      <c r="M823" s="39">
        <f t="shared" si="165"/>
        <v>0.82462605407742395</v>
      </c>
      <c r="N823" s="39">
        <f t="shared" si="165"/>
        <v>0.8990440126267748</v>
      </c>
      <c r="O823" s="39">
        <f t="shared" si="165"/>
        <v>0.94658508996804447</v>
      </c>
      <c r="P823" s="39">
        <f t="shared" si="165"/>
        <v>0.97401202206150683</v>
      </c>
      <c r="Q823" s="39">
        <f t="shared" si="165"/>
        <v>0.98836381312627009</v>
      </c>
      <c r="R823" s="39">
        <f t="shared" si="165"/>
        <v>0.99520063880263088</v>
      </c>
      <c r="S823" s="39">
        <f t="shared" si="165"/>
        <v>0.99817481818719167</v>
      </c>
      <c r="T823" s="39">
        <f t="shared" si="165"/>
        <v>0.99935942211671858</v>
      </c>
      <c r="U823" s="39">
        <f t="shared" si="165"/>
        <v>0.9997923500837903</v>
      </c>
      <c r="V823" s="39">
        <f t="shared" si="165"/>
        <v>0.99993778696674596</v>
      </c>
      <c r="W823" s="37">
        <v>0.18</v>
      </c>
    </row>
    <row r="824" spans="2:23" x14ac:dyDescent="0.25">
      <c r="B824" s="39">
        <f t="shared" si="164"/>
        <v>5.0164025149122052E-5</v>
      </c>
      <c r="C824" s="39">
        <f t="shared" si="164"/>
        <v>6.0224675282573368E-4</v>
      </c>
      <c r="D824" s="39">
        <f t="shared" si="164"/>
        <v>3.5759516904819316E-3</v>
      </c>
      <c r="E824" s="39">
        <f t="shared" si="164"/>
        <v>1.4023898360044786E-2</v>
      </c>
      <c r="F824" s="39">
        <f t="shared" si="164"/>
        <v>4.0949596636479568E-2</v>
      </c>
      <c r="G824" s="39">
        <f t="shared" si="164"/>
        <v>9.5216825219044954E-2</v>
      </c>
      <c r="H824" s="39">
        <f t="shared" si="164"/>
        <v>0.18427340955319732</v>
      </c>
      <c r="I824" s="39">
        <f t="shared" si="164"/>
        <v>0.30661431584227034</v>
      </c>
      <c r="J824" s="39">
        <f t="shared" si="164"/>
        <v>0.45015819736328061</v>
      </c>
      <c r="K824" s="39">
        <f t="shared" si="164"/>
        <v>0.59621073154514459</v>
      </c>
      <c r="L824" s="39">
        <f t="shared" si="165"/>
        <v>0.72661544680805457</v>
      </c>
      <c r="M824" s="39">
        <f t="shared" si="165"/>
        <v>0.82975927783678327</v>
      </c>
      <c r="N824" s="39">
        <f t="shared" si="165"/>
        <v>0.90258607226920717</v>
      </c>
      <c r="O824" s="39">
        <f t="shared" si="165"/>
        <v>0.94877921756491412</v>
      </c>
      <c r="P824" s="39">
        <f t="shared" si="165"/>
        <v>0.97523852305942593</v>
      </c>
      <c r="Q824" s="39">
        <f t="shared" si="165"/>
        <v>0.9889851967186436</v>
      </c>
      <c r="R824" s="39">
        <f t="shared" si="165"/>
        <v>0.99548700182773298</v>
      </c>
      <c r="S824" s="39">
        <f t="shared" si="165"/>
        <v>0.99829522828974393</v>
      </c>
      <c r="T824" s="39">
        <f t="shared" si="165"/>
        <v>0.99940573520165166</v>
      </c>
      <c r="U824" s="39">
        <f t="shared" si="165"/>
        <v>0.99980867898880166</v>
      </c>
      <c r="V824" s="39">
        <f t="shared" si="165"/>
        <v>0.99994307355068202</v>
      </c>
      <c r="W824" s="37">
        <v>0.17899999999999999</v>
      </c>
    </row>
    <row r="825" spans="2:23" x14ac:dyDescent="0.25">
      <c r="B825" s="39">
        <f t="shared" si="164"/>
        <v>5.346208624931027E-5</v>
      </c>
      <c r="C825" s="39">
        <f t="shared" si="164"/>
        <v>6.3766931871778686E-4</v>
      </c>
      <c r="D825" s="39">
        <f t="shared" si="164"/>
        <v>3.7620758521155931E-3</v>
      </c>
      <c r="E825" s="39">
        <f t="shared" si="164"/>
        <v>1.4661540076040412E-2</v>
      </c>
      <c r="F825" s="39">
        <f t="shared" si="164"/>
        <v>4.2551208972908393E-2</v>
      </c>
      <c r="G825" s="39">
        <f t="shared" si="164"/>
        <v>9.8361442863419815E-2</v>
      </c>
      <c r="H825" s="39">
        <f t="shared" si="164"/>
        <v>0.18929824568821504</v>
      </c>
      <c r="I825" s="39">
        <f t="shared" si="164"/>
        <v>0.31333214966279804</v>
      </c>
      <c r="J825" s="39">
        <f t="shared" si="164"/>
        <v>0.45782491399597419</v>
      </c>
      <c r="K825" s="39">
        <f t="shared" si="164"/>
        <v>0.60379397732616846</v>
      </c>
      <c r="L825" s="39">
        <f t="shared" si="165"/>
        <v>0.73319357941347452</v>
      </c>
      <c r="M825" s="39">
        <f t="shared" si="165"/>
        <v>0.8348110619037018</v>
      </c>
      <c r="N825" s="39">
        <f t="shared" si="165"/>
        <v>0.90604705712738587</v>
      </c>
      <c r="O825" s="39">
        <f t="shared" si="165"/>
        <v>0.95090781032799587</v>
      </c>
      <c r="P825" s="39">
        <f t="shared" si="165"/>
        <v>0.97641988533853097</v>
      </c>
      <c r="Q825" s="39">
        <f t="shared" si="165"/>
        <v>0.98957943015263872</v>
      </c>
      <c r="R825" s="39">
        <f t="shared" si="165"/>
        <v>0.9957588922830678</v>
      </c>
      <c r="S825" s="39">
        <f t="shared" si="165"/>
        <v>0.99840873388510898</v>
      </c>
      <c r="T825" s="39">
        <f t="shared" si="165"/>
        <v>0.9994490796001233</v>
      </c>
      <c r="U825" s="39">
        <f t="shared" si="165"/>
        <v>0.99982385154843767</v>
      </c>
      <c r="V825" s="39">
        <f t="shared" si="165"/>
        <v>0.99994795048643015</v>
      </c>
      <c r="W825" s="37">
        <v>0.17799999999999999</v>
      </c>
    </row>
    <row r="826" spans="2:23" x14ac:dyDescent="0.25">
      <c r="B826" s="39">
        <f t="shared" si="164"/>
        <v>5.6372024924077588E-5</v>
      </c>
      <c r="C826" s="39">
        <f t="shared" si="164"/>
        <v>6.6871989949872574E-4</v>
      </c>
      <c r="D826" s="39">
        <f t="shared" si="164"/>
        <v>3.924165142832059E-3</v>
      </c>
      <c r="E826" s="39">
        <f t="shared" si="164"/>
        <v>1.5213220310686719E-2</v>
      </c>
      <c r="F826" s="39">
        <f t="shared" si="164"/>
        <v>4.3927862071451051E-2</v>
      </c>
      <c r="G826" s="39">
        <f t="shared" si="164"/>
        <v>0.10104671703340419</v>
      </c>
      <c r="H826" s="39">
        <f t="shared" si="164"/>
        <v>0.19356103264997135</v>
      </c>
      <c r="I826" s="39">
        <f t="shared" si="164"/>
        <v>0.31899387993318712</v>
      </c>
      <c r="J826" s="39">
        <f t="shared" si="164"/>
        <v>0.46424402335113668</v>
      </c>
      <c r="K826" s="39">
        <f t="shared" si="164"/>
        <v>0.61010156335719623</v>
      </c>
      <c r="L826" s="39">
        <f t="shared" si="165"/>
        <v>0.7386292183485057</v>
      </c>
      <c r="M826" s="39">
        <f t="shared" si="165"/>
        <v>0.83895802255387619</v>
      </c>
      <c r="N826" s="39">
        <f t="shared" si="165"/>
        <v>0.90886946139587743</v>
      </c>
      <c r="O826" s="39">
        <f t="shared" si="165"/>
        <v>0.95263223293750976</v>
      </c>
      <c r="P826" s="39">
        <f t="shared" si="165"/>
        <v>0.97737062814429587</v>
      </c>
      <c r="Q826" s="39">
        <f t="shared" si="165"/>
        <v>0.99005450611993073</v>
      </c>
      <c r="R826" s="39">
        <f t="shared" si="165"/>
        <v>0.99597482734860576</v>
      </c>
      <c r="S826" s="39">
        <f t="shared" si="165"/>
        <v>0.99849828415760167</v>
      </c>
      <c r="T826" s="39">
        <f t="shared" si="165"/>
        <v>0.9994830499673657</v>
      </c>
      <c r="U826" s="39">
        <f t="shared" si="165"/>
        <v>0.99983566402394253</v>
      </c>
      <c r="V826" s="39">
        <f t="shared" si="165"/>
        <v>0.99995172222069295</v>
      </c>
      <c r="W826" s="37">
        <v>0.17699999999999999</v>
      </c>
    </row>
    <row r="827" spans="2:23" x14ac:dyDescent="0.25">
      <c r="B827" s="39">
        <f t="shared" si="164"/>
        <v>6.0069324294642339E-5</v>
      </c>
      <c r="C827" s="39">
        <f t="shared" si="164"/>
        <v>7.0791334508561558E-4</v>
      </c>
      <c r="D827" s="39">
        <f t="shared" si="164"/>
        <v>4.1274192638437535E-3</v>
      </c>
      <c r="E827" s="39">
        <f t="shared" si="164"/>
        <v>1.5900466220367657E-2</v>
      </c>
      <c r="F827" s="39">
        <f t="shared" si="164"/>
        <v>4.5631539362010073E-2</v>
      </c>
      <c r="G827" s="39">
        <f t="shared" si="164"/>
        <v>0.1043480391775556</v>
      </c>
      <c r="H827" s="39">
        <f t="shared" si="164"/>
        <v>0.19876731507091311</v>
      </c>
      <c r="I827" s="39">
        <f t="shared" si="164"/>
        <v>0.32586324285088275</v>
      </c>
      <c r="J827" s="39">
        <f t="shared" si="164"/>
        <v>0.47198104151274506</v>
      </c>
      <c r="K827" s="39">
        <f t="shared" si="164"/>
        <v>0.61765408436357627</v>
      </c>
      <c r="L827" s="39">
        <f t="shared" si="165"/>
        <v>0.74509480051364929</v>
      </c>
      <c r="M827" s="39">
        <f t="shared" si="165"/>
        <v>0.8438582199881296</v>
      </c>
      <c r="N827" s="39">
        <f t="shared" si="165"/>
        <v>0.91218251044482146</v>
      </c>
      <c r="O827" s="39">
        <f t="shared" si="165"/>
        <v>0.95464306445139924</v>
      </c>
      <c r="P827" s="39">
        <f t="shared" si="165"/>
        <v>0.97847195618334681</v>
      </c>
      <c r="Q827" s="39">
        <f t="shared" si="165"/>
        <v>0.9906011905750064</v>
      </c>
      <c r="R827" s="39">
        <f t="shared" si="165"/>
        <v>0.99622166715081706</v>
      </c>
      <c r="S827" s="39">
        <f t="shared" si="165"/>
        <v>0.99859997354159891</v>
      </c>
      <c r="T827" s="39">
        <f t="shared" si="165"/>
        <v>0.99952136983196582</v>
      </c>
      <c r="U827" s="39">
        <f t="shared" si="165"/>
        <v>0.99984890067108845</v>
      </c>
      <c r="V827" s="39">
        <f t="shared" si="165"/>
        <v>0.99995592067885042</v>
      </c>
      <c r="W827" s="37">
        <v>0.17599999999999999</v>
      </c>
    </row>
    <row r="828" spans="2:23" x14ac:dyDescent="0.25">
      <c r="B828" s="39">
        <f t="shared" si="164"/>
        <v>6.4003960660522313E-5</v>
      </c>
      <c r="C828" s="39">
        <f t="shared" si="164"/>
        <v>7.4932361591659364E-4</v>
      </c>
      <c r="D828" s="39">
        <f t="shared" si="164"/>
        <v>4.3406286020360018E-3</v>
      </c>
      <c r="E828" s="39">
        <f t="shared" si="164"/>
        <v>1.6616195613413817E-2</v>
      </c>
      <c r="F828" s="39">
        <f t="shared" si="164"/>
        <v>4.7393075007385634E-2</v>
      </c>
      <c r="G828" s="39">
        <f t="shared" si="164"/>
        <v>0.10773692548207031</v>
      </c>
      <c r="H828" s="39">
        <f t="shared" si="164"/>
        <v>0.20407321902956929</v>
      </c>
      <c r="I828" s="39">
        <f t="shared" si="164"/>
        <v>0.33281361822699096</v>
      </c>
      <c r="J828" s="39">
        <f t="shared" si="164"/>
        <v>0.47975286840344972</v>
      </c>
      <c r="K828" s="39">
        <f t="shared" si="164"/>
        <v>0.6251858484296362</v>
      </c>
      <c r="L828" s="39">
        <f t="shared" si="165"/>
        <v>0.75149605684550891</v>
      </c>
      <c r="M828" s="39">
        <f t="shared" si="165"/>
        <v>0.84867460869783717</v>
      </c>
      <c r="N828" s="39">
        <f t="shared" si="165"/>
        <v>0.91541534685796877</v>
      </c>
      <c r="O828" s="39">
        <f t="shared" si="165"/>
        <v>0.95659101083313747</v>
      </c>
      <c r="P828" s="39">
        <f t="shared" si="165"/>
        <v>0.97953111478661559</v>
      </c>
      <c r="Q828" s="39">
        <f t="shared" si="165"/>
        <v>0.99112313173036004</v>
      </c>
      <c r="R828" s="39">
        <f t="shared" si="165"/>
        <v>0.99645562522993436</v>
      </c>
      <c r="S828" s="39">
        <f t="shared" si="165"/>
        <v>0.99869565637606084</v>
      </c>
      <c r="T828" s="39">
        <f t="shared" si="165"/>
        <v>0.99955716426217167</v>
      </c>
      <c r="U828" s="39">
        <f t="shared" si="165"/>
        <v>0.99986117506508998</v>
      </c>
      <c r="V828" s="39">
        <f t="shared" si="165"/>
        <v>0.99995978559414911</v>
      </c>
      <c r="W828" s="37">
        <v>0.17499999999999999</v>
      </c>
    </row>
    <row r="829" spans="2:23" x14ac:dyDescent="0.25">
      <c r="B829" s="39">
        <f t="shared" si="164"/>
        <v>6.8190838813707657E-5</v>
      </c>
      <c r="C829" s="39">
        <f t="shared" si="164"/>
        <v>7.9307117502562053E-4</v>
      </c>
      <c r="D829" s="39">
        <f t="shared" si="164"/>
        <v>4.564248053563826E-3</v>
      </c>
      <c r="E829" s="39">
        <f t="shared" si="164"/>
        <v>1.736145485242092E-2</v>
      </c>
      <c r="F829" s="39">
        <f t="shared" si="164"/>
        <v>4.9214044484881606E-2</v>
      </c>
      <c r="G829" s="39">
        <f t="shared" si="164"/>
        <v>0.11121483671922572</v>
      </c>
      <c r="H829" s="39">
        <f t="shared" si="164"/>
        <v>0.20947912750606468</v>
      </c>
      <c r="I829" s="39">
        <f t="shared" si="164"/>
        <v>0.33984374105743526</v>
      </c>
      <c r="J829" s="39">
        <f t="shared" si="164"/>
        <v>0.487556929372992</v>
      </c>
      <c r="K829" s="39">
        <f t="shared" si="164"/>
        <v>0.632694028052599</v>
      </c>
      <c r="L829" s="39">
        <f t="shared" si="165"/>
        <v>0.75783097634871999</v>
      </c>
      <c r="M829" s="39">
        <f t="shared" si="165"/>
        <v>0.85340647936856762</v>
      </c>
      <c r="N829" s="39">
        <f t="shared" si="165"/>
        <v>0.91856837635230393</v>
      </c>
      <c r="O829" s="39">
        <f t="shared" si="165"/>
        <v>0.9584770546515009</v>
      </c>
      <c r="P829" s="39">
        <f t="shared" si="165"/>
        <v>0.98054915224237382</v>
      </c>
      <c r="Q829" s="39">
        <f t="shared" si="165"/>
        <v>0.99162115516335514</v>
      </c>
      <c r="R829" s="39">
        <f t="shared" si="165"/>
        <v>0.99667723517743734</v>
      </c>
      <c r="S829" s="39">
        <f t="shared" si="165"/>
        <v>0.99878562802746274</v>
      </c>
      <c r="T829" s="39">
        <f t="shared" si="165"/>
        <v>0.99959057646051508</v>
      </c>
      <c r="U829" s="39">
        <f t="shared" si="165"/>
        <v>0.99987254885157462</v>
      </c>
      <c r="V829" s="39">
        <f t="shared" si="165"/>
        <v>0.99996334074372129</v>
      </c>
      <c r="W829" s="37">
        <v>0.17399999999999999</v>
      </c>
    </row>
    <row r="830" spans="2:23" x14ac:dyDescent="0.25">
      <c r="B830" s="39">
        <f t="shared" si="164"/>
        <v>7.1883973310267685E-5</v>
      </c>
      <c r="C830" s="39">
        <f t="shared" si="164"/>
        <v>8.3140412369535571E-4</v>
      </c>
      <c r="D830" s="39">
        <f t="shared" si="164"/>
        <v>4.7588910297552932E-3</v>
      </c>
      <c r="E830" s="39">
        <f t="shared" si="164"/>
        <v>1.800583839087274E-2</v>
      </c>
      <c r="F830" s="39">
        <f t="shared" si="164"/>
        <v>5.0778073447888435E-2</v>
      </c>
      <c r="G830" s="39">
        <f t="shared" si="164"/>
        <v>0.11418214599911101</v>
      </c>
      <c r="H830" s="39">
        <f t="shared" si="164"/>
        <v>0.21406067654772315</v>
      </c>
      <c r="I830" s="39">
        <f t="shared" si="164"/>
        <v>0.34576212344628576</v>
      </c>
      <c r="J830" s="39">
        <f t="shared" si="164"/>
        <v>0.49408303864395464</v>
      </c>
      <c r="K830" s="39">
        <f t="shared" si="164"/>
        <v>0.63893078810275572</v>
      </c>
      <c r="L830" s="39">
        <f t="shared" si="165"/>
        <v>0.76305798579848583</v>
      </c>
      <c r="M830" s="39">
        <f t="shared" si="165"/>
        <v>0.85728467717341839</v>
      </c>
      <c r="N830" s="39">
        <f t="shared" si="165"/>
        <v>0.92113526556651792</v>
      </c>
      <c r="O830" s="39">
        <f t="shared" si="165"/>
        <v>0.96000219553161337</v>
      </c>
      <c r="P830" s="39">
        <f t="shared" si="165"/>
        <v>0.98136685999652862</v>
      </c>
      <c r="Q830" s="39">
        <f t="shared" si="165"/>
        <v>0.99201849068241799</v>
      </c>
      <c r="R830" s="39">
        <f t="shared" si="165"/>
        <v>0.99685285243334254</v>
      </c>
      <c r="S830" s="39">
        <f t="shared" si="165"/>
        <v>0.99885644722745193</v>
      </c>
      <c r="T830" s="39">
        <f t="shared" si="165"/>
        <v>0.9996166989655898</v>
      </c>
      <c r="U830" s="39">
        <f t="shared" si="165"/>
        <v>0.99988138120301417</v>
      </c>
      <c r="V830" s="39">
        <f t="shared" si="165"/>
        <v>0.99996608287151978</v>
      </c>
      <c r="W830" s="37">
        <v>0.17299999999999999</v>
      </c>
    </row>
    <row r="831" spans="2:23" x14ac:dyDescent="0.25">
      <c r="B831" s="39">
        <f t="shared" si="164"/>
        <v>7.6575081396671471E-5</v>
      </c>
      <c r="C831" s="39">
        <f t="shared" si="164"/>
        <v>8.7977052661366586E-4</v>
      </c>
      <c r="D831" s="39">
        <f t="shared" si="164"/>
        <v>5.0028404787275495E-3</v>
      </c>
      <c r="E831" s="39">
        <f t="shared" si="164"/>
        <v>1.8808058193973048E-2</v>
      </c>
      <c r="F831" s="39">
        <f t="shared" si="164"/>
        <v>5.2712177605076307E-2</v>
      </c>
      <c r="G831" s="39">
        <f t="shared" si="164"/>
        <v>0.11782701810858325</v>
      </c>
      <c r="H831" s="39">
        <f t="shared" si="164"/>
        <v>0.21965071138907319</v>
      </c>
      <c r="I831" s="39">
        <f t="shared" si="164"/>
        <v>0.35293488133097672</v>
      </c>
      <c r="J831" s="39">
        <f t="shared" si="164"/>
        <v>0.50193931481707488</v>
      </c>
      <c r="K831" s="39">
        <f t="shared" si="164"/>
        <v>0.64638838593821124</v>
      </c>
      <c r="L831" s="39">
        <f t="shared" si="165"/>
        <v>0.76926623300094565</v>
      </c>
      <c r="M831" s="39">
        <f t="shared" si="165"/>
        <v>0.86185997880003484</v>
      </c>
      <c r="N831" s="39">
        <f t="shared" si="165"/>
        <v>0.92414320591093158</v>
      </c>
      <c r="O831" s="39">
        <f t="shared" si="165"/>
        <v>0.96177737650246564</v>
      </c>
      <c r="P831" s="39">
        <f t="shared" si="165"/>
        <v>0.98231222521661976</v>
      </c>
      <c r="Q831" s="39">
        <f t="shared" si="165"/>
        <v>0.99247476495172915</v>
      </c>
      <c r="R831" s="39">
        <f t="shared" si="165"/>
        <v>0.99705316173047109</v>
      </c>
      <c r="S831" s="39">
        <f t="shared" si="165"/>
        <v>0.99893667939261188</v>
      </c>
      <c r="T831" s="39">
        <f t="shared" si="165"/>
        <v>0.99964609401091231</v>
      </c>
      <c r="U831" s="39">
        <f t="shared" si="165"/>
        <v>0.99989125298841908</v>
      </c>
      <c r="V831" s="39">
        <f t="shared" si="165"/>
        <v>0.99996912701656826</v>
      </c>
      <c r="W831" s="37">
        <v>0.17199999999999999</v>
      </c>
    </row>
    <row r="832" spans="2:23" x14ac:dyDescent="0.25">
      <c r="B832" s="39">
        <f t="shared" si="164"/>
        <v>8.1565816838543212E-5</v>
      </c>
      <c r="C832" s="39">
        <f t="shared" si="164"/>
        <v>9.3085048476629231E-4</v>
      </c>
      <c r="D832" s="39">
        <f t="shared" si="164"/>
        <v>5.258594043084229E-3</v>
      </c>
      <c r="E832" s="39">
        <f t="shared" si="164"/>
        <v>1.9642945413588176E-2</v>
      </c>
      <c r="F832" s="39">
        <f t="shared" si="164"/>
        <v>5.4710310359406725E-2</v>
      </c>
      <c r="G832" s="39">
        <f t="shared" si="164"/>
        <v>0.12156497493672033</v>
      </c>
      <c r="H832" s="39">
        <f t="shared" si="164"/>
        <v>0.22534148700498904</v>
      </c>
      <c r="I832" s="39">
        <f t="shared" si="164"/>
        <v>0.36018333768828875</v>
      </c>
      <c r="J832" s="39">
        <f t="shared" si="164"/>
        <v>0.50982021727018478</v>
      </c>
      <c r="K832" s="39">
        <f t="shared" si="164"/>
        <v>0.6538143947656927</v>
      </c>
      <c r="L832" s="39">
        <f t="shared" si="165"/>
        <v>0.77540272577772507</v>
      </c>
      <c r="M832" s="39">
        <f t="shared" si="165"/>
        <v>0.86634911836440254</v>
      </c>
      <c r="N832" s="39">
        <f t="shared" si="165"/>
        <v>0.9270727643743425</v>
      </c>
      <c r="O832" s="39">
        <f t="shared" si="165"/>
        <v>0.96349355546494864</v>
      </c>
      <c r="P832" s="39">
        <f t="shared" si="165"/>
        <v>0.98321942713722599</v>
      </c>
      <c r="Q832" s="39">
        <f t="shared" si="165"/>
        <v>0.99290938737016776</v>
      </c>
      <c r="R832" s="39">
        <f t="shared" si="165"/>
        <v>0.99724255583576793</v>
      </c>
      <c r="S832" s="39">
        <f t="shared" si="165"/>
        <v>0.99901197860996371</v>
      </c>
      <c r="T832" s="39">
        <f t="shared" si="165"/>
        <v>0.99967347758123104</v>
      </c>
      <c r="U832" s="39">
        <f t="shared" si="165"/>
        <v>0.99990038114358304</v>
      </c>
      <c r="V832" s="39">
        <f t="shared" si="165"/>
        <v>0.9999719209843726</v>
      </c>
      <c r="W832" s="37">
        <v>0.17100000000000001</v>
      </c>
    </row>
    <row r="833" spans="2:23" x14ac:dyDescent="0.25">
      <c r="B833" s="39">
        <f t="shared" ref="B833:K842" si="166">_xlfn.HYPGEOM.DIST(B$2,comau,tongtheN*$W833,tongtheN,TRUE)</f>
        <v>8.687490239919192E-5</v>
      </c>
      <c r="C833" s="39">
        <f t="shared" si="166"/>
        <v>9.8479012039759633E-4</v>
      </c>
      <c r="D833" s="39">
        <f t="shared" si="166"/>
        <v>5.5266829931988832E-3</v>
      </c>
      <c r="E833" s="39">
        <f t="shared" si="166"/>
        <v>2.0511670200381214E-2</v>
      </c>
      <c r="F833" s="39">
        <f t="shared" si="166"/>
        <v>5.6774137660175805E-2</v>
      </c>
      <c r="G833" s="39">
        <f t="shared" si="166"/>
        <v>0.12539741468852142</v>
      </c>
      <c r="H833" s="39">
        <f t="shared" si="166"/>
        <v>0.23113313261555476</v>
      </c>
      <c r="I833" s="39">
        <f t="shared" si="166"/>
        <v>0.3675058974493241</v>
      </c>
      <c r="J833" s="39">
        <f t="shared" si="166"/>
        <v>0.51772295624629361</v>
      </c>
      <c r="K833" s="39">
        <f t="shared" si="166"/>
        <v>0.66120600130573903</v>
      </c>
      <c r="L833" s="39">
        <f t="shared" ref="L833:V842" si="167">_xlfn.HYPGEOM.DIST(L$2,comau,tongtheN*$W833,tongtheN,TRUE)</f>
        <v>0.78146565782869004</v>
      </c>
      <c r="M833" s="39">
        <f t="shared" si="167"/>
        <v>0.87075164577700437</v>
      </c>
      <c r="N833" s="39">
        <f t="shared" si="167"/>
        <v>0.92992453772673977</v>
      </c>
      <c r="O833" s="39">
        <f t="shared" si="167"/>
        <v>0.96515179272617235</v>
      </c>
      <c r="P833" s="39">
        <f t="shared" si="167"/>
        <v>0.98408950214153368</v>
      </c>
      <c r="Q833" s="39">
        <f t="shared" si="167"/>
        <v>0.99332313056384469</v>
      </c>
      <c r="R833" s="39">
        <f t="shared" si="167"/>
        <v>0.99742151278559754</v>
      </c>
      <c r="S833" s="39">
        <f t="shared" si="167"/>
        <v>0.99908259951941414</v>
      </c>
      <c r="T833" s="39">
        <f t="shared" si="167"/>
        <v>0.99969896882361664</v>
      </c>
      <c r="U833" s="39">
        <f t="shared" si="167"/>
        <v>0.99990881525590447</v>
      </c>
      <c r="V833" s="39">
        <f t="shared" si="167"/>
        <v>0.99997448328771188</v>
      </c>
      <c r="W833" s="37">
        <v>0.17</v>
      </c>
    </row>
    <row r="834" spans="2:23" x14ac:dyDescent="0.25">
      <c r="B834" s="39">
        <f t="shared" si="166"/>
        <v>9.1556621476419618E-5</v>
      </c>
      <c r="C834" s="39">
        <f t="shared" si="166"/>
        <v>1.0320348889097932E-3</v>
      </c>
      <c r="D834" s="39">
        <f t="shared" si="166"/>
        <v>5.7599115608225745E-3</v>
      </c>
      <c r="E834" s="39">
        <f t="shared" si="166"/>
        <v>2.1262323115026193E-2</v>
      </c>
      <c r="F834" s="39">
        <f t="shared" si="166"/>
        <v>5.8545394157352847E-2</v>
      </c>
      <c r="G834" s="39">
        <f t="shared" si="166"/>
        <v>0.12866428266772637</v>
      </c>
      <c r="H834" s="39">
        <f t="shared" si="166"/>
        <v>0.23603660088288431</v>
      </c>
      <c r="I834" s="39">
        <f t="shared" si="166"/>
        <v>0.37366342616862913</v>
      </c>
      <c r="J834" s="39">
        <f t="shared" si="166"/>
        <v>0.52432320455443937</v>
      </c>
      <c r="K834" s="39">
        <f t="shared" si="166"/>
        <v>0.66733737195035747</v>
      </c>
      <c r="L834" s="39">
        <f t="shared" si="167"/>
        <v>0.78646064632971657</v>
      </c>
      <c r="M834" s="39">
        <f t="shared" si="167"/>
        <v>0.87435397902652978</v>
      </c>
      <c r="N834" s="39">
        <f t="shared" si="167"/>
        <v>0.93224205941538663</v>
      </c>
      <c r="O834" s="39">
        <f t="shared" si="167"/>
        <v>0.96649017261830372</v>
      </c>
      <c r="P834" s="39">
        <f t="shared" si="167"/>
        <v>0.98478694768225206</v>
      </c>
      <c r="Q834" s="39">
        <f t="shared" si="167"/>
        <v>0.99365251440093483</v>
      </c>
      <c r="R834" s="39">
        <f t="shared" si="167"/>
        <v>0.99756300571338996</v>
      </c>
      <c r="S834" s="39">
        <f t="shared" si="167"/>
        <v>0.99913805329688032</v>
      </c>
      <c r="T834" s="39">
        <f t="shared" si="167"/>
        <v>0.99971884795539945</v>
      </c>
      <c r="U834" s="39">
        <f t="shared" si="167"/>
        <v>0.99991534733268372</v>
      </c>
      <c r="V834" s="39">
        <f t="shared" si="167"/>
        <v>0.99997645409806712</v>
      </c>
      <c r="W834" s="37">
        <v>0.16900000000000001</v>
      </c>
    </row>
    <row r="835" spans="2:23" x14ac:dyDescent="0.25">
      <c r="B835" s="39">
        <f t="shared" si="166"/>
        <v>9.7501820051064259E-5</v>
      </c>
      <c r="C835" s="39">
        <f t="shared" si="166"/>
        <v>1.0916219149471075E-3</v>
      </c>
      <c r="D835" s="39">
        <f t="shared" si="166"/>
        <v>6.0520676243467769E-3</v>
      </c>
      <c r="E835" s="39">
        <f t="shared" si="166"/>
        <v>2.219623458254448E-2</v>
      </c>
      <c r="F835" s="39">
        <f t="shared" si="166"/>
        <v>6.0734060497758188E-2</v>
      </c>
      <c r="G835" s="39">
        <f t="shared" si="166"/>
        <v>0.13267349861117578</v>
      </c>
      <c r="H835" s="39">
        <f t="shared" si="166"/>
        <v>0.24201326960742073</v>
      </c>
      <c r="I835" s="39">
        <f t="shared" si="166"/>
        <v>0.38111740915023801</v>
      </c>
      <c r="J835" s="39">
        <f t="shared" si="166"/>
        <v>0.53225856287152185</v>
      </c>
      <c r="K835" s="39">
        <f t="shared" si="166"/>
        <v>0.67465864040492773</v>
      </c>
      <c r="L835" s="39">
        <f t="shared" si="167"/>
        <v>0.79238422174504486</v>
      </c>
      <c r="M835" s="39">
        <f t="shared" si="167"/>
        <v>0.87859677505315292</v>
      </c>
      <c r="N835" s="39">
        <f t="shared" si="167"/>
        <v>0.93495293182628014</v>
      </c>
      <c r="O835" s="39">
        <f t="shared" si="167"/>
        <v>0.96804499161993707</v>
      </c>
      <c r="P835" s="39">
        <f t="shared" si="167"/>
        <v>0.98559162926712895</v>
      </c>
      <c r="Q835" s="39">
        <f t="shared" si="167"/>
        <v>0.99402993667250816</v>
      </c>
      <c r="R835" s="39">
        <f t="shared" si="167"/>
        <v>0.99772402192432497</v>
      </c>
      <c r="S835" s="39">
        <f t="shared" si="167"/>
        <v>0.99920072532962811</v>
      </c>
      <c r="T835" s="39">
        <f t="shared" si="167"/>
        <v>0.99974116033952454</v>
      </c>
      <c r="U835" s="39">
        <f t="shared" si="167"/>
        <v>0.99992262854851388</v>
      </c>
      <c r="V835" s="39">
        <f t="shared" si="167"/>
        <v>0.99997863582128199</v>
      </c>
      <c r="W835" s="37">
        <v>0.16800000000000001</v>
      </c>
    </row>
    <row r="836" spans="2:23" x14ac:dyDescent="0.25">
      <c r="B836" s="39">
        <f t="shared" si="166"/>
        <v>1.0382485904552525E-4</v>
      </c>
      <c r="C836" s="39">
        <f t="shared" si="166"/>
        <v>1.1545245687214676E-3</v>
      </c>
      <c r="D836" s="39">
        <f t="shared" si="166"/>
        <v>6.3581845002454954E-3</v>
      </c>
      <c r="E836" s="39">
        <f t="shared" si="166"/>
        <v>2.3167483458859384E-2</v>
      </c>
      <c r="F836" s="39">
        <f t="shared" si="166"/>
        <v>6.2993257847085107E-2</v>
      </c>
      <c r="G836" s="39">
        <f t="shared" si="166"/>
        <v>0.13678103273631495</v>
      </c>
      <c r="H836" s="39">
        <f t="shared" si="166"/>
        <v>0.2480907751212339</v>
      </c>
      <c r="I836" s="39">
        <f t="shared" si="166"/>
        <v>0.3886405005641318</v>
      </c>
      <c r="J836" s="39">
        <f t="shared" si="166"/>
        <v>0.54020758237381117</v>
      </c>
      <c r="K836" s="39">
        <f t="shared" si="166"/>
        <v>0.68193760720403418</v>
      </c>
      <c r="L836" s="39">
        <f t="shared" si="167"/>
        <v>0.79822944383131833</v>
      </c>
      <c r="M836" s="39">
        <f t="shared" si="167"/>
        <v>0.88275205446188043</v>
      </c>
      <c r="N836" s="39">
        <f t="shared" si="167"/>
        <v>0.93758796101234387</v>
      </c>
      <c r="O836" s="39">
        <f t="shared" si="167"/>
        <v>0.96954495877603308</v>
      </c>
      <c r="P836" s="39">
        <f t="shared" si="167"/>
        <v>0.98636208698292149</v>
      </c>
      <c r="Q836" s="39">
        <f t="shared" si="167"/>
        <v>0.99438858794711549</v>
      </c>
      <c r="R836" s="39">
        <f t="shared" si="167"/>
        <v>0.99787587788076437</v>
      </c>
      <c r="S836" s="39">
        <f t="shared" si="167"/>
        <v>0.99925938648937496</v>
      </c>
      <c r="T836" s="39">
        <f t="shared" si="167"/>
        <v>0.99976188725759674</v>
      </c>
      <c r="U836" s="39">
        <f t="shared" si="167"/>
        <v>0.99992934131893707</v>
      </c>
      <c r="V836" s="39">
        <f t="shared" si="167"/>
        <v>0.99998063202068854</v>
      </c>
      <c r="W836" s="37">
        <v>0.16700000000000001</v>
      </c>
    </row>
    <row r="837" spans="2:23" x14ac:dyDescent="0.25">
      <c r="B837" s="39">
        <f t="shared" si="166"/>
        <v>1.1054923130999738E-4</v>
      </c>
      <c r="C837" s="39">
        <f t="shared" si="166"/>
        <v>1.2209197412107894E-3</v>
      </c>
      <c r="D837" s="39">
        <f t="shared" si="166"/>
        <v>6.6788806667157996E-3</v>
      </c>
      <c r="E837" s="39">
        <f t="shared" si="166"/>
        <v>2.4177371649053224E-2</v>
      </c>
      <c r="F837" s="39">
        <f t="shared" si="166"/>
        <v>6.532473145532558E-2</v>
      </c>
      <c r="G837" s="39">
        <f t="shared" si="166"/>
        <v>0.14098818644740077</v>
      </c>
      <c r="H837" s="39">
        <f t="shared" si="166"/>
        <v>0.25426895738169519</v>
      </c>
      <c r="I837" s="39">
        <f t="shared" si="166"/>
        <v>0.39623076895577752</v>
      </c>
      <c r="J837" s="39">
        <f t="shared" si="166"/>
        <v>0.54816728922706348</v>
      </c>
      <c r="K837" s="39">
        <f t="shared" si="166"/>
        <v>0.68917151949351241</v>
      </c>
      <c r="L837" s="39">
        <f t="shared" si="167"/>
        <v>0.80399474198838239</v>
      </c>
      <c r="M837" s="39">
        <f t="shared" si="167"/>
        <v>0.88681962883727283</v>
      </c>
      <c r="N837" s="39">
        <f t="shared" si="167"/>
        <v>0.94014791683195931</v>
      </c>
      <c r="O837" s="39">
        <f t="shared" si="167"/>
        <v>0.97099119024577951</v>
      </c>
      <c r="P837" s="39">
        <f t="shared" si="167"/>
        <v>0.9870993307780751</v>
      </c>
      <c r="Q837" s="39">
        <f t="shared" si="167"/>
        <v>0.9947291828868986</v>
      </c>
      <c r="R837" s="39">
        <f t="shared" si="167"/>
        <v>0.99801899723550691</v>
      </c>
      <c r="S837" s="39">
        <f t="shared" si="167"/>
        <v>0.99931425398427831</v>
      </c>
      <c r="T837" s="39">
        <f t="shared" si="167"/>
        <v>0.99978112678432229</v>
      </c>
      <c r="U837" s="39">
        <f t="shared" si="167"/>
        <v>0.99993552509603656</v>
      </c>
      <c r="V837" s="39">
        <f t="shared" si="167"/>
        <v>0.99998245694786114</v>
      </c>
      <c r="W837" s="37">
        <v>0.16600000000000001</v>
      </c>
    </row>
    <row r="838" spans="2:23" x14ac:dyDescent="0.25">
      <c r="B838" s="39">
        <f t="shared" si="166"/>
        <v>1.1647738349167467E-4</v>
      </c>
      <c r="C838" s="39">
        <f t="shared" si="166"/>
        <v>1.2790507640603407E-3</v>
      </c>
      <c r="D838" s="39">
        <f t="shared" si="166"/>
        <v>6.9577276649492627E-3</v>
      </c>
      <c r="E838" s="39">
        <f t="shared" si="166"/>
        <v>2.5049425118389788E-2</v>
      </c>
      <c r="F838" s="39">
        <f t="shared" si="166"/>
        <v>6.7324108972779032E-2</v>
      </c>
      <c r="G838" s="39">
        <f t="shared" si="166"/>
        <v>0.14457116342181028</v>
      </c>
      <c r="H838" s="39">
        <f t="shared" si="166"/>
        <v>0.25949417690804977</v>
      </c>
      <c r="I838" s="39">
        <f t="shared" si="166"/>
        <v>0.40260585407959359</v>
      </c>
      <c r="J838" s="39">
        <f t="shared" si="166"/>
        <v>0.55480636759215007</v>
      </c>
      <c r="K838" s="39">
        <f t="shared" si="166"/>
        <v>0.69516339325524079</v>
      </c>
      <c r="L838" s="39">
        <f t="shared" si="167"/>
        <v>0.80873701666106079</v>
      </c>
      <c r="M838" s="39">
        <f t="shared" si="167"/>
        <v>0.89014218832947589</v>
      </c>
      <c r="N838" s="39">
        <f t="shared" si="167"/>
        <v>0.94222444999376997</v>
      </c>
      <c r="O838" s="39">
        <f t="shared" si="167"/>
        <v>0.9721561479177705</v>
      </c>
      <c r="P838" s="39">
        <f t="shared" si="167"/>
        <v>0.98768905123650563</v>
      </c>
      <c r="Q838" s="39">
        <f t="shared" si="167"/>
        <v>0.99499972369007861</v>
      </c>
      <c r="R838" s="39">
        <f t="shared" si="167"/>
        <v>0.99813188561698596</v>
      </c>
      <c r="S838" s="39">
        <f t="shared" si="167"/>
        <v>0.99935722929968829</v>
      </c>
      <c r="T838" s="39">
        <f t="shared" si="167"/>
        <v>0.99979609079993514</v>
      </c>
      <c r="U838" s="39">
        <f t="shared" si="167"/>
        <v>0.99994030098452402</v>
      </c>
      <c r="V838" s="39">
        <f t="shared" si="167"/>
        <v>0.99998385650044641</v>
      </c>
      <c r="W838" s="37">
        <v>0.16500000000000001</v>
      </c>
    </row>
    <row r="839" spans="2:23" x14ac:dyDescent="0.25">
      <c r="B839" s="39">
        <f t="shared" si="166"/>
        <v>1.2400334866206867E-4</v>
      </c>
      <c r="C839" s="39">
        <f t="shared" si="166"/>
        <v>1.352338406163693E-3</v>
      </c>
      <c r="D839" s="39">
        <f t="shared" si="166"/>
        <v>7.306841279753608E-3</v>
      </c>
      <c r="E839" s="39">
        <f t="shared" si="166"/>
        <v>2.6133651706560984E-2</v>
      </c>
      <c r="F839" s="39">
        <f t="shared" si="166"/>
        <v>6.9792681920078245E-2</v>
      </c>
      <c r="G839" s="39">
        <f t="shared" si="166"/>
        <v>0.14896422703203066</v>
      </c>
      <c r="H839" s="39">
        <f t="shared" si="166"/>
        <v>0.2658562465166936</v>
      </c>
      <c r="I839" s="39">
        <f t="shared" si="166"/>
        <v>0.41031397196023084</v>
      </c>
      <c r="J839" s="39">
        <f t="shared" si="166"/>
        <v>0.56277780642850617</v>
      </c>
      <c r="K839" s="39">
        <f t="shared" si="166"/>
        <v>0.70230763624257353</v>
      </c>
      <c r="L839" s="39">
        <f t="shared" si="167"/>
        <v>0.81435192895955633</v>
      </c>
      <c r="M839" s="39">
        <f t="shared" si="167"/>
        <v>0.89404870620594712</v>
      </c>
      <c r="N839" s="39">
        <f t="shared" si="167"/>
        <v>0.94464890853420824</v>
      </c>
      <c r="O839" s="39">
        <f t="shared" si="167"/>
        <v>0.97350679827049769</v>
      </c>
      <c r="P839" s="39">
        <f t="shared" si="167"/>
        <v>0.98836799521303542</v>
      </c>
      <c r="Q839" s="39">
        <f t="shared" si="167"/>
        <v>0.99530901913619729</v>
      </c>
      <c r="R839" s="39">
        <f t="shared" si="167"/>
        <v>0.99826004223832521</v>
      </c>
      <c r="S839" s="39">
        <f t="shared" si="167"/>
        <v>0.99940567552786841</v>
      </c>
      <c r="T839" s="39">
        <f t="shared" si="167"/>
        <v>0.99981284162422857</v>
      </c>
      <c r="U839" s="39">
        <f t="shared" si="167"/>
        <v>0.99994560967464441</v>
      </c>
      <c r="V839" s="39">
        <f t="shared" si="167"/>
        <v>0.99998540127680802</v>
      </c>
      <c r="W839" s="37">
        <v>0.16400000000000001</v>
      </c>
    </row>
    <row r="840" spans="2:23" x14ac:dyDescent="0.25">
      <c r="B840" s="39">
        <f t="shared" si="166"/>
        <v>1.3200525251623075E-4</v>
      </c>
      <c r="C840" s="39">
        <f t="shared" si="166"/>
        <v>1.4296699521889761E-3</v>
      </c>
      <c r="D840" s="39">
        <f t="shared" si="166"/>
        <v>7.6724232415294087E-3</v>
      </c>
      <c r="E840" s="39">
        <f t="shared" si="166"/>
        <v>2.7260400912896582E-2</v>
      </c>
      <c r="F840" s="39">
        <f t="shared" si="166"/>
        <v>7.2338571749828065E-2</v>
      </c>
      <c r="G840" s="39">
        <f t="shared" si="166"/>
        <v>0.15346041809695868</v>
      </c>
      <c r="H840" s="39">
        <f t="shared" si="166"/>
        <v>0.27231809089797288</v>
      </c>
      <c r="I840" s="39">
        <f t="shared" si="166"/>
        <v>0.41808331715797403</v>
      </c>
      <c r="J840" s="39">
        <f t="shared" si="166"/>
        <v>0.5707512872498538</v>
      </c>
      <c r="K840" s="39">
        <f t="shared" si="166"/>
        <v>0.70939916365576206</v>
      </c>
      <c r="L840" s="39">
        <f t="shared" si="167"/>
        <v>0.81988283193909006</v>
      </c>
      <c r="M840" s="39">
        <f t="shared" si="167"/>
        <v>0.89786735333498946</v>
      </c>
      <c r="N840" s="39">
        <f t="shared" si="167"/>
        <v>0.94700069708473489</v>
      </c>
      <c r="O840" s="39">
        <f t="shared" si="167"/>
        <v>0.9748069300859642</v>
      </c>
      <c r="P840" s="39">
        <f t="shared" si="167"/>
        <v>0.98901653476168128</v>
      </c>
      <c r="Q840" s="39">
        <f t="shared" si="167"/>
        <v>0.99560219705397601</v>
      </c>
      <c r="R840" s="39">
        <f t="shared" si="167"/>
        <v>0.99838058776745975</v>
      </c>
      <c r="S840" s="39">
        <f t="shared" si="167"/>
        <v>0.9994508943736975</v>
      </c>
      <c r="T840" s="39">
        <f t="shared" si="167"/>
        <v>0.99982835628344302</v>
      </c>
      <c r="U840" s="39">
        <f t="shared" si="167"/>
        <v>0.99995048874511683</v>
      </c>
      <c r="V840" s="39">
        <f t="shared" si="167"/>
        <v>0.9999868100986824</v>
      </c>
      <c r="W840" s="37">
        <v>0.16300000000000001</v>
      </c>
    </row>
    <row r="841" spans="2:23" x14ac:dyDescent="0.25">
      <c r="B841" s="39">
        <f t="shared" si="166"/>
        <v>1.4051254115554813E-4</v>
      </c>
      <c r="C841" s="39">
        <f t="shared" si="166"/>
        <v>1.5112591001070984E-3</v>
      </c>
      <c r="D841" s="39">
        <f t="shared" si="166"/>
        <v>8.055191135879573E-3</v>
      </c>
      <c r="E841" s="39">
        <f t="shared" si="166"/>
        <v>2.8431113294087519E-2</v>
      </c>
      <c r="F841" s="39">
        <f t="shared" si="166"/>
        <v>7.4963587564477518E-2</v>
      </c>
      <c r="G841" s="39">
        <f t="shared" si="166"/>
        <v>0.15806090287876326</v>
      </c>
      <c r="H841" s="39">
        <f t="shared" si="166"/>
        <v>0.27887922637728607</v>
      </c>
      <c r="I841" s="39">
        <f t="shared" si="166"/>
        <v>0.42591162221383361</v>
      </c>
      <c r="J841" s="39">
        <f t="shared" si="166"/>
        <v>0.57872368990593204</v>
      </c>
      <c r="K841" s="39">
        <f t="shared" si="166"/>
        <v>0.71643533058879061</v>
      </c>
      <c r="L841" s="39">
        <f t="shared" si="167"/>
        <v>0.82532841753576158</v>
      </c>
      <c r="M841" s="39">
        <f t="shared" si="167"/>
        <v>0.90159819993981016</v>
      </c>
      <c r="N841" s="39">
        <f t="shared" si="167"/>
        <v>0.94928073759341547</v>
      </c>
      <c r="O841" s="39">
        <f t="shared" si="167"/>
        <v>0.97605769360896177</v>
      </c>
      <c r="P841" s="39">
        <f t="shared" si="167"/>
        <v>0.98963564061878151</v>
      </c>
      <c r="Q841" s="39">
        <f t="shared" si="167"/>
        <v>0.99587991082830163</v>
      </c>
      <c r="R841" s="39">
        <f t="shared" si="167"/>
        <v>0.99849389354968843</v>
      </c>
      <c r="S841" s="39">
        <f t="shared" si="167"/>
        <v>0.99949306910429936</v>
      </c>
      <c r="T841" s="39">
        <f t="shared" si="167"/>
        <v>0.99984271461684571</v>
      </c>
      <c r="U841" s="39">
        <f t="shared" si="167"/>
        <v>0.99995496922876848</v>
      </c>
      <c r="V841" s="39">
        <f t="shared" si="167"/>
        <v>0.99998809380879583</v>
      </c>
      <c r="W841" s="37">
        <v>0.16200000000000001</v>
      </c>
    </row>
    <row r="842" spans="2:23" x14ac:dyDescent="0.25">
      <c r="B842" s="39">
        <f t="shared" si="166"/>
        <v>1.4801047944891865E-4</v>
      </c>
      <c r="C842" s="39">
        <f t="shared" si="166"/>
        <v>1.5826639673181121E-3</v>
      </c>
      <c r="D842" s="39">
        <f t="shared" si="166"/>
        <v>8.3878295249081337E-3</v>
      </c>
      <c r="E842" s="39">
        <f t="shared" si="166"/>
        <v>2.9441354874929906E-2</v>
      </c>
      <c r="F842" s="39">
        <f t="shared" si="166"/>
        <v>7.721285876805066E-2</v>
      </c>
      <c r="G842" s="39">
        <f t="shared" si="166"/>
        <v>0.16197512140521256</v>
      </c>
      <c r="H842" s="39">
        <f t="shared" si="166"/>
        <v>0.28442227564263933</v>
      </c>
      <c r="I842" s="39">
        <f t="shared" si="166"/>
        <v>0.43247855274627145</v>
      </c>
      <c r="J842" s="39">
        <f t="shared" si="166"/>
        <v>0.585364262543287</v>
      </c>
      <c r="K842" s="39">
        <f t="shared" si="166"/>
        <v>0.72225463043939753</v>
      </c>
      <c r="L842" s="39">
        <f t="shared" si="167"/>
        <v>0.829800338778796</v>
      </c>
      <c r="M842" s="39">
        <f t="shared" si="167"/>
        <v>0.9046402654417246</v>
      </c>
      <c r="N842" s="39">
        <f t="shared" si="167"/>
        <v>0.95112665381963002</v>
      </c>
      <c r="O842" s="39">
        <f t="shared" si="167"/>
        <v>0.97706311825385739</v>
      </c>
      <c r="P842" s="39">
        <f t="shared" si="167"/>
        <v>0.99012977009047598</v>
      </c>
      <c r="Q842" s="39">
        <f t="shared" si="167"/>
        <v>0.99609998618479101</v>
      </c>
      <c r="R842" s="39">
        <f t="shared" si="167"/>
        <v>0.99858304344340509</v>
      </c>
      <c r="S842" s="39">
        <f t="shared" si="167"/>
        <v>0.99952601584392808</v>
      </c>
      <c r="T842" s="39">
        <f t="shared" si="167"/>
        <v>0.99985385120424042</v>
      </c>
      <c r="U842" s="39">
        <f t="shared" si="167"/>
        <v>0.99995841953429454</v>
      </c>
      <c r="V842" s="39">
        <f t="shared" si="167"/>
        <v>0.99998907528723457</v>
      </c>
      <c r="W842" s="37">
        <v>0.161</v>
      </c>
    </row>
    <row r="843" spans="2:23" x14ac:dyDescent="0.25">
      <c r="B843" s="39">
        <f t="shared" ref="B843:K852" si="168">_xlfn.HYPGEOM.DIST(B$2,comau,tongtheN*$W843,tongtheN,TRUE)</f>
        <v>1.5752677011126248E-4</v>
      </c>
      <c r="C843" s="39">
        <f t="shared" si="168"/>
        <v>1.6726496789635937E-3</v>
      </c>
      <c r="D843" s="39">
        <f t="shared" si="168"/>
        <v>8.8040620437525707E-3</v>
      </c>
      <c r="E843" s="39">
        <f t="shared" si="168"/>
        <v>3.06965312845646E-2</v>
      </c>
      <c r="F843" s="39">
        <f t="shared" si="168"/>
        <v>7.9987681405414915E-2</v>
      </c>
      <c r="G843" s="39">
        <f t="shared" si="168"/>
        <v>0.16676969880392539</v>
      </c>
      <c r="H843" s="39">
        <f t="shared" si="168"/>
        <v>0.29116388902031842</v>
      </c>
      <c r="I843" s="39">
        <f t="shared" si="168"/>
        <v>0.44040877463581996</v>
      </c>
      <c r="J843" s="39">
        <f t="shared" si="168"/>
        <v>0.59332648360826479</v>
      </c>
      <c r="K843" s="39">
        <f t="shared" si="168"/>
        <v>0.72918255553851485</v>
      </c>
      <c r="L843" s="39">
        <f t="shared" ref="L843:V852" si="169">_xlfn.HYPGEOM.DIST(L$2,comau,tongtheN*$W843,tongtheN,TRUE)</f>
        <v>0.83508635271812837</v>
      </c>
      <c r="M843" s="39">
        <f t="shared" si="169"/>
        <v>0.9082105463303094</v>
      </c>
      <c r="N843" s="39">
        <f t="shared" si="169"/>
        <v>0.9532776687776997</v>
      </c>
      <c r="O843" s="39">
        <f t="shared" si="169"/>
        <v>0.97822637756231112</v>
      </c>
      <c r="P843" s="39">
        <f t="shared" si="169"/>
        <v>0.99069739478115726</v>
      </c>
      <c r="Q843" s="39">
        <f t="shared" si="169"/>
        <v>0.99635099176957198</v>
      </c>
      <c r="R843" s="39">
        <f t="shared" si="169"/>
        <v>0.9986839971303928</v>
      </c>
      <c r="S843" s="39">
        <f t="shared" si="169"/>
        <v>0.99956305841419557</v>
      </c>
      <c r="T843" s="39">
        <f t="shared" si="169"/>
        <v>0.9998662827759508</v>
      </c>
      <c r="U843" s="39">
        <f t="shared" si="169"/>
        <v>0.99996224350560381</v>
      </c>
      <c r="V843" s="39">
        <f t="shared" si="169"/>
        <v>0.99999015527519208</v>
      </c>
      <c r="W843" s="37">
        <v>0.16</v>
      </c>
    </row>
    <row r="844" spans="2:23" x14ac:dyDescent="0.25">
      <c r="B844" s="39">
        <f t="shared" si="168"/>
        <v>1.6764190500097157E-4</v>
      </c>
      <c r="C844" s="39">
        <f t="shared" si="168"/>
        <v>1.7675583978212465E-3</v>
      </c>
      <c r="D844" s="39">
        <f t="shared" si="168"/>
        <v>9.2396683931959371E-3</v>
      </c>
      <c r="E844" s="39">
        <f t="shared" si="168"/>
        <v>3.1999955119369525E-2</v>
      </c>
      <c r="F844" s="39">
        <f t="shared" si="168"/>
        <v>8.284682432526469E-2</v>
      </c>
      <c r="G844" s="39">
        <f t="shared" si="168"/>
        <v>0.17167163618975415</v>
      </c>
      <c r="H844" s="39">
        <f t="shared" si="168"/>
        <v>0.29800292825139602</v>
      </c>
      <c r="I844" s="39">
        <f t="shared" si="168"/>
        <v>0.44839106365047787</v>
      </c>
      <c r="J844" s="39">
        <f t="shared" si="168"/>
        <v>0.60127862732983617</v>
      </c>
      <c r="K844" s="39">
        <f t="shared" si="168"/>
        <v>0.73604783262017492</v>
      </c>
      <c r="L844" s="39">
        <f t="shared" si="169"/>
        <v>0.84028374021443075</v>
      </c>
      <c r="M844" s="39">
        <f t="shared" si="169"/>
        <v>0.9116935833346389</v>
      </c>
      <c r="N844" s="39">
        <f t="shared" si="169"/>
        <v>0.95535973740476565</v>
      </c>
      <c r="O844" s="39">
        <f t="shared" si="169"/>
        <v>0.97934355213410385</v>
      </c>
      <c r="P844" s="39">
        <f t="shared" si="169"/>
        <v>0.99123826822960792</v>
      </c>
      <c r="Q844" s="39">
        <f t="shared" si="169"/>
        <v>0.9965882955314046</v>
      </c>
      <c r="R844" s="39">
        <f t="shared" si="169"/>
        <v>0.99877869217351822</v>
      </c>
      <c r="S844" s="39">
        <f t="shared" si="169"/>
        <v>0.9995975320397289</v>
      </c>
      <c r="T844" s="39">
        <f t="shared" si="169"/>
        <v>0.99987776139455165</v>
      </c>
      <c r="U844" s="39">
        <f t="shared" si="169"/>
        <v>0.99996574660854354</v>
      </c>
      <c r="V844" s="39">
        <f t="shared" si="169"/>
        <v>0.99999113686223262</v>
      </c>
      <c r="W844" s="37">
        <v>0.159</v>
      </c>
    </row>
    <row r="845" spans="2:23" x14ac:dyDescent="0.25">
      <c r="B845" s="39">
        <f t="shared" si="168"/>
        <v>1.7839275221823126E-4</v>
      </c>
      <c r="C845" s="39">
        <f t="shared" si="168"/>
        <v>1.8676477420058509E-3</v>
      </c>
      <c r="D845" s="39">
        <f t="shared" si="168"/>
        <v>9.6954782143456354E-3</v>
      </c>
      <c r="E845" s="39">
        <f t="shared" si="168"/>
        <v>3.335321091710259E-2</v>
      </c>
      <c r="F845" s="39">
        <f t="shared" si="168"/>
        <v>8.5792140169693457E-2</v>
      </c>
      <c r="G845" s="39">
        <f t="shared" si="168"/>
        <v>0.17668192247499459</v>
      </c>
      <c r="H845" s="39">
        <f t="shared" si="168"/>
        <v>0.30493855395051089</v>
      </c>
      <c r="I845" s="39">
        <f t="shared" si="168"/>
        <v>0.45642282433000303</v>
      </c>
      <c r="J845" s="39">
        <f t="shared" si="168"/>
        <v>0.60921747142490301</v>
      </c>
      <c r="K845" s="39">
        <f t="shared" si="168"/>
        <v>0.74284797239549571</v>
      </c>
      <c r="L845" s="39">
        <f t="shared" si="169"/>
        <v>0.84539147751295896</v>
      </c>
      <c r="M845" s="39">
        <f t="shared" si="169"/>
        <v>0.91508969679415819</v>
      </c>
      <c r="N845" s="39">
        <f t="shared" si="169"/>
        <v>0.95737391028768848</v>
      </c>
      <c r="O845" s="39">
        <f t="shared" si="169"/>
        <v>0.98041580519919158</v>
      </c>
      <c r="P845" s="39">
        <f t="shared" si="169"/>
        <v>0.9917533111325646</v>
      </c>
      <c r="Q845" s="39">
        <f t="shared" si="169"/>
        <v>0.99681248788274623</v>
      </c>
      <c r="R845" s="39">
        <f t="shared" si="169"/>
        <v>0.99886745043071612</v>
      </c>
      <c r="S845" s="39">
        <f t="shared" si="169"/>
        <v>0.999629589620878</v>
      </c>
      <c r="T845" s="39">
        <f t="shared" si="169"/>
        <v>0.99988835131260201</v>
      </c>
      <c r="U845" s="39">
        <f t="shared" si="169"/>
        <v>0.99996895296617605</v>
      </c>
      <c r="V845" s="39">
        <f t="shared" si="169"/>
        <v>0.99999202819703603</v>
      </c>
      <c r="W845" s="37">
        <v>0.158</v>
      </c>
    </row>
    <row r="846" spans="2:23" x14ac:dyDescent="0.25">
      <c r="B846" s="39">
        <f t="shared" si="168"/>
        <v>1.8981839954409425E-4</v>
      </c>
      <c r="C846" s="39">
        <f t="shared" si="168"/>
        <v>1.9731881063395702E-3</v>
      </c>
      <c r="D846" s="39">
        <f t="shared" si="168"/>
        <v>1.0172352634246864E-2</v>
      </c>
      <c r="E846" s="39">
        <f t="shared" si="168"/>
        <v>3.4757921399415824E-2</v>
      </c>
      <c r="F846" s="39">
        <f t="shared" si="168"/>
        <v>8.882548893673442E-2</v>
      </c>
      <c r="G846" s="39">
        <f t="shared" si="168"/>
        <v>0.18180149292614214</v>
      </c>
      <c r="H846" s="39">
        <f t="shared" si="168"/>
        <v>0.31196982907617932</v>
      </c>
      <c r="I846" s="39">
        <f t="shared" si="168"/>
        <v>0.46450137799400859</v>
      </c>
      <c r="J846" s="39">
        <f t="shared" si="168"/>
        <v>0.61713977497692774</v>
      </c>
      <c r="K846" s="39">
        <f t="shared" si="168"/>
        <v>0.74958053390019752</v>
      </c>
      <c r="L846" s="39">
        <f t="shared" si="169"/>
        <v>0.85040861789790245</v>
      </c>
      <c r="M846" s="39">
        <f t="shared" si="169"/>
        <v>0.91839927022876544</v>
      </c>
      <c r="N846" s="39">
        <f t="shared" si="169"/>
        <v>0.95932126747622382</v>
      </c>
      <c r="O846" s="39">
        <f t="shared" si="169"/>
        <v>0.98144430003973937</v>
      </c>
      <c r="P846" s="39">
        <f t="shared" si="169"/>
        <v>0.99224342960799061</v>
      </c>
      <c r="Q846" s="39">
        <f t="shared" si="169"/>
        <v>0.99702414271841233</v>
      </c>
      <c r="R846" s="39">
        <f t="shared" si="169"/>
        <v>0.99895058138955262</v>
      </c>
      <c r="S846" s="39">
        <f t="shared" si="169"/>
        <v>0.99965937672411764</v>
      </c>
      <c r="T846" s="39">
        <f t="shared" si="169"/>
        <v>0.9998981131256417</v>
      </c>
      <c r="U846" s="39">
        <f t="shared" si="169"/>
        <v>0.9999718851221977</v>
      </c>
      <c r="V846" s="39">
        <f t="shared" si="169"/>
        <v>0.99999283682743079</v>
      </c>
      <c r="W846" s="37">
        <v>0.157</v>
      </c>
    </row>
    <row r="847" spans="2:23" x14ac:dyDescent="0.25">
      <c r="B847" s="39">
        <f t="shared" si="168"/>
        <v>1.9988506635661163E-4</v>
      </c>
      <c r="C847" s="39">
        <f t="shared" si="168"/>
        <v>2.0655066886011509E-3</v>
      </c>
      <c r="D847" s="39">
        <f t="shared" si="168"/>
        <v>1.0586482671786119E-2</v>
      </c>
      <c r="E847" s="39">
        <f t="shared" si="168"/>
        <v>3.5969016360177804E-2</v>
      </c>
      <c r="F847" s="39">
        <f t="shared" si="168"/>
        <v>9.1421872693729853E-2</v>
      </c>
      <c r="G847" s="39">
        <f t="shared" si="168"/>
        <v>0.18615191813988499</v>
      </c>
      <c r="H847" s="39">
        <f t="shared" si="168"/>
        <v>0.31790154575168106</v>
      </c>
      <c r="I847" s="39">
        <f t="shared" si="168"/>
        <v>0.47126726146308368</v>
      </c>
      <c r="J847" s="39">
        <f t="shared" si="168"/>
        <v>0.6237267107640021</v>
      </c>
      <c r="K847" s="39">
        <f t="shared" si="168"/>
        <v>0.75513765400471744</v>
      </c>
      <c r="L847" s="39">
        <f t="shared" si="169"/>
        <v>0.85451973315194363</v>
      </c>
      <c r="M847" s="39">
        <f t="shared" si="169"/>
        <v>0.92109146081037374</v>
      </c>
      <c r="N847" s="39">
        <f t="shared" si="169"/>
        <v>0.96089382377333787</v>
      </c>
      <c r="O847" s="39">
        <f t="shared" si="169"/>
        <v>0.98226879104804421</v>
      </c>
      <c r="P847" s="39">
        <f t="shared" si="169"/>
        <v>0.99263346544379938</v>
      </c>
      <c r="Q847" s="39">
        <f t="shared" si="169"/>
        <v>0.99719134710354762</v>
      </c>
      <c r="R847" s="39">
        <f t="shared" si="169"/>
        <v>0.99901577344582426</v>
      </c>
      <c r="S847" s="39">
        <f t="shared" si="169"/>
        <v>0.99968256502704533</v>
      </c>
      <c r="T847" s="39">
        <f t="shared" si="169"/>
        <v>0.99990565668581521</v>
      </c>
      <c r="U847" s="39">
        <f t="shared" si="169"/>
        <v>0.99997413435543647</v>
      </c>
      <c r="V847" s="39">
        <f t="shared" si="169"/>
        <v>0.99999345256461192</v>
      </c>
      <c r="W847" s="37">
        <v>0.156</v>
      </c>
    </row>
    <row r="848" spans="2:23" x14ac:dyDescent="0.25">
      <c r="B848" s="39">
        <f t="shared" si="168"/>
        <v>2.1265726210285257E-4</v>
      </c>
      <c r="C848" s="39">
        <f t="shared" si="168"/>
        <v>2.1817876546562217E-3</v>
      </c>
      <c r="D848" s="39">
        <f t="shared" si="168"/>
        <v>1.1104320434847229E-2</v>
      </c>
      <c r="E848" s="39">
        <f t="shared" si="168"/>
        <v>3.7472402382277462E-2</v>
      </c>
      <c r="F848" s="39">
        <f t="shared" si="168"/>
        <v>9.4621462893210273E-2</v>
      </c>
      <c r="G848" s="39">
        <f t="shared" si="168"/>
        <v>0.19147408123279139</v>
      </c>
      <c r="H848" s="39">
        <f t="shared" si="168"/>
        <v>0.32510541293811729</v>
      </c>
      <c r="I848" s="39">
        <f t="shared" si="168"/>
        <v>0.47942437417008182</v>
      </c>
      <c r="J848" s="39">
        <f t="shared" si="168"/>
        <v>0.63161022489009122</v>
      </c>
      <c r="K848" s="39">
        <f t="shared" si="168"/>
        <v>0.76174015521589555</v>
      </c>
      <c r="L848" s="39">
        <f t="shared" si="169"/>
        <v>0.85936857986355486</v>
      </c>
      <c r="M848" s="39">
        <f t="shared" si="169"/>
        <v>0.92424357908381738</v>
      </c>
      <c r="N848" s="39">
        <f t="shared" si="169"/>
        <v>0.96272158141464292</v>
      </c>
      <c r="O848" s="39">
        <f t="shared" si="169"/>
        <v>0.98322007863038052</v>
      </c>
      <c r="P848" s="39">
        <f t="shared" si="169"/>
        <v>0.99308019193137653</v>
      </c>
      <c r="Q848" s="39">
        <f t="shared" si="169"/>
        <v>0.99738145227459019</v>
      </c>
      <c r="R848" s="39">
        <f t="shared" si="169"/>
        <v>0.99908935141593491</v>
      </c>
      <c r="S848" s="39">
        <f t="shared" si="169"/>
        <v>0.99970854428363209</v>
      </c>
      <c r="T848" s="39">
        <f t="shared" si="169"/>
        <v>0.9999140461942585</v>
      </c>
      <c r="U848" s="39">
        <f t="shared" si="169"/>
        <v>0.99997661745891209</v>
      </c>
      <c r="V848" s="39">
        <f t="shared" si="169"/>
        <v>0.99999412733129922</v>
      </c>
      <c r="W848" s="37">
        <v>0.155</v>
      </c>
    </row>
    <row r="849" spans="2:23" x14ac:dyDescent="0.25">
      <c r="B849" s="39">
        <f t="shared" si="168"/>
        <v>2.2622823406799478E-4</v>
      </c>
      <c r="C849" s="39">
        <f t="shared" si="168"/>
        <v>2.3043604173562217E-3</v>
      </c>
      <c r="D849" s="39">
        <f t="shared" si="168"/>
        <v>1.1645842153251354E-2</v>
      </c>
      <c r="E849" s="39">
        <f t="shared" si="168"/>
        <v>3.9032049478359976E-2</v>
      </c>
      <c r="F849" s="39">
        <f t="shared" si="168"/>
        <v>9.7914379324334833E-2</v>
      </c>
      <c r="G849" s="39">
        <f t="shared" si="168"/>
        <v>0.196907859195353</v>
      </c>
      <c r="H849" s="39">
        <f t="shared" si="168"/>
        <v>0.33240172829255588</v>
      </c>
      <c r="I849" s="39">
        <f t="shared" si="168"/>
        <v>0.48762025012256965</v>
      </c>
      <c r="J849" s="39">
        <f t="shared" si="168"/>
        <v>0.63946794572876753</v>
      </c>
      <c r="K849" s="39">
        <f t="shared" si="168"/>
        <v>0.76826845180333725</v>
      </c>
      <c r="L849" s="39">
        <f t="shared" si="169"/>
        <v>0.86412457373164775</v>
      </c>
      <c r="M849" s="39">
        <f t="shared" si="169"/>
        <v>0.92731057766349678</v>
      </c>
      <c r="N849" s="39">
        <f t="shared" si="169"/>
        <v>0.96448572814788891</v>
      </c>
      <c r="O849" s="39">
        <f t="shared" si="169"/>
        <v>0.98413089269979681</v>
      </c>
      <c r="P849" s="39">
        <f t="shared" si="169"/>
        <v>0.99350447742667725</v>
      </c>
      <c r="Q849" s="39">
        <f t="shared" si="169"/>
        <v>0.99756055646834596</v>
      </c>
      <c r="R849" s="39">
        <f t="shared" si="169"/>
        <v>0.99915811392694254</v>
      </c>
      <c r="S849" s="39">
        <f t="shared" si="169"/>
        <v>0.99973262777765992</v>
      </c>
      <c r="T849" s="39">
        <f t="shared" si="169"/>
        <v>0.99992176082036255</v>
      </c>
      <c r="U849" s="39">
        <f t="shared" si="169"/>
        <v>0.99997888239270083</v>
      </c>
      <c r="V849" s="39">
        <f t="shared" si="169"/>
        <v>0.99999473784213844</v>
      </c>
      <c r="W849" s="37">
        <v>0.154</v>
      </c>
    </row>
    <row r="850" spans="2:23" x14ac:dyDescent="0.25">
      <c r="B850" s="39">
        <f t="shared" si="168"/>
        <v>2.4064685635606355E-4</v>
      </c>
      <c r="C850" s="39">
        <f t="shared" si="168"/>
        <v>2.4335500467748956E-3</v>
      </c>
      <c r="D850" s="39">
        <f t="shared" si="168"/>
        <v>1.2212038730421194E-2</v>
      </c>
      <c r="E850" s="39">
        <f t="shared" si="168"/>
        <v>4.0649727904697799E-2</v>
      </c>
      <c r="F850" s="39">
        <f t="shared" si="168"/>
        <v>0.10130249209043794</v>
      </c>
      <c r="G850" s="39">
        <f t="shared" si="168"/>
        <v>0.20245395189949628</v>
      </c>
      <c r="H850" s="39">
        <f t="shared" si="168"/>
        <v>0.33978916391551478</v>
      </c>
      <c r="I850" s="39">
        <f t="shared" si="168"/>
        <v>0.49585190484280917</v>
      </c>
      <c r="J850" s="39">
        <f t="shared" si="168"/>
        <v>0.64729659420269325</v>
      </c>
      <c r="K850" s="39">
        <f t="shared" si="168"/>
        <v>0.77472031672482511</v>
      </c>
      <c r="L850" s="39">
        <f t="shared" si="169"/>
        <v>0.86878707137300248</v>
      </c>
      <c r="M850" s="39">
        <f t="shared" si="169"/>
        <v>0.93029307189741073</v>
      </c>
      <c r="N850" s="39">
        <f t="shared" si="169"/>
        <v>0.96618744062450301</v>
      </c>
      <c r="O850" s="39">
        <f t="shared" si="169"/>
        <v>0.98500238465615542</v>
      </c>
      <c r="P850" s="39">
        <f t="shared" si="169"/>
        <v>0.99390716732762463</v>
      </c>
      <c r="Q850" s="39">
        <f t="shared" si="169"/>
        <v>0.99772917058315125</v>
      </c>
      <c r="R850" s="39">
        <f t="shared" si="169"/>
        <v>0.99922232534025335</v>
      </c>
      <c r="S850" s="39">
        <f t="shared" si="169"/>
        <v>0.99975493518144642</v>
      </c>
      <c r="T850" s="39">
        <f t="shared" si="169"/>
        <v>0.9999288485989789</v>
      </c>
      <c r="U850" s="39">
        <f t="shared" si="169"/>
        <v>0.99998094640930757</v>
      </c>
      <c r="V850" s="39">
        <f t="shared" si="169"/>
        <v>0.99999528967829177</v>
      </c>
      <c r="W850" s="37">
        <v>0.153</v>
      </c>
    </row>
    <row r="851" spans="2:23" x14ac:dyDescent="0.25">
      <c r="B851" s="39">
        <f t="shared" si="168"/>
        <v>2.533471638571477E-4</v>
      </c>
      <c r="C851" s="39">
        <f t="shared" si="168"/>
        <v>2.5465081014357936E-3</v>
      </c>
      <c r="D851" s="39">
        <f t="shared" si="168"/>
        <v>1.2703458018655283E-2</v>
      </c>
      <c r="E851" s="39">
        <f t="shared" si="168"/>
        <v>4.204342654631426E-2</v>
      </c>
      <c r="F851" s="39">
        <f t="shared" si="168"/>
        <v>0.10419998626638759</v>
      </c>
      <c r="G851" s="39">
        <f t="shared" si="168"/>
        <v>0.20716194883056571</v>
      </c>
      <c r="H851" s="39">
        <f t="shared" si="168"/>
        <v>0.34601393488558019</v>
      </c>
      <c r="I851" s="39">
        <f t="shared" si="168"/>
        <v>0.50273674267523139</v>
      </c>
      <c r="J851" s="39">
        <f t="shared" si="168"/>
        <v>0.65379589348713441</v>
      </c>
      <c r="K851" s="39">
        <f t="shared" si="168"/>
        <v>0.78003692234802624</v>
      </c>
      <c r="L851" s="39">
        <f t="shared" si="169"/>
        <v>0.87260065693792221</v>
      </c>
      <c r="M851" s="39">
        <f t="shared" si="169"/>
        <v>0.93271441546721634</v>
      </c>
      <c r="N851" s="39">
        <f t="shared" si="169"/>
        <v>0.96755870488277862</v>
      </c>
      <c r="O851" s="39">
        <f t="shared" si="169"/>
        <v>0.98569941671208805</v>
      </c>
      <c r="P851" s="39">
        <f t="shared" si="169"/>
        <v>0.99422684383229887</v>
      </c>
      <c r="Q851" s="39">
        <f t="shared" si="169"/>
        <v>0.99786202644641231</v>
      </c>
      <c r="R851" s="39">
        <f t="shared" si="169"/>
        <v>0.99927254133202603</v>
      </c>
      <c r="S851" s="39">
        <f t="shared" si="169"/>
        <v>0.99977225000416925</v>
      </c>
      <c r="T851" s="39">
        <f t="shared" si="169"/>
        <v>0.99993430887440138</v>
      </c>
      <c r="U851" s="39">
        <f t="shared" si="169"/>
        <v>0.99998252456245973</v>
      </c>
      <c r="V851" s="39">
        <f t="shared" si="169"/>
        <v>0.99999570844661623</v>
      </c>
      <c r="W851" s="37">
        <v>0.152</v>
      </c>
    </row>
    <row r="852" spans="2:23" x14ac:dyDescent="0.25">
      <c r="B852" s="39">
        <f t="shared" si="168"/>
        <v>2.6945657185336875E-4</v>
      </c>
      <c r="C852" s="39">
        <f t="shared" si="168"/>
        <v>2.6887261024254082E-3</v>
      </c>
      <c r="D852" s="39">
        <f t="shared" si="168"/>
        <v>1.3317586593684995E-2</v>
      </c>
      <c r="E852" s="39">
        <f t="shared" si="168"/>
        <v>4.377222131673305E-2</v>
      </c>
      <c r="F852" s="39">
        <f t="shared" si="168"/>
        <v>0.10776747246821219</v>
      </c>
      <c r="G852" s="39">
        <f t="shared" si="168"/>
        <v>0.21291553701225505</v>
      </c>
      <c r="H852" s="39">
        <f t="shared" si="168"/>
        <v>0.35356462334822963</v>
      </c>
      <c r="I852" s="39">
        <f t="shared" si="168"/>
        <v>0.51102599114127445</v>
      </c>
      <c r="J852" s="39">
        <f t="shared" si="168"/>
        <v>0.6615627259267256</v>
      </c>
      <c r="K852" s="39">
        <f t="shared" si="168"/>
        <v>0.78634308964613164</v>
      </c>
      <c r="L852" s="39">
        <f t="shared" si="169"/>
        <v>0.87709034180226497</v>
      </c>
      <c r="M852" s="39">
        <f t="shared" si="169"/>
        <v>0.93554377264527688</v>
      </c>
      <c r="N852" s="39">
        <f t="shared" si="169"/>
        <v>0.96914907856701826</v>
      </c>
      <c r="O852" s="39">
        <f t="shared" si="169"/>
        <v>0.98650178749263651</v>
      </c>
      <c r="P852" s="39">
        <f t="shared" si="169"/>
        <v>0.99459208107792185</v>
      </c>
      <c r="Q852" s="39">
        <f t="shared" si="169"/>
        <v>0.99801268184795899</v>
      </c>
      <c r="R852" s="39">
        <f t="shared" si="169"/>
        <v>0.99932905888040957</v>
      </c>
      <c r="S852" s="39">
        <f t="shared" si="169"/>
        <v>0.99979159168670984</v>
      </c>
      <c r="T852" s="39">
        <f t="shared" si="169"/>
        <v>0.9999403626081933</v>
      </c>
      <c r="U852" s="39">
        <f t="shared" si="169"/>
        <v>0.99998426111575667</v>
      </c>
      <c r="V852" s="39">
        <f t="shared" si="169"/>
        <v>0.99999616578812534</v>
      </c>
      <c r="W852" s="37">
        <v>0.151</v>
      </c>
    </row>
    <row r="853" spans="2:23" x14ac:dyDescent="0.25">
      <c r="B853" s="39">
        <f t="shared" ref="B853:K862" si="170">_xlfn.HYPGEOM.DIST(B$2,comau,tongtheN*$W853,tongtheN,TRUE)</f>
        <v>2.8656856237628569E-4</v>
      </c>
      <c r="C853" s="39">
        <f t="shared" si="170"/>
        <v>2.8385706020908857E-3</v>
      </c>
      <c r="D853" s="39">
        <f t="shared" si="170"/>
        <v>1.3959398122021949E-2</v>
      </c>
      <c r="E853" s="39">
        <f t="shared" si="170"/>
        <v>4.5564272046375844E-2</v>
      </c>
      <c r="F853" s="39">
        <f t="shared" si="170"/>
        <v>0.11143543155898544</v>
      </c>
      <c r="G853" s="39">
        <f t="shared" si="170"/>
        <v>0.21878303486769141</v>
      </c>
      <c r="H853" s="39">
        <f t="shared" si="170"/>
        <v>0.36120209053415303</v>
      </c>
      <c r="I853" s="39">
        <f t="shared" si="170"/>
        <v>0.5193421590514703</v>
      </c>
      <c r="J853" s="39">
        <f t="shared" si="170"/>
        <v>0.66929120353818405</v>
      </c>
      <c r="K853" s="39">
        <f t="shared" si="170"/>
        <v>0.79256686719523062</v>
      </c>
      <c r="L853" s="39">
        <f t="shared" ref="L853:V862" si="171">_xlfn.HYPGEOM.DIST(L$2,comau,tongtheN*$W853,tongtheN,TRUE)</f>
        <v>0.88148514681452605</v>
      </c>
      <c r="M853" s="39">
        <f t="shared" si="171"/>
        <v>0.9382906756394066</v>
      </c>
      <c r="N853" s="39">
        <f t="shared" si="171"/>
        <v>0.97068045912043777</v>
      </c>
      <c r="O853" s="39">
        <f t="shared" si="171"/>
        <v>0.98726806142325607</v>
      </c>
      <c r="P853" s="39">
        <f t="shared" si="171"/>
        <v>0.99493802491169647</v>
      </c>
      <c r="Q853" s="39">
        <f t="shared" si="171"/>
        <v>0.99815420692945978</v>
      </c>
      <c r="R853" s="39">
        <f t="shared" si="171"/>
        <v>0.99938171474719806</v>
      </c>
      <c r="S853" s="39">
        <f t="shared" si="171"/>
        <v>0.99980946351623123</v>
      </c>
      <c r="T853" s="39">
        <f t="shared" si="171"/>
        <v>0.99994591021854162</v>
      </c>
      <c r="U853" s="39">
        <f t="shared" si="171"/>
        <v>0.99998583936345353</v>
      </c>
      <c r="V853" s="39">
        <f t="shared" si="171"/>
        <v>0.99999657800771391</v>
      </c>
      <c r="W853" s="37">
        <v>0.15</v>
      </c>
    </row>
    <row r="854" spans="2:23" x14ac:dyDescent="0.25">
      <c r="B854" s="39">
        <f t="shared" si="170"/>
        <v>3.0474418146206149E-4</v>
      </c>
      <c r="C854" s="39">
        <f t="shared" si="170"/>
        <v>2.9964315161794641E-3</v>
      </c>
      <c r="D854" s="39">
        <f t="shared" si="170"/>
        <v>1.4630028289212369E-2</v>
      </c>
      <c r="E854" s="39">
        <f t="shared" si="170"/>
        <v>4.742149595816865E-2</v>
      </c>
      <c r="F854" s="39">
        <f t="shared" si="170"/>
        <v>0.11520571037571044</v>
      </c>
      <c r="G854" s="39">
        <f t="shared" si="170"/>
        <v>0.22476485784243366</v>
      </c>
      <c r="H854" s="39">
        <f t="shared" si="170"/>
        <v>0.36892459579355685</v>
      </c>
      <c r="I854" s="39">
        <f t="shared" si="170"/>
        <v>0.5276819841285556</v>
      </c>
      <c r="J854" s="39">
        <f t="shared" si="170"/>
        <v>0.67697806532054483</v>
      </c>
      <c r="K854" s="39">
        <f t="shared" si="170"/>
        <v>0.79870628499746454</v>
      </c>
      <c r="L854" s="39">
        <f t="shared" si="171"/>
        <v>0.88578473955426495</v>
      </c>
      <c r="M854" s="39">
        <f t="shared" si="171"/>
        <v>0.94095595158644285</v>
      </c>
      <c r="N854" s="39">
        <f t="shared" si="171"/>
        <v>0.97215409331232128</v>
      </c>
      <c r="O854" s="39">
        <f t="shared" si="171"/>
        <v>0.98799936023182044</v>
      </c>
      <c r="P854" s="39">
        <f t="shared" si="171"/>
        <v>0.99526545395781263</v>
      </c>
      <c r="Q854" s="39">
        <f t="shared" si="171"/>
        <v>0.99828705105314619</v>
      </c>
      <c r="R854" s="39">
        <f t="shared" si="171"/>
        <v>0.99943073206579258</v>
      </c>
      <c r="S854" s="39">
        <f t="shared" si="171"/>
        <v>0.99982596268867308</v>
      </c>
      <c r="T854" s="39">
        <f t="shared" si="171"/>
        <v>0.99995098930925397</v>
      </c>
      <c r="U854" s="39">
        <f t="shared" si="171"/>
        <v>0.99998727233825491</v>
      </c>
      <c r="V854" s="39">
        <f t="shared" si="171"/>
        <v>0.99999694917686532</v>
      </c>
      <c r="W854" s="37">
        <v>0.14899999999999999</v>
      </c>
    </row>
    <row r="855" spans="2:23" x14ac:dyDescent="0.25">
      <c r="B855" s="39">
        <f t="shared" si="170"/>
        <v>3.2074957481817131E-4</v>
      </c>
      <c r="C855" s="39">
        <f t="shared" si="170"/>
        <v>3.1344002054218348E-3</v>
      </c>
      <c r="D855" s="39">
        <f t="shared" si="170"/>
        <v>1.5211748192923511E-2</v>
      </c>
      <c r="E855" s="39">
        <f t="shared" si="170"/>
        <v>4.902037693425218E-2</v>
      </c>
      <c r="F855" s="39">
        <f t="shared" si="170"/>
        <v>0.11842709421154354</v>
      </c>
      <c r="G855" s="39">
        <f t="shared" si="170"/>
        <v>0.22983728478068965</v>
      </c>
      <c r="H855" s="39">
        <f t="shared" si="170"/>
        <v>0.37542364434916464</v>
      </c>
      <c r="I855" s="39">
        <f t="shared" si="170"/>
        <v>0.53464751007278066</v>
      </c>
      <c r="J855" s="39">
        <f t="shared" si="170"/>
        <v>0.6833496508433109</v>
      </c>
      <c r="K855" s="39">
        <f t="shared" si="170"/>
        <v>0.80375665462944135</v>
      </c>
      <c r="L855" s="39">
        <f t="shared" si="171"/>
        <v>0.88929481843595448</v>
      </c>
      <c r="M855" s="39">
        <f t="shared" si="171"/>
        <v>0.94311529320001763</v>
      </c>
      <c r="N855" s="39">
        <f t="shared" si="171"/>
        <v>0.97333891913719328</v>
      </c>
      <c r="O855" s="39">
        <f t="shared" si="171"/>
        <v>0.98858286089566461</v>
      </c>
      <c r="P855" s="39">
        <f t="shared" si="171"/>
        <v>0.99552471745029159</v>
      </c>
      <c r="Q855" s="39">
        <f t="shared" si="171"/>
        <v>0.99839143655578722</v>
      </c>
      <c r="R855" s="39">
        <f t="shared" si="171"/>
        <v>0.99946895438647454</v>
      </c>
      <c r="S855" s="39">
        <f t="shared" si="171"/>
        <v>0.99983872987818634</v>
      </c>
      <c r="T855" s="39">
        <f t="shared" si="171"/>
        <v>0.99995488945397992</v>
      </c>
      <c r="U855" s="39">
        <f t="shared" si="171"/>
        <v>0.99998836425839333</v>
      </c>
      <c r="V855" s="39">
        <f t="shared" si="171"/>
        <v>0.99999722983505079</v>
      </c>
      <c r="W855" s="37">
        <v>0.14799999999999999</v>
      </c>
    </row>
    <row r="856" spans="2:23" x14ac:dyDescent="0.25">
      <c r="B856" s="39">
        <f t="shared" si="170"/>
        <v>3.4104593908751971E-4</v>
      </c>
      <c r="C856" s="39">
        <f t="shared" si="170"/>
        <v>3.30803351516732E-3</v>
      </c>
      <c r="D856" s="39">
        <f t="shared" si="170"/>
        <v>1.5938296708719563E-2</v>
      </c>
      <c r="E856" s="39">
        <f t="shared" si="170"/>
        <v>5.1002189599238364E-2</v>
      </c>
      <c r="F856" s="39">
        <f t="shared" si="170"/>
        <v>0.12238971285837909</v>
      </c>
      <c r="G856" s="39">
        <f t="shared" si="170"/>
        <v>0.23602950665735101</v>
      </c>
      <c r="H856" s="39">
        <f t="shared" si="170"/>
        <v>0.38329716474077152</v>
      </c>
      <c r="I856" s="39">
        <f t="shared" si="170"/>
        <v>0.54302201437201991</v>
      </c>
      <c r="J856" s="39">
        <f t="shared" si="170"/>
        <v>0.69095179818434382</v>
      </c>
      <c r="K856" s="39">
        <f t="shared" si="170"/>
        <v>0.80973654255538274</v>
      </c>
      <c r="L856" s="39">
        <f t="shared" si="171"/>
        <v>0.89341926240570335</v>
      </c>
      <c r="M856" s="39">
        <f t="shared" si="171"/>
        <v>0.94563323722006054</v>
      </c>
      <c r="N856" s="39">
        <f t="shared" si="171"/>
        <v>0.97470996801952914</v>
      </c>
      <c r="O856" s="39">
        <f t="shared" si="171"/>
        <v>0.98925291676270599</v>
      </c>
      <c r="P856" s="39">
        <f t="shared" si="171"/>
        <v>0.9958201645795608</v>
      </c>
      <c r="Q856" s="39">
        <f t="shared" si="171"/>
        <v>0.99850948080968283</v>
      </c>
      <c r="R856" s="39">
        <f t="shared" si="171"/>
        <v>0.99951184729316067</v>
      </c>
      <c r="S856" s="39">
        <f t="shared" si="171"/>
        <v>0.99985294743557263</v>
      </c>
      <c r="T856" s="39">
        <f t="shared" si="171"/>
        <v>0.99995919937348532</v>
      </c>
      <c r="U856" s="39">
        <f t="shared" si="171"/>
        <v>0.99998956164817943</v>
      </c>
      <c r="V856" s="39">
        <f t="shared" si="171"/>
        <v>0.99999753524002355</v>
      </c>
      <c r="W856" s="37">
        <v>0.14699999999999999</v>
      </c>
    </row>
    <row r="857" spans="2:23" x14ac:dyDescent="0.25">
      <c r="B857" s="39">
        <f t="shared" si="170"/>
        <v>3.625993461773901E-4</v>
      </c>
      <c r="C857" s="39">
        <f t="shared" si="170"/>
        <v>3.4908928436659568E-3</v>
      </c>
      <c r="D857" s="39">
        <f t="shared" si="170"/>
        <v>1.6697104162294581E-2</v>
      </c>
      <c r="E857" s="39">
        <f t="shared" si="170"/>
        <v>5.3054811451316547E-2</v>
      </c>
      <c r="F857" s="39">
        <f t="shared" si="170"/>
        <v>0.12645980731380466</v>
      </c>
      <c r="G857" s="39">
        <f t="shared" si="170"/>
        <v>0.2423367712620422</v>
      </c>
      <c r="H857" s="39">
        <f t="shared" si="170"/>
        <v>0.39125018875649809</v>
      </c>
      <c r="I857" s="39">
        <f t="shared" si="170"/>
        <v>0.55141057982049957</v>
      </c>
      <c r="J857" s="39">
        <f t="shared" si="170"/>
        <v>0.69850318236959907</v>
      </c>
      <c r="K857" s="39">
        <f t="shared" si="170"/>
        <v>0.81562689744044414</v>
      </c>
      <c r="L857" s="39">
        <f t="shared" si="171"/>
        <v>0.89744799448112889</v>
      </c>
      <c r="M857" s="39">
        <f t="shared" si="171"/>
        <v>0.94807217111787245</v>
      </c>
      <c r="N857" s="39">
        <f t="shared" si="171"/>
        <v>0.97602687254624798</v>
      </c>
      <c r="O857" s="39">
        <f t="shared" si="171"/>
        <v>0.98989111582211753</v>
      </c>
      <c r="P857" s="39">
        <f t="shared" si="171"/>
        <v>0.9960992037083396</v>
      </c>
      <c r="Q857" s="39">
        <f t="shared" si="171"/>
        <v>0.99862003284839151</v>
      </c>
      <c r="R857" s="39">
        <f t="shared" si="171"/>
        <v>0.99955168004667971</v>
      </c>
      <c r="S857" s="39">
        <f t="shared" si="171"/>
        <v>0.99986603953076469</v>
      </c>
      <c r="T857" s="39">
        <f t="shared" si="171"/>
        <v>0.99996313468389453</v>
      </c>
      <c r="U857" s="39">
        <f t="shared" si="171"/>
        <v>0.99999064574333441</v>
      </c>
      <c r="V857" s="39">
        <f t="shared" si="171"/>
        <v>0.99999780941405436</v>
      </c>
      <c r="W857" s="37">
        <v>0.14599999999999999</v>
      </c>
    </row>
    <row r="858" spans="2:23" x14ac:dyDescent="0.25">
      <c r="B858" s="39">
        <f t="shared" si="170"/>
        <v>3.8548596562615822E-4</v>
      </c>
      <c r="C858" s="39">
        <f t="shared" si="170"/>
        <v>3.6834447903991252E-3</v>
      </c>
      <c r="D858" s="39">
        <f t="shared" si="170"/>
        <v>1.7489466643827948E-2</v>
      </c>
      <c r="E858" s="39">
        <f t="shared" si="170"/>
        <v>5.5180302215826975E-2</v>
      </c>
      <c r="F858" s="39">
        <f t="shared" si="170"/>
        <v>0.13063916122706237</v>
      </c>
      <c r="G858" s="39">
        <f t="shared" si="170"/>
        <v>0.24875915895693515</v>
      </c>
      <c r="H858" s="39">
        <f t="shared" si="170"/>
        <v>0.39928054808046715</v>
      </c>
      <c r="I858" s="39">
        <f t="shared" si="170"/>
        <v>0.55980970396813334</v>
      </c>
      <c r="J858" s="39">
        <f t="shared" si="170"/>
        <v>0.70600062033360622</v>
      </c>
      <c r="K858" s="39">
        <f t="shared" si="170"/>
        <v>0.8214260451617178</v>
      </c>
      <c r="L858" s="39">
        <f t="shared" si="171"/>
        <v>0.90138099376529301</v>
      </c>
      <c r="M858" s="39">
        <f t="shared" si="171"/>
        <v>0.95043310947300874</v>
      </c>
      <c r="N858" s="39">
        <f t="shared" si="171"/>
        <v>0.97729092298052489</v>
      </c>
      <c r="O858" s="39">
        <f t="shared" si="171"/>
        <v>0.99049853445976976</v>
      </c>
      <c r="P858" s="39">
        <f t="shared" si="171"/>
        <v>0.99636254274463387</v>
      </c>
      <c r="Q858" s="39">
        <f t="shared" si="171"/>
        <v>0.99872348306431025</v>
      </c>
      <c r="R858" s="39">
        <f t="shared" si="171"/>
        <v>0.9995886386717503</v>
      </c>
      <c r="S858" s="39">
        <f t="shared" si="171"/>
        <v>0.99987808411394541</v>
      </c>
      <c r="T858" s="39">
        <f t="shared" si="171"/>
        <v>0.99996672444097801</v>
      </c>
      <c r="U858" s="39">
        <f t="shared" si="171"/>
        <v>0.9999916262560038</v>
      </c>
      <c r="V858" s="39">
        <f t="shared" si="171"/>
        <v>0.99999805528552921</v>
      </c>
      <c r="W858" s="37">
        <v>0.14499999999999999</v>
      </c>
    </row>
    <row r="859" spans="2:23" x14ac:dyDescent="0.25">
      <c r="B859" s="39">
        <f t="shared" si="170"/>
        <v>4.0563464187436457E-4</v>
      </c>
      <c r="C859" s="39">
        <f t="shared" si="170"/>
        <v>3.8516607703873934E-3</v>
      </c>
      <c r="D859" s="39">
        <f t="shared" si="170"/>
        <v>1.8176366804600153E-2</v>
      </c>
      <c r="E859" s="39">
        <f t="shared" si="170"/>
        <v>5.700871907414215E-2</v>
      </c>
      <c r="F859" s="39">
        <f t="shared" si="170"/>
        <v>0.13420668860998616</v>
      </c>
      <c r="G859" s="39">
        <f t="shared" si="170"/>
        <v>0.25419908175721184</v>
      </c>
      <c r="H859" s="39">
        <f t="shared" si="170"/>
        <v>0.40602994731926861</v>
      </c>
      <c r="I859" s="39">
        <f t="shared" si="170"/>
        <v>0.56681447463819101</v>
      </c>
      <c r="J859" s="39">
        <f t="shared" si="170"/>
        <v>0.71220500093851102</v>
      </c>
      <c r="K859" s="39">
        <f t="shared" si="170"/>
        <v>0.82618784559169434</v>
      </c>
      <c r="L859" s="39">
        <f t="shared" si="171"/>
        <v>0.90458540451835545</v>
      </c>
      <c r="M859" s="39">
        <f t="shared" si="171"/>
        <v>0.95234174090603363</v>
      </c>
      <c r="N859" s="39">
        <f t="shared" si="171"/>
        <v>0.97830485944767998</v>
      </c>
      <c r="O859" s="39">
        <f t="shared" si="171"/>
        <v>0.99098197065781701</v>
      </c>
      <c r="P859" s="39">
        <f t="shared" si="171"/>
        <v>0.99657049651051544</v>
      </c>
      <c r="Q859" s="39">
        <f t="shared" si="171"/>
        <v>0.99880453795365176</v>
      </c>
      <c r="R859" s="39">
        <f t="shared" si="171"/>
        <v>0.99961736999657858</v>
      </c>
      <c r="S859" s="39">
        <f t="shared" si="171"/>
        <v>0.99988737419284157</v>
      </c>
      <c r="T859" s="39">
        <f t="shared" si="171"/>
        <v>0.99996947155198679</v>
      </c>
      <c r="U859" s="39">
        <f t="shared" si="171"/>
        <v>0.99999237071984348</v>
      </c>
      <c r="V859" s="39">
        <f t="shared" si="171"/>
        <v>0.99999824049940189</v>
      </c>
      <c r="W859" s="37">
        <v>0.14399999999999999</v>
      </c>
    </row>
    <row r="860" spans="2:23" x14ac:dyDescent="0.25">
      <c r="B860" s="39">
        <f t="shared" si="170"/>
        <v>4.3117847282183106E-4</v>
      </c>
      <c r="C860" s="39">
        <f t="shared" si="170"/>
        <v>4.0632686548417573E-3</v>
      </c>
      <c r="D860" s="39">
        <f t="shared" si="170"/>
        <v>1.9033761374620713E-2</v>
      </c>
      <c r="E860" s="39">
        <f t="shared" si="170"/>
        <v>5.9273270929195182E-2</v>
      </c>
      <c r="F860" s="39">
        <f t="shared" si="170"/>
        <v>0.13859090247712963</v>
      </c>
      <c r="G860" s="39">
        <f t="shared" si="170"/>
        <v>0.26083241675652019</v>
      </c>
      <c r="H860" s="39">
        <f t="shared" si="170"/>
        <v>0.41419608127064517</v>
      </c>
      <c r="I860" s="39">
        <f t="shared" si="170"/>
        <v>0.57522367872659319</v>
      </c>
      <c r="J860" s="39">
        <f t="shared" si="170"/>
        <v>0.71959537447549182</v>
      </c>
      <c r="K860" s="39">
        <f t="shared" si="170"/>
        <v>0.83181570870937749</v>
      </c>
      <c r="L860" s="39">
        <f t="shared" si="171"/>
        <v>0.90834310602417878</v>
      </c>
      <c r="M860" s="39">
        <f t="shared" si="171"/>
        <v>0.95456246861381699</v>
      </c>
      <c r="N860" s="39">
        <f t="shared" si="171"/>
        <v>0.97947538391419842</v>
      </c>
      <c r="O860" s="39">
        <f t="shared" si="171"/>
        <v>0.9915357067072853</v>
      </c>
      <c r="P860" s="39">
        <f t="shared" si="171"/>
        <v>0.99680682803757203</v>
      </c>
      <c r="Q860" s="39">
        <f t="shared" si="171"/>
        <v>0.99889593300517188</v>
      </c>
      <c r="R860" s="39">
        <f t="shared" si="171"/>
        <v>0.99964951289660064</v>
      </c>
      <c r="S860" s="39">
        <f t="shared" si="171"/>
        <v>0.99989768593604411</v>
      </c>
      <c r="T860" s="39">
        <f t="shared" si="171"/>
        <v>0.99997249685940526</v>
      </c>
      <c r="U860" s="39">
        <f t="shared" si="171"/>
        <v>0.99999318413986038</v>
      </c>
      <c r="V860" s="39">
        <f t="shared" si="171"/>
        <v>0.99999844127920612</v>
      </c>
      <c r="W860" s="37">
        <v>0.14299999999999999</v>
      </c>
    </row>
    <row r="861" spans="2:23" x14ac:dyDescent="0.25">
      <c r="B861" s="39">
        <f t="shared" si="170"/>
        <v>4.5829671910296101E-4</v>
      </c>
      <c r="C861" s="39">
        <f t="shared" si="170"/>
        <v>4.2860148753845768E-3</v>
      </c>
      <c r="D861" s="39">
        <f t="shared" si="170"/>
        <v>1.9928628283961792E-2</v>
      </c>
      <c r="E861" s="39">
        <f t="shared" si="170"/>
        <v>6.1616719866403893E-2</v>
      </c>
      <c r="F861" s="39">
        <f t="shared" si="170"/>
        <v>0.14308928864525333</v>
      </c>
      <c r="G861" s="39">
        <f t="shared" si="170"/>
        <v>0.26758057064301843</v>
      </c>
      <c r="H861" s="39">
        <f t="shared" si="170"/>
        <v>0.42243279258944194</v>
      </c>
      <c r="I861" s="39">
        <f t="shared" si="170"/>
        <v>0.58363322922304406</v>
      </c>
      <c r="J861" s="39">
        <f t="shared" si="170"/>
        <v>0.72692296277533841</v>
      </c>
      <c r="K861" s="39">
        <f t="shared" si="170"/>
        <v>0.83734807854040894</v>
      </c>
      <c r="L861" s="39">
        <f t="shared" si="171"/>
        <v>0.9120054504281303</v>
      </c>
      <c r="M861" s="39">
        <f t="shared" si="171"/>
        <v>0.956708310153776</v>
      </c>
      <c r="N861" s="39">
        <f t="shared" si="171"/>
        <v>0.98059674237574757</v>
      </c>
      <c r="O861" s="39">
        <f t="shared" si="171"/>
        <v>0.99206163264157876</v>
      </c>
      <c r="P861" s="39">
        <f t="shared" si="171"/>
        <v>0.99702936258873875</v>
      </c>
      <c r="Q861" s="39">
        <f t="shared" si="171"/>
        <v>0.9989812525716425</v>
      </c>
      <c r="R861" s="39">
        <f t="shared" si="171"/>
        <v>0.99967926086726422</v>
      </c>
      <c r="S861" s="39">
        <f t="shared" si="171"/>
        <v>0.9999071471498161</v>
      </c>
      <c r="T861" s="39">
        <f t="shared" si="171"/>
        <v>0.99997524869762389</v>
      </c>
      <c r="U861" s="39">
        <f t="shared" si="171"/>
        <v>0.99999391764471257</v>
      </c>
      <c r="V861" s="39">
        <f t="shared" si="171"/>
        <v>0.99999862076869994</v>
      </c>
      <c r="W861" s="37">
        <v>0.14199999999999999</v>
      </c>
    </row>
    <row r="862" spans="2:23" x14ac:dyDescent="0.25">
      <c r="B862" s="39">
        <f t="shared" si="170"/>
        <v>4.8708432189970534E-4</v>
      </c>
      <c r="C862" s="39">
        <f t="shared" si="170"/>
        <v>4.5204564347139159E-3</v>
      </c>
      <c r="D862" s="39">
        <f t="shared" si="170"/>
        <v>2.0862439957463112E-2</v>
      </c>
      <c r="E862" s="39">
        <f t="shared" si="170"/>
        <v>6.404125880656171E-2</v>
      </c>
      <c r="F862" s="39">
        <f t="shared" si="170"/>
        <v>0.14770352078675328</v>
      </c>
      <c r="G862" s="39">
        <f t="shared" si="170"/>
        <v>0.27444323765163059</v>
      </c>
      <c r="H862" s="39">
        <f t="shared" si="170"/>
        <v>0.43073747895657549</v>
      </c>
      <c r="I862" s="39">
        <f t="shared" si="170"/>
        <v>0.59203943087109323</v>
      </c>
      <c r="J862" s="39">
        <f t="shared" si="170"/>
        <v>0.73418472276317592</v>
      </c>
      <c r="K862" s="39">
        <f t="shared" si="170"/>
        <v>0.84278360999166202</v>
      </c>
      <c r="L862" s="39">
        <f t="shared" si="171"/>
        <v>0.91557272164116166</v>
      </c>
      <c r="M862" s="39">
        <f t="shared" si="171"/>
        <v>0.95878043960123005</v>
      </c>
      <c r="N862" s="39">
        <f t="shared" si="171"/>
        <v>0.98167024256817093</v>
      </c>
      <c r="O862" s="39">
        <f t="shared" si="171"/>
        <v>0.99256076624287171</v>
      </c>
      <c r="P862" s="39">
        <f t="shared" si="171"/>
        <v>0.99723873543087549</v>
      </c>
      <c r="Q862" s="39">
        <f t="shared" si="171"/>
        <v>0.9990608315441285</v>
      </c>
      <c r="R862" s="39">
        <f t="shared" si="171"/>
        <v>0.99970676702449646</v>
      </c>
      <c r="S862" s="39">
        <f t="shared" si="171"/>
        <v>0.99991581953206832</v>
      </c>
      <c r="T862" s="39">
        <f t="shared" si="171"/>
        <v>0.99997774921291915</v>
      </c>
      <c r="U862" s="39">
        <f t="shared" si="171"/>
        <v>0.99999457836971284</v>
      </c>
      <c r="V862" s="39">
        <f t="shared" si="171"/>
        <v>0.99999878104303119</v>
      </c>
      <c r="W862" s="37">
        <v>0.14099999999999999</v>
      </c>
    </row>
    <row r="863" spans="2:23" x14ac:dyDescent="0.25">
      <c r="B863" s="39">
        <f t="shared" ref="B863:K872" si="172">_xlfn.HYPGEOM.DIST(B$2,comau,tongtheN*$W863,tongtheN,TRUE)</f>
        <v>5.1764182131242931E-4</v>
      </c>
      <c r="C863" s="39">
        <f t="shared" si="172"/>
        <v>4.7671764309866792E-3</v>
      </c>
      <c r="D863" s="39">
        <f t="shared" si="172"/>
        <v>2.1836717436954183E-2</v>
      </c>
      <c r="E863" s="39">
        <f t="shared" si="172"/>
        <v>6.65491131813577E-2</v>
      </c>
      <c r="F863" s="39">
        <f t="shared" si="172"/>
        <v>0.152435235320483</v>
      </c>
      <c r="G863" s="39">
        <f t="shared" si="172"/>
        <v>0.28142000299630726</v>
      </c>
      <c r="H863" s="39">
        <f t="shared" si="172"/>
        <v>0.4391074250175751</v>
      </c>
      <c r="I863" s="39">
        <f t="shared" si="172"/>
        <v>0.6004385470971747</v>
      </c>
      <c r="J863" s="39">
        <f t="shared" si="172"/>
        <v>0.74137765819585388</v>
      </c>
      <c r="K863" s="39">
        <f t="shared" si="172"/>
        <v>0.84812104841986702</v>
      </c>
      <c r="L863" s="39">
        <f t="shared" ref="L863:V872" si="173">_xlfn.HYPGEOM.DIST(L$2,comau,tongtheN*$W863,tongtheN,TRUE)</f>
        <v>0.9190452810825368</v>
      </c>
      <c r="M863" s="39">
        <f t="shared" si="173"/>
        <v>0.96078006767958035</v>
      </c>
      <c r="N863" s="39">
        <f t="shared" si="173"/>
        <v>0.98269719265318012</v>
      </c>
      <c r="O863" s="39">
        <f t="shared" si="173"/>
        <v>0.99303410814414417</v>
      </c>
      <c r="P863" s="39">
        <f t="shared" si="173"/>
        <v>0.99743556279992263</v>
      </c>
      <c r="Q863" s="39">
        <f t="shared" si="173"/>
        <v>0.99913499099608427</v>
      </c>
      <c r="R863" s="39">
        <f t="shared" si="173"/>
        <v>0.99973217658720337</v>
      </c>
      <c r="S863" s="39">
        <f t="shared" si="173"/>
        <v>0.99992376100019187</v>
      </c>
      <c r="T863" s="39">
        <f t="shared" si="173"/>
        <v>0.99998001898910538</v>
      </c>
      <c r="U863" s="39">
        <f t="shared" si="173"/>
        <v>0.99999517288277873</v>
      </c>
      <c r="V863" s="39">
        <f t="shared" si="173"/>
        <v>0.99999892399422308</v>
      </c>
      <c r="W863" s="37">
        <v>0.14000000000000001</v>
      </c>
    </row>
    <row r="864" spans="2:23" x14ac:dyDescent="0.25">
      <c r="B864" s="39">
        <f t="shared" si="172"/>
        <v>5.4453502964676775E-4</v>
      </c>
      <c r="C864" s="39">
        <f t="shared" si="172"/>
        <v>4.9825952529583351E-3</v>
      </c>
      <c r="D864" s="39">
        <f t="shared" si="172"/>
        <v>2.2680658401871206E-2</v>
      </c>
      <c r="E864" s="39">
        <f t="shared" si="172"/>
        <v>6.8704262815154765E-2</v>
      </c>
      <c r="F864" s="39">
        <f t="shared" si="172"/>
        <v>0.1564692265697111</v>
      </c>
      <c r="G864" s="39">
        <f t="shared" si="172"/>
        <v>0.2873207556941339</v>
      </c>
      <c r="H864" s="39">
        <f t="shared" si="172"/>
        <v>0.44613019437532947</v>
      </c>
      <c r="I864" s="39">
        <f t="shared" si="172"/>
        <v>0.60742967652016677</v>
      </c>
      <c r="J864" s="39">
        <f t="shared" si="172"/>
        <v>0.74731707032704286</v>
      </c>
      <c r="K864" s="39">
        <f t="shared" si="172"/>
        <v>0.85249314008485944</v>
      </c>
      <c r="L864" s="39">
        <f t="shared" si="173"/>
        <v>0.92186704496350735</v>
      </c>
      <c r="M864" s="39">
        <f t="shared" si="173"/>
        <v>0.9623919388110892</v>
      </c>
      <c r="N864" s="39">
        <f t="shared" si="173"/>
        <v>0.98351836824330574</v>
      </c>
      <c r="O864" s="39">
        <f t="shared" si="173"/>
        <v>0.99340956733192054</v>
      </c>
      <c r="P864" s="39">
        <f t="shared" si="173"/>
        <v>0.99759043370420819</v>
      </c>
      <c r="Q864" s="39">
        <f t="shared" si="173"/>
        <v>0.9991928729095606</v>
      </c>
      <c r="R864" s="39">
        <f t="shared" si="173"/>
        <v>0.99975184915397186</v>
      </c>
      <c r="S864" s="39">
        <f t="shared" si="173"/>
        <v>0.99992985984438265</v>
      </c>
      <c r="T864" s="39">
        <f t="shared" si="173"/>
        <v>0.99998174804130369</v>
      </c>
      <c r="U864" s="39">
        <f t="shared" si="173"/>
        <v>0.99999562210394566</v>
      </c>
      <c r="V864" s="39">
        <f t="shared" si="173"/>
        <v>0.99999903113523048</v>
      </c>
      <c r="W864" s="37">
        <v>0.13900000000000001</v>
      </c>
    </row>
    <row r="865" spans="2:23" x14ac:dyDescent="0.25">
      <c r="B865" s="39">
        <f t="shared" si="172"/>
        <v>5.7861835187896784E-4</v>
      </c>
      <c r="C865" s="39">
        <f t="shared" si="172"/>
        <v>5.2534312557791663E-3</v>
      </c>
      <c r="D865" s="39">
        <f t="shared" si="172"/>
        <v>2.3733239306900997E-2</v>
      </c>
      <c r="E865" s="39">
        <f t="shared" si="172"/>
        <v>7.1370745311093206E-2</v>
      </c>
      <c r="F865" s="39">
        <f t="shared" si="172"/>
        <v>0.16142043673400849</v>
      </c>
      <c r="G865" s="39">
        <f t="shared" si="172"/>
        <v>0.29450524876139306</v>
      </c>
      <c r="H865" s="39">
        <f t="shared" si="172"/>
        <v>0.4546123576471291</v>
      </c>
      <c r="I865" s="39">
        <f t="shared" si="172"/>
        <v>0.61580597727700015</v>
      </c>
      <c r="J865" s="39">
        <f t="shared" si="172"/>
        <v>0.75437621797972421</v>
      </c>
      <c r="K865" s="39">
        <f t="shared" si="172"/>
        <v>0.8576477894125305</v>
      </c>
      <c r="L865" s="39">
        <f t="shared" si="173"/>
        <v>0.92516715766153812</v>
      </c>
      <c r="M865" s="39">
        <f t="shared" si="173"/>
        <v>0.96426190527390898</v>
      </c>
      <c r="N865" s="39">
        <f t="shared" si="173"/>
        <v>0.98446336885458652</v>
      </c>
      <c r="O865" s="39">
        <f t="shared" si="173"/>
        <v>0.99383816371670319</v>
      </c>
      <c r="P865" s="39">
        <f t="shared" si="173"/>
        <v>0.99776579851645542</v>
      </c>
      <c r="Q865" s="39">
        <f t="shared" si="173"/>
        <v>0.99925788580236041</v>
      </c>
      <c r="R865" s="39">
        <f t="shared" si="173"/>
        <v>0.99977376704482757</v>
      </c>
      <c r="S865" s="39">
        <f t="shared" si="173"/>
        <v>0.99993659990053341</v>
      </c>
      <c r="T865" s="39">
        <f t="shared" si="173"/>
        <v>0.9999836434350392</v>
      </c>
      <c r="U865" s="39">
        <f t="shared" si="173"/>
        <v>0.99999611055833604</v>
      </c>
      <c r="V865" s="39">
        <f t="shared" si="173"/>
        <v>0.99999914669032652</v>
      </c>
      <c r="W865" s="37">
        <v>0.13800000000000001</v>
      </c>
    </row>
    <row r="866" spans="2:23" x14ac:dyDescent="0.25">
      <c r="B866" s="39">
        <f t="shared" si="172"/>
        <v>6.1478973699559836E-4</v>
      </c>
      <c r="C866" s="39">
        <f t="shared" si="172"/>
        <v>5.5383494455778781E-3</v>
      </c>
      <c r="D866" s="39">
        <f t="shared" si="172"/>
        <v>2.4830868977522215E-2</v>
      </c>
      <c r="E866" s="39">
        <f t="shared" si="172"/>
        <v>7.4127014664665578E-2</v>
      </c>
      <c r="F866" s="39">
        <f t="shared" si="172"/>
        <v>0.16649352987943777</v>
      </c>
      <c r="G866" s="39">
        <f t="shared" si="172"/>
        <v>0.3018020436484205</v>
      </c>
      <c r="H866" s="39">
        <f t="shared" si="172"/>
        <v>0.46315147803528317</v>
      </c>
      <c r="I866" s="39">
        <f t="shared" si="172"/>
        <v>0.6241644172513714</v>
      </c>
      <c r="J866" s="39">
        <f t="shared" si="172"/>
        <v>0.76135834321123674</v>
      </c>
      <c r="K866" s="39">
        <f t="shared" si="172"/>
        <v>0.86270129595040523</v>
      </c>
      <c r="L866" s="39">
        <f t="shared" si="173"/>
        <v>0.92837399359171391</v>
      </c>
      <c r="M866" s="39">
        <f t="shared" si="173"/>
        <v>0.96606298096653376</v>
      </c>
      <c r="N866" s="39">
        <f t="shared" si="173"/>
        <v>0.98536551379562654</v>
      </c>
      <c r="O866" s="39">
        <f t="shared" si="173"/>
        <v>0.99424370465944234</v>
      </c>
      <c r="P866" s="39">
        <f t="shared" si="173"/>
        <v>0.99793026087501346</v>
      </c>
      <c r="Q866" s="39">
        <f t="shared" si="173"/>
        <v>0.99931831645415559</v>
      </c>
      <c r="R866" s="39">
        <f t="shared" si="173"/>
        <v>0.99979395936094273</v>
      </c>
      <c r="S866" s="39">
        <f t="shared" si="173"/>
        <v>0.99994275416747713</v>
      </c>
      <c r="T866" s="39">
        <f t="shared" si="173"/>
        <v>0.99998535870915517</v>
      </c>
      <c r="U866" s="39">
        <f t="shared" si="173"/>
        <v>0.99999654866031651</v>
      </c>
      <c r="V866" s="39">
        <f t="shared" si="173"/>
        <v>0.99999924940990415</v>
      </c>
      <c r="W866" s="37">
        <v>0.13700000000000001</v>
      </c>
    </row>
    <row r="867" spans="2:23" x14ac:dyDescent="0.25">
      <c r="B867" s="39">
        <f t="shared" si="172"/>
        <v>6.5317434066765139E-4</v>
      </c>
      <c r="C867" s="39">
        <f t="shared" si="172"/>
        <v>5.8380436507119542E-3</v>
      </c>
      <c r="D867" s="39">
        <f t="shared" si="172"/>
        <v>2.597526463411735E-2</v>
      </c>
      <c r="E867" s="39">
        <f t="shared" si="172"/>
        <v>7.6975409224436478E-2</v>
      </c>
      <c r="F867" s="39">
        <f t="shared" si="172"/>
        <v>0.17168996346360063</v>
      </c>
      <c r="G867" s="39">
        <f t="shared" si="172"/>
        <v>0.30921027694035108</v>
      </c>
      <c r="H867" s="39">
        <f t="shared" si="172"/>
        <v>0.47174441288056473</v>
      </c>
      <c r="I867" s="39">
        <f t="shared" si="172"/>
        <v>0.63250114028680371</v>
      </c>
      <c r="J867" s="39">
        <f t="shared" si="172"/>
        <v>0.76826066853370101</v>
      </c>
      <c r="K867" s="39">
        <f t="shared" si="172"/>
        <v>0.86765276579947814</v>
      </c>
      <c r="L867" s="39">
        <f t="shared" si="173"/>
        <v>0.9314882002182634</v>
      </c>
      <c r="M867" s="39">
        <f t="shared" si="173"/>
        <v>0.96779649704746151</v>
      </c>
      <c r="N867" s="39">
        <f t="shared" si="173"/>
        <v>0.9862260978454499</v>
      </c>
      <c r="O867" s="39">
        <f t="shared" si="173"/>
        <v>0.99462711919501845</v>
      </c>
      <c r="P867" s="39">
        <f t="shared" si="173"/>
        <v>0.99808436458356686</v>
      </c>
      <c r="Q867" s="39">
        <f t="shared" si="173"/>
        <v>0.99937443577020357</v>
      </c>
      <c r="R867" s="39">
        <f t="shared" si="173"/>
        <v>0.99981254363225114</v>
      </c>
      <c r="S867" s="39">
        <f t="shared" si="173"/>
        <v>0.99994836769457551</v>
      </c>
      <c r="T867" s="39">
        <f t="shared" si="173"/>
        <v>0.999986909270286</v>
      </c>
      <c r="U867" s="39">
        <f t="shared" si="173"/>
        <v>0.99999694114453785</v>
      </c>
      <c r="V867" s="39">
        <f t="shared" si="173"/>
        <v>0.99999934060838136</v>
      </c>
      <c r="W867" s="37">
        <v>0.13600000000000001</v>
      </c>
    </row>
    <row r="868" spans="2:23" x14ac:dyDescent="0.25">
      <c r="B868" s="39">
        <f t="shared" si="172"/>
        <v>6.8694751973016758E-4</v>
      </c>
      <c r="C868" s="39">
        <f t="shared" si="172"/>
        <v>6.0995986271848001E-3</v>
      </c>
      <c r="D868" s="39">
        <f t="shared" si="172"/>
        <v>2.6965927668711778E-2</v>
      </c>
      <c r="E868" s="39">
        <f t="shared" si="172"/>
        <v>7.9421149652837753E-2</v>
      </c>
      <c r="F868" s="39">
        <f t="shared" si="172"/>
        <v>0.17611555556234126</v>
      </c>
      <c r="G868" s="39">
        <f t="shared" si="172"/>
        <v>0.31546822214813258</v>
      </c>
      <c r="H868" s="39">
        <f t="shared" si="172"/>
        <v>0.47894395758542924</v>
      </c>
      <c r="I868" s="39">
        <f t="shared" si="172"/>
        <v>0.63942902395154966</v>
      </c>
      <c r="J868" s="39">
        <f t="shared" si="172"/>
        <v>0.77394969054833385</v>
      </c>
      <c r="K868" s="39">
        <f t="shared" si="172"/>
        <v>0.87170046816298252</v>
      </c>
      <c r="L868" s="39">
        <f t="shared" si="173"/>
        <v>0.93401313026189636</v>
      </c>
      <c r="M868" s="39">
        <f t="shared" si="173"/>
        <v>0.96919046417737587</v>
      </c>
      <c r="N868" s="39">
        <f t="shared" si="173"/>
        <v>0.98691243247119365</v>
      </c>
      <c r="O868" s="39">
        <f t="shared" si="173"/>
        <v>0.99493038564116509</v>
      </c>
      <c r="P868" s="39">
        <f t="shared" si="173"/>
        <v>0.9982052509294197</v>
      </c>
      <c r="Q868" s="39">
        <f t="shared" si="173"/>
        <v>0.99941809540377702</v>
      </c>
      <c r="R868" s="39">
        <f t="shared" si="173"/>
        <v>0.9998268824050861</v>
      </c>
      <c r="S868" s="39">
        <f t="shared" si="173"/>
        <v>0.99995266302087349</v>
      </c>
      <c r="T868" s="39">
        <f t="shared" si="173"/>
        <v>0.99998808589581478</v>
      </c>
      <c r="U868" s="39">
        <f t="shared" si="173"/>
        <v>0.99999723650730321</v>
      </c>
      <c r="V868" s="39">
        <f t="shared" si="173"/>
        <v>0.99999940866970949</v>
      </c>
      <c r="W868" s="37">
        <v>0.13500000000000001</v>
      </c>
    </row>
    <row r="869" spans="2:23" x14ac:dyDescent="0.25">
      <c r="B869" s="39">
        <f t="shared" si="172"/>
        <v>7.2973938459821913E-4</v>
      </c>
      <c r="C869" s="39">
        <f t="shared" si="172"/>
        <v>6.4282909212138922E-3</v>
      </c>
      <c r="D869" s="39">
        <f t="shared" si="172"/>
        <v>2.8200699750279772E-2</v>
      </c>
      <c r="E869" s="39">
        <f t="shared" si="172"/>
        <v>8.2444597985687471E-2</v>
      </c>
      <c r="F869" s="39">
        <f t="shared" si="172"/>
        <v>0.18154170746417267</v>
      </c>
      <c r="G869" s="39">
        <f t="shared" si="172"/>
        <v>0.32307810057740899</v>
      </c>
      <c r="H869" s="39">
        <f t="shared" si="172"/>
        <v>0.48762702971724226</v>
      </c>
      <c r="I869" s="39">
        <f t="shared" si="172"/>
        <v>0.64771585307921853</v>
      </c>
      <c r="J869" s="39">
        <f t="shared" si="172"/>
        <v>0.78069872794013295</v>
      </c>
      <c r="K869" s="39">
        <f t="shared" si="172"/>
        <v>0.87646287185128446</v>
      </c>
      <c r="L869" s="39">
        <f t="shared" si="173"/>
        <v>0.93695943311890462</v>
      </c>
      <c r="M869" s="39">
        <f t="shared" si="173"/>
        <v>0.97080366319869249</v>
      </c>
      <c r="N869" s="39">
        <f t="shared" si="173"/>
        <v>0.98770015937245814</v>
      </c>
      <c r="O869" s="39">
        <f t="shared" si="173"/>
        <v>0.99527558139370076</v>
      </c>
      <c r="P869" s="39">
        <f t="shared" si="173"/>
        <v>0.99834171445928599</v>
      </c>
      <c r="Q869" s="39">
        <f t="shared" si="173"/>
        <v>0.99946697354197966</v>
      </c>
      <c r="R869" s="39">
        <f t="shared" si="173"/>
        <v>0.99984280224553912</v>
      </c>
      <c r="S869" s="39">
        <f t="shared" si="173"/>
        <v>0.99995739248546289</v>
      </c>
      <c r="T869" s="39">
        <f t="shared" si="173"/>
        <v>0.99998937070933946</v>
      </c>
      <c r="U869" s="39">
        <f t="shared" si="173"/>
        <v>0.99999755635299892</v>
      </c>
      <c r="V869" s="39">
        <f t="shared" si="173"/>
        <v>0.99999948176089837</v>
      </c>
      <c r="W869" s="37">
        <v>0.13400000000000001</v>
      </c>
    </row>
    <row r="870" spans="2:23" x14ac:dyDescent="0.25">
      <c r="B870" s="39">
        <f t="shared" si="172"/>
        <v>7.7514032701998142E-4</v>
      </c>
      <c r="C870" s="39">
        <f t="shared" si="172"/>
        <v>6.7739026072513985E-3</v>
      </c>
      <c r="D870" s="39">
        <f t="shared" si="172"/>
        <v>2.9487397968309407E-2</v>
      </c>
      <c r="E870" s="39">
        <f t="shared" si="172"/>
        <v>8.5566930849257317E-2</v>
      </c>
      <c r="F870" s="39">
        <f t="shared" si="172"/>
        <v>0.18709500681067079</v>
      </c>
      <c r="G870" s="39">
        <f t="shared" si="172"/>
        <v>0.33079628355605561</v>
      </c>
      <c r="H870" s="39">
        <f t="shared" si="172"/>
        <v>0.49635442587020195</v>
      </c>
      <c r="I870" s="39">
        <f t="shared" si="172"/>
        <v>0.65596994494141625</v>
      </c>
      <c r="J870" s="39">
        <f t="shared" si="172"/>
        <v>0.78736047399527176</v>
      </c>
      <c r="K870" s="39">
        <f t="shared" si="172"/>
        <v>0.88112123617128557</v>
      </c>
      <c r="L870" s="39">
        <f t="shared" si="173"/>
        <v>0.93981532200543105</v>
      </c>
      <c r="M870" s="39">
        <f t="shared" si="173"/>
        <v>0.97235320822927729</v>
      </c>
      <c r="N870" s="39">
        <f t="shared" si="173"/>
        <v>0.98844994982640655</v>
      </c>
      <c r="O870" s="39">
        <f t="shared" si="173"/>
        <v>0.99560117306367191</v>
      </c>
      <c r="P870" s="39">
        <f t="shared" si="173"/>
        <v>0.99846925952957633</v>
      </c>
      <c r="Q870" s="39">
        <f t="shared" si="173"/>
        <v>0.99951224209126577</v>
      </c>
      <c r="R870" s="39">
        <f t="shared" si="173"/>
        <v>0.99985741227451019</v>
      </c>
      <c r="S870" s="39">
        <f t="shared" si="173"/>
        <v>0.99996169329663842</v>
      </c>
      <c r="T870" s="39">
        <f t="shared" si="173"/>
        <v>0.99999052842018898</v>
      </c>
      <c r="U870" s="39">
        <f t="shared" si="173"/>
        <v>0.99999784192635399</v>
      </c>
      <c r="V870" s="39">
        <f t="shared" si="173"/>
        <v>0.99999954642375999</v>
      </c>
      <c r="W870" s="37">
        <v>0.13300000000000001</v>
      </c>
    </row>
    <row r="871" spans="2:23" x14ac:dyDescent="0.25">
      <c r="B871" s="39">
        <f t="shared" si="172"/>
        <v>8.2330598678283045E-4</v>
      </c>
      <c r="C871" s="39">
        <f t="shared" si="172"/>
        <v>7.1372570458640688E-3</v>
      </c>
      <c r="D871" s="39">
        <f t="shared" si="172"/>
        <v>3.0827950532374405E-2</v>
      </c>
      <c r="E871" s="39">
        <f t="shared" si="172"/>
        <v>8.8790575225615814E-2</v>
      </c>
      <c r="F871" s="39">
        <f t="shared" si="172"/>
        <v>0.19277666961654125</v>
      </c>
      <c r="G871" s="39">
        <f t="shared" si="172"/>
        <v>0.33862141325593725</v>
      </c>
      <c r="H871" s="39">
        <f t="shared" si="172"/>
        <v>0.50512259488055022</v>
      </c>
      <c r="I871" s="39">
        <f t="shared" si="172"/>
        <v>0.66418739176994901</v>
      </c>
      <c r="J871" s="39">
        <f t="shared" si="172"/>
        <v>0.79393243052654527</v>
      </c>
      <c r="K871" s="39">
        <f t="shared" si="172"/>
        <v>0.88567504373290162</v>
      </c>
      <c r="L871" s="39">
        <f t="shared" si="173"/>
        <v>0.94258170777877037</v>
      </c>
      <c r="M871" s="39">
        <f t="shared" si="173"/>
        <v>0.97384051802093974</v>
      </c>
      <c r="N871" s="39">
        <f t="shared" si="173"/>
        <v>0.9891630630938355</v>
      </c>
      <c r="O871" s="39">
        <f t="shared" si="173"/>
        <v>0.99590801084363012</v>
      </c>
      <c r="P871" s="39">
        <f t="shared" si="173"/>
        <v>0.99858835951594105</v>
      </c>
      <c r="Q871" s="39">
        <f t="shared" si="173"/>
        <v>0.99955412652397202</v>
      </c>
      <c r="R871" s="39">
        <f t="shared" si="173"/>
        <v>0.99987080628672864</v>
      </c>
      <c r="S871" s="39">
        <f t="shared" si="173"/>
        <v>0.99996559998758994</v>
      </c>
      <c r="T871" s="39">
        <f t="shared" si="173"/>
        <v>0.99999157038572417</v>
      </c>
      <c r="U871" s="39">
        <f t="shared" si="173"/>
        <v>0.99999809658650629</v>
      </c>
      <c r="V871" s="39">
        <f t="shared" si="173"/>
        <v>0.999999603556331</v>
      </c>
      <c r="W871" s="37">
        <v>0.13200000000000001</v>
      </c>
    </row>
    <row r="872" spans="2:23" x14ac:dyDescent="0.25">
      <c r="B872" s="39">
        <f t="shared" si="172"/>
        <v>8.6567452571294559E-4</v>
      </c>
      <c r="C872" s="39">
        <f t="shared" si="172"/>
        <v>7.4542256034677203E-3</v>
      </c>
      <c r="D872" s="39">
        <f t="shared" si="172"/>
        <v>3.198764710303717E-2</v>
      </c>
      <c r="E872" s="39">
        <f t="shared" si="172"/>
        <v>9.1556099788811574E-2</v>
      </c>
      <c r="F872" s="39">
        <f t="shared" si="172"/>
        <v>0.19761027023642463</v>
      </c>
      <c r="G872" s="39">
        <f t="shared" si="172"/>
        <v>0.34522297661367035</v>
      </c>
      <c r="H872" s="39">
        <f t="shared" si="172"/>
        <v>0.51245791586281508</v>
      </c>
      <c r="I872" s="39">
        <f t="shared" si="172"/>
        <v>0.67100445109941798</v>
      </c>
      <c r="J872" s="39">
        <f t="shared" si="172"/>
        <v>0.79933872629949243</v>
      </c>
      <c r="K872" s="39">
        <f t="shared" si="172"/>
        <v>0.88938970925993044</v>
      </c>
      <c r="L872" s="39">
        <f t="shared" si="173"/>
        <v>0.94481936039351777</v>
      </c>
      <c r="M872" s="39">
        <f t="shared" si="173"/>
        <v>0.97503343765309192</v>
      </c>
      <c r="N872" s="39">
        <f t="shared" si="173"/>
        <v>0.98973020667615563</v>
      </c>
      <c r="O872" s="39">
        <f t="shared" si="173"/>
        <v>0.99614998167147062</v>
      </c>
      <c r="P872" s="39">
        <f t="shared" si="173"/>
        <v>0.99868148755641184</v>
      </c>
      <c r="Q872" s="39">
        <f t="shared" si="173"/>
        <v>0.99958660015508083</v>
      </c>
      <c r="R872" s="39">
        <f t="shared" si="173"/>
        <v>0.99988110287248688</v>
      </c>
      <c r="S872" s="39">
        <f t="shared" si="173"/>
        <v>0.9999685777551891</v>
      </c>
      <c r="T872" s="39">
        <f t="shared" si="173"/>
        <v>0.99999235784687013</v>
      </c>
      <c r="U872" s="39">
        <f t="shared" si="173"/>
        <v>0.99999828740727492</v>
      </c>
      <c r="V872" s="39">
        <f t="shared" si="173"/>
        <v>0.99999964600187419</v>
      </c>
      <c r="W872" s="37">
        <v>0.13100000000000001</v>
      </c>
    </row>
    <row r="873" spans="2:23" x14ac:dyDescent="0.25">
      <c r="B873" s="39">
        <f t="shared" ref="B873:K882" si="174">_xlfn.HYPGEOM.DIST(B$2,comau,tongtheN*$W873,tongtheN,TRUE)</f>
        <v>9.1934355512958432E-4</v>
      </c>
      <c r="C873" s="39">
        <f t="shared" si="174"/>
        <v>7.8523713722062904E-3</v>
      </c>
      <c r="D873" s="39">
        <f t="shared" si="174"/>
        <v>3.3432131343164077E-2</v>
      </c>
      <c r="E873" s="39">
        <f t="shared" si="174"/>
        <v>9.4971843737062744E-2</v>
      </c>
      <c r="F873" s="39">
        <f t="shared" si="174"/>
        <v>0.20353017518981342</v>
      </c>
      <c r="G873" s="39">
        <f t="shared" si="174"/>
        <v>0.35324019607052887</v>
      </c>
      <c r="H873" s="39">
        <f t="shared" si="174"/>
        <v>0.52129127563487898</v>
      </c>
      <c r="I873" s="39">
        <f t="shared" si="174"/>
        <v>0.67914456528887801</v>
      </c>
      <c r="J873" s="39">
        <f t="shared" si="174"/>
        <v>0.80573985635313683</v>
      </c>
      <c r="K873" s="39">
        <f t="shared" si="174"/>
        <v>0.89375081664670475</v>
      </c>
      <c r="L873" s="39">
        <f t="shared" ref="L873:V882" si="175">_xlfn.HYPGEOM.DIST(L$2,comau,tongtheN*$W873,tongtheN,TRUE)</f>
        <v>0.94742423444181711</v>
      </c>
      <c r="M873" s="39">
        <f t="shared" si="175"/>
        <v>0.97641039035426125</v>
      </c>
      <c r="N873" s="39">
        <f t="shared" si="175"/>
        <v>0.99037930635908278</v>
      </c>
      <c r="O873" s="39">
        <f t="shared" si="175"/>
        <v>0.99642457417796315</v>
      </c>
      <c r="P873" s="39">
        <f t="shared" si="175"/>
        <v>0.99878627522584651</v>
      </c>
      <c r="Q873" s="39">
        <f t="shared" si="175"/>
        <v>0.99962282957292803</v>
      </c>
      <c r="R873" s="39">
        <f t="shared" si="175"/>
        <v>0.99989249280792758</v>
      </c>
      <c r="S873" s="39">
        <f t="shared" si="175"/>
        <v>0.99997184373175529</v>
      </c>
      <c r="T873" s="39">
        <f t="shared" si="175"/>
        <v>0.99999321417923204</v>
      </c>
      <c r="U873" s="39">
        <f t="shared" si="175"/>
        <v>0.99999849315096656</v>
      </c>
      <c r="V873" s="39">
        <f t="shared" si="175"/>
        <v>0.99999969137694811</v>
      </c>
      <c r="W873" s="37">
        <v>0.13</v>
      </c>
    </row>
    <row r="874" spans="2:23" x14ac:dyDescent="0.25">
      <c r="B874" s="39">
        <f t="shared" si="174"/>
        <v>9.7626932769292638E-4</v>
      </c>
      <c r="C874" s="39">
        <f t="shared" si="174"/>
        <v>8.270799803113715E-3</v>
      </c>
      <c r="D874" s="39">
        <f t="shared" si="174"/>
        <v>3.4936247121166185E-2</v>
      </c>
      <c r="E874" s="39">
        <f t="shared" si="174"/>
        <v>9.849586581896054E-2</v>
      </c>
      <c r="F874" s="39">
        <f t="shared" si="174"/>
        <v>0.20958147075912595</v>
      </c>
      <c r="G874" s="39">
        <f t="shared" si="174"/>
        <v>0.36135976876298387</v>
      </c>
      <c r="H874" s="39">
        <f t="shared" si="174"/>
        <v>0.53015480180524832</v>
      </c>
      <c r="I874" s="39">
        <f t="shared" si="174"/>
        <v>0.68723697282902585</v>
      </c>
      <c r="J874" s="39">
        <f t="shared" si="174"/>
        <v>0.81204457848680234</v>
      </c>
      <c r="K874" s="39">
        <f t="shared" si="174"/>
        <v>0.89800644342780045</v>
      </c>
      <c r="L874" s="39">
        <f t="shared" si="175"/>
        <v>0.94994252781917543</v>
      </c>
      <c r="M874" s="39">
        <f t="shared" si="175"/>
        <v>0.97772921433344739</v>
      </c>
      <c r="N874" s="39">
        <f t="shared" si="175"/>
        <v>0.99099522421051989</v>
      </c>
      <c r="O874" s="39">
        <f t="shared" si="175"/>
        <v>0.99668270449150087</v>
      </c>
      <c r="P874" s="39">
        <f t="shared" si="175"/>
        <v>0.99888386285787567</v>
      </c>
      <c r="Q874" s="39">
        <f t="shared" si="175"/>
        <v>0.99965625489113075</v>
      </c>
      <c r="R874" s="39">
        <f t="shared" si="175"/>
        <v>0.99990290303890661</v>
      </c>
      <c r="S874" s="39">
        <f t="shared" si="175"/>
        <v>0.99997480087508672</v>
      </c>
      <c r="T874" s="39">
        <f t="shared" si="175"/>
        <v>0.99999398227816461</v>
      </c>
      <c r="U874" s="39">
        <f t="shared" si="175"/>
        <v>0.99999867596608161</v>
      </c>
      <c r="V874" s="39">
        <f t="shared" si="175"/>
        <v>0.99999973131702935</v>
      </c>
      <c r="W874" s="37">
        <v>0.129</v>
      </c>
    </row>
    <row r="875" spans="2:23" x14ac:dyDescent="0.25">
      <c r="B875" s="39">
        <f t="shared" si="174"/>
        <v>1.0366451976318654E-3</v>
      </c>
      <c r="C875" s="39">
        <f t="shared" si="174"/>
        <v>8.7104852001899605E-3</v>
      </c>
      <c r="D875" s="39">
        <f t="shared" si="174"/>
        <v>3.6502146763983376E-2</v>
      </c>
      <c r="E875" s="39">
        <f t="shared" si="174"/>
        <v>0.10213064877005007</v>
      </c>
      <c r="F875" s="39">
        <f t="shared" si="174"/>
        <v>0.21576506265306947</v>
      </c>
      <c r="G875" s="39">
        <f t="shared" si="174"/>
        <v>0.36957980240849519</v>
      </c>
      <c r="H875" s="39">
        <f t="shared" si="174"/>
        <v>0.53904456685908386</v>
      </c>
      <c r="I875" s="39">
        <f t="shared" si="174"/>
        <v>0.69527778985234101</v>
      </c>
      <c r="J875" s="39">
        <f t="shared" si="174"/>
        <v>0.8182507304179969</v>
      </c>
      <c r="K875" s="39">
        <f t="shared" si="174"/>
        <v>0.90215645520828158</v>
      </c>
      <c r="L875" s="39">
        <f t="shared" si="175"/>
        <v>0.95237538589888537</v>
      </c>
      <c r="M875" s="39">
        <f t="shared" si="175"/>
        <v>0.97899138255418117</v>
      </c>
      <c r="N875" s="39">
        <f t="shared" si="175"/>
        <v>0.99157916449608741</v>
      </c>
      <c r="O875" s="39">
        <f t="shared" si="175"/>
        <v>0.9969251394074411</v>
      </c>
      <c r="P875" s="39">
        <f t="shared" si="175"/>
        <v>0.99897465676619179</v>
      </c>
      <c r="Q875" s="39">
        <f t="shared" si="175"/>
        <v>0.99968706111733441</v>
      </c>
      <c r="R875" s="39">
        <f t="shared" si="175"/>
        <v>0.99991240732644437</v>
      </c>
      <c r="S875" s="39">
        <f t="shared" si="175"/>
        <v>0.99997747525466563</v>
      </c>
      <c r="T875" s="39">
        <f t="shared" si="175"/>
        <v>0.99999467038284418</v>
      </c>
      <c r="U875" s="39">
        <f t="shared" si="175"/>
        <v>0.99999883819613833</v>
      </c>
      <c r="V875" s="39">
        <f t="shared" si="175"/>
        <v>0.99999976642495858</v>
      </c>
      <c r="W875" s="37">
        <v>0.128</v>
      </c>
    </row>
    <row r="876" spans="2:23" x14ac:dyDescent="0.25">
      <c r="B876" s="39">
        <f t="shared" si="174"/>
        <v>1.0897411565577132E-3</v>
      </c>
      <c r="C876" s="39">
        <f t="shared" si="174"/>
        <v>9.0938604280833332E-3</v>
      </c>
      <c r="D876" s="39">
        <f t="shared" si="174"/>
        <v>3.7855853624991075E-2</v>
      </c>
      <c r="E876" s="39">
        <f t="shared" si="174"/>
        <v>0.10524604029297163</v>
      </c>
      <c r="F876" s="39">
        <f t="shared" si="174"/>
        <v>0.22101970484396491</v>
      </c>
      <c r="G876" s="39">
        <f t="shared" si="174"/>
        <v>0.37650510602638604</v>
      </c>
      <c r="H876" s="39">
        <f t="shared" si="174"/>
        <v>0.54646985140472459</v>
      </c>
      <c r="I876" s="39">
        <f t="shared" si="174"/>
        <v>0.701936272570306</v>
      </c>
      <c r="J876" s="39">
        <f t="shared" si="174"/>
        <v>0.82334573348806761</v>
      </c>
      <c r="K876" s="39">
        <f t="shared" si="174"/>
        <v>0.9055340922580154</v>
      </c>
      <c r="L876" s="39">
        <f t="shared" si="175"/>
        <v>0.95433836948192474</v>
      </c>
      <c r="M876" s="39">
        <f t="shared" si="175"/>
        <v>0.98000097943088083</v>
      </c>
      <c r="N876" s="39">
        <f t="shared" si="175"/>
        <v>0.99204221106141566</v>
      </c>
      <c r="O876" s="39">
        <f t="shared" si="175"/>
        <v>0.99711571683505751</v>
      </c>
      <c r="P876" s="39">
        <f t="shared" si="175"/>
        <v>0.99904541021971094</v>
      </c>
      <c r="Q876" s="39">
        <f t="shared" si="175"/>
        <v>0.99971085901707624</v>
      </c>
      <c r="R876" s="39">
        <f t="shared" si="175"/>
        <v>0.99991968551729993</v>
      </c>
      <c r="S876" s="39">
        <f t="shared" si="175"/>
        <v>0.99997950539093872</v>
      </c>
      <c r="T876" s="39">
        <f t="shared" si="175"/>
        <v>0.99999518816781097</v>
      </c>
      <c r="U876" s="39">
        <f t="shared" si="175"/>
        <v>0.99999895920398241</v>
      </c>
      <c r="V876" s="39">
        <f t="shared" si="175"/>
        <v>0.99999979238283587</v>
      </c>
      <c r="W876" s="37">
        <v>0.127</v>
      </c>
    </row>
    <row r="877" spans="2:23" x14ac:dyDescent="0.25">
      <c r="B877" s="39">
        <f t="shared" si="174"/>
        <v>1.1569820859066329E-3</v>
      </c>
      <c r="C877" s="39">
        <f t="shared" si="174"/>
        <v>9.5751920916013252E-3</v>
      </c>
      <c r="D877" s="39">
        <f t="shared" si="174"/>
        <v>3.9540814381411285E-2</v>
      </c>
      <c r="E877" s="39">
        <f t="shared" si="174"/>
        <v>0.10909035727965985</v>
      </c>
      <c r="F877" s="39">
        <f t="shared" si="174"/>
        <v>0.22744788017756615</v>
      </c>
      <c r="G877" s="39">
        <f t="shared" si="174"/>
        <v>0.38490392065364254</v>
      </c>
      <c r="H877" s="39">
        <f t="shared" si="174"/>
        <v>0.55539722038820105</v>
      </c>
      <c r="I877" s="39">
        <f t="shared" si="174"/>
        <v>0.70987248810136594</v>
      </c>
      <c r="J877" s="39">
        <f t="shared" si="174"/>
        <v>0.82936587911137205</v>
      </c>
      <c r="K877" s="39">
        <f t="shared" si="174"/>
        <v>0.90949045828771613</v>
      </c>
      <c r="L877" s="39">
        <f t="shared" si="175"/>
        <v>0.95661775428705564</v>
      </c>
      <c r="M877" s="39">
        <f t="shared" si="175"/>
        <v>0.98116313167928126</v>
      </c>
      <c r="N877" s="39">
        <f t="shared" si="175"/>
        <v>0.9925705958223181</v>
      </c>
      <c r="O877" s="39">
        <f t="shared" si="175"/>
        <v>0.99733129471529147</v>
      </c>
      <c r="P877" s="39">
        <f t="shared" si="175"/>
        <v>0.99912474872648027</v>
      </c>
      <c r="Q877" s="39">
        <f t="shared" si="175"/>
        <v>0.99973731203136118</v>
      </c>
      <c r="R877" s="39">
        <f t="shared" si="175"/>
        <v>0.99992770518985896</v>
      </c>
      <c r="S877" s="39">
        <f t="shared" si="175"/>
        <v>0.99998172282923292</v>
      </c>
      <c r="T877" s="39">
        <f t="shared" si="175"/>
        <v>0.99999574878373676</v>
      </c>
      <c r="U877" s="39">
        <f t="shared" si="175"/>
        <v>0.99999908907601431</v>
      </c>
      <c r="V877" s="39">
        <f t="shared" si="175"/>
        <v>0.99999981999839693</v>
      </c>
      <c r="W877" s="37">
        <v>0.126</v>
      </c>
    </row>
    <row r="878" spans="2:23" x14ac:dyDescent="0.25">
      <c r="B878" s="39">
        <f t="shared" si="174"/>
        <v>1.2282840550182324E-3</v>
      </c>
      <c r="C878" s="39">
        <f t="shared" si="174"/>
        <v>1.0080781748843326E-2</v>
      </c>
      <c r="D878" s="39">
        <f t="shared" si="174"/>
        <v>4.1293986938109928E-2</v>
      </c>
      <c r="E878" s="39">
        <f t="shared" si="174"/>
        <v>0.11305250229018002</v>
      </c>
      <c r="F878" s="39">
        <f t="shared" si="174"/>
        <v>0.23401039589009048</v>
      </c>
      <c r="G878" s="39">
        <f t="shared" si="174"/>
        <v>0.39339704056329144</v>
      </c>
      <c r="H878" s="39">
        <f t="shared" si="174"/>
        <v>0.56433921697529932</v>
      </c>
      <c r="I878" s="39">
        <f t="shared" si="174"/>
        <v>0.71774623311948882</v>
      </c>
      <c r="J878" s="39">
        <f t="shared" si="174"/>
        <v>0.83528186156722761</v>
      </c>
      <c r="K878" s="39">
        <f t="shared" si="174"/>
        <v>0.91334136882067896</v>
      </c>
      <c r="L878" s="39">
        <f t="shared" si="175"/>
        <v>0.95881524363973103</v>
      </c>
      <c r="M878" s="39">
        <f t="shared" si="175"/>
        <v>0.98227284140307847</v>
      </c>
      <c r="N878" s="39">
        <f t="shared" si="175"/>
        <v>0.99307031835996873</v>
      </c>
      <c r="O878" s="39">
        <f t="shared" si="175"/>
        <v>0.99753322905496766</v>
      </c>
      <c r="P878" s="39">
        <f t="shared" si="175"/>
        <v>0.99919835458084738</v>
      </c>
      <c r="Q878" s="39">
        <f t="shared" si="175"/>
        <v>0.99976161844410361</v>
      </c>
      <c r="R878" s="39">
        <f t="shared" si="175"/>
        <v>0.99993500337207086</v>
      </c>
      <c r="S878" s="39">
        <f t="shared" si="175"/>
        <v>0.99998372138815095</v>
      </c>
      <c r="T878" s="39">
        <f t="shared" si="175"/>
        <v>0.99999624920200936</v>
      </c>
      <c r="U878" s="39">
        <f t="shared" si="175"/>
        <v>0.99999920388625674</v>
      </c>
      <c r="V878" s="39">
        <f t="shared" si="175"/>
        <v>0.99999984417587962</v>
      </c>
      <c r="W878" s="37">
        <v>0.125</v>
      </c>
    </row>
    <row r="879" spans="2:23" x14ac:dyDescent="0.25">
      <c r="B879" s="39">
        <f t="shared" si="174"/>
        <v>1.3038870320894497E-3</v>
      </c>
      <c r="C879" s="39">
        <f t="shared" si="174"/>
        <v>1.0611778862841965E-2</v>
      </c>
      <c r="D879" s="39">
        <f t="shared" si="174"/>
        <v>4.3117758160223091E-2</v>
      </c>
      <c r="E879" s="39">
        <f t="shared" si="174"/>
        <v>0.11713497106363407</v>
      </c>
      <c r="F879" s="39">
        <f t="shared" si="174"/>
        <v>0.24070777300174778</v>
      </c>
      <c r="G879" s="39">
        <f t="shared" si="174"/>
        <v>0.40198200721948218</v>
      </c>
      <c r="H879" s="39">
        <f t="shared" si="174"/>
        <v>0.57329158381812428</v>
      </c>
      <c r="I879" s="39">
        <f t="shared" si="174"/>
        <v>0.72555372910617488</v>
      </c>
      <c r="J879" s="39">
        <f t="shared" si="174"/>
        <v>0.84109190499730024</v>
      </c>
      <c r="K879" s="39">
        <f t="shared" si="174"/>
        <v>0.91708706906916282</v>
      </c>
      <c r="L879" s="39">
        <f t="shared" si="175"/>
        <v>0.96093218319086282</v>
      </c>
      <c r="M879" s="39">
        <f t="shared" si="175"/>
        <v>0.98333160289781829</v>
      </c>
      <c r="N879" s="39">
        <f t="shared" si="175"/>
        <v>0.99354251155214113</v>
      </c>
      <c r="O879" s="39">
        <f t="shared" si="175"/>
        <v>0.99772220127060718</v>
      </c>
      <c r="P879" s="39">
        <f t="shared" si="175"/>
        <v>0.99926657149437859</v>
      </c>
      <c r="Q879" s="39">
        <f t="shared" si="175"/>
        <v>0.99978392782058711</v>
      </c>
      <c r="R879" s="39">
        <f t="shared" si="175"/>
        <v>0.99994163718213891</v>
      </c>
      <c r="S879" s="39">
        <f t="shared" si="175"/>
        <v>0.99998552043283173</v>
      </c>
      <c r="T879" s="39">
        <f t="shared" si="175"/>
        <v>0.99999669529941415</v>
      </c>
      <c r="U879" s="39">
        <f t="shared" si="175"/>
        <v>0.9999993052408841</v>
      </c>
      <c r="V879" s="39">
        <f t="shared" si="175"/>
        <v>0.99999986531248741</v>
      </c>
      <c r="W879" s="37">
        <v>0.124</v>
      </c>
    </row>
    <row r="880" spans="2:23" x14ac:dyDescent="0.25">
      <c r="B880" s="39">
        <f t="shared" si="174"/>
        <v>1.3840448527209191E-3</v>
      </c>
      <c r="C880" s="39">
        <f t="shared" si="174"/>
        <v>1.1169382936667497E-2</v>
      </c>
      <c r="D880" s="39">
        <f t="shared" si="174"/>
        <v>4.5014577349822615E-2</v>
      </c>
      <c r="E880" s="39">
        <f t="shared" si="174"/>
        <v>0.12134025434942336</v>
      </c>
      <c r="F880" s="39">
        <f t="shared" si="174"/>
        <v>0.2475404193884333</v>
      </c>
      <c r="G880" s="39">
        <f t="shared" si="174"/>
        <v>0.41065621043306749</v>
      </c>
      <c r="H880" s="39">
        <f t="shared" si="174"/>
        <v>0.58224998702581165</v>
      </c>
      <c r="I880" s="39">
        <f t="shared" si="174"/>
        <v>0.73329123895356274</v>
      </c>
      <c r="J880" s="39">
        <f t="shared" si="174"/>
        <v>0.84679434168736278</v>
      </c>
      <c r="K880" s="39">
        <f t="shared" si="174"/>
        <v>0.9207279014607912</v>
      </c>
      <c r="L880" s="39">
        <f t="shared" si="175"/>
        <v>0.962969964649521</v>
      </c>
      <c r="M880" s="39">
        <f t="shared" si="175"/>
        <v>0.98434091078229424</v>
      </c>
      <c r="N880" s="39">
        <f t="shared" si="175"/>
        <v>0.99398828737202394</v>
      </c>
      <c r="O880" s="39">
        <f t="shared" si="175"/>
        <v>0.9978988704799856</v>
      </c>
      <c r="P880" s="39">
        <f t="shared" si="175"/>
        <v>0.99932972768859729</v>
      </c>
      <c r="Q880" s="39">
        <f t="shared" si="175"/>
        <v>0.99980438129677573</v>
      </c>
      <c r="R880" s="39">
        <f t="shared" si="175"/>
        <v>0.99994765991169965</v>
      </c>
      <c r="S880" s="39">
        <f t="shared" si="175"/>
        <v>0.99998713783386861</v>
      </c>
      <c r="T880" s="39">
        <f t="shared" si="175"/>
        <v>0.99999709244129986</v>
      </c>
      <c r="U880" s="39">
        <f t="shared" si="175"/>
        <v>0.9999993945908896</v>
      </c>
      <c r="V880" s="39">
        <f t="shared" si="175"/>
        <v>0.99999988376332383</v>
      </c>
      <c r="W880" s="37">
        <v>0.123</v>
      </c>
    </row>
    <row r="881" spans="2:23" x14ac:dyDescent="0.25">
      <c r="B881" s="39">
        <f t="shared" si="174"/>
        <v>1.4545156713675746E-3</v>
      </c>
      <c r="C881" s="39">
        <f t="shared" si="174"/>
        <v>1.1655279009071144E-2</v>
      </c>
      <c r="D881" s="39">
        <f t="shared" si="174"/>
        <v>4.6652870998930111E-2</v>
      </c>
      <c r="E881" s="39">
        <f t="shared" si="174"/>
        <v>0.12494026464836376</v>
      </c>
      <c r="F881" s="39">
        <f t="shared" si="174"/>
        <v>0.25333783449215014</v>
      </c>
      <c r="G881" s="39">
        <f t="shared" si="174"/>
        <v>0.41795089114115769</v>
      </c>
      <c r="H881" s="39">
        <f t="shared" si="174"/>
        <v>0.58971675750702413</v>
      </c>
      <c r="I881" s="39">
        <f t="shared" si="174"/>
        <v>0.73968303860104079</v>
      </c>
      <c r="J881" s="39">
        <f t="shared" si="174"/>
        <v>0.85146304608713663</v>
      </c>
      <c r="K881" s="39">
        <f t="shared" si="174"/>
        <v>0.92368213458910919</v>
      </c>
      <c r="L881" s="39">
        <f t="shared" si="175"/>
        <v>0.96460868197479199</v>
      </c>
      <c r="M881" s="39">
        <f t="shared" si="175"/>
        <v>0.98514530073463302</v>
      </c>
      <c r="N881" s="39">
        <f t="shared" si="175"/>
        <v>0.99434037451342694</v>
      </c>
      <c r="O881" s="39">
        <f t="shared" si="175"/>
        <v>0.9980371568395473</v>
      </c>
      <c r="P881" s="39">
        <f t="shared" si="175"/>
        <v>0.99937871835746994</v>
      </c>
      <c r="Q881" s="39">
        <f t="shared" si="175"/>
        <v>0.99982010437538404</v>
      </c>
      <c r="R881" s="39">
        <f t="shared" si="175"/>
        <v>0.9999522479912506</v>
      </c>
      <c r="S881" s="39">
        <f t="shared" si="175"/>
        <v>0.99998835883615922</v>
      </c>
      <c r="T881" s="39">
        <f t="shared" si="175"/>
        <v>0.99999738953927053</v>
      </c>
      <c r="U881" s="39">
        <f t="shared" si="175"/>
        <v>0.99999946082745927</v>
      </c>
      <c r="V881" s="39">
        <f t="shared" si="175"/>
        <v>0.99999989731717065</v>
      </c>
      <c r="W881" s="37">
        <v>0.122</v>
      </c>
    </row>
    <row r="882" spans="2:23" x14ac:dyDescent="0.25">
      <c r="B882" s="39">
        <f t="shared" si="174"/>
        <v>1.5437324975733021E-3</v>
      </c>
      <c r="C882" s="39">
        <f t="shared" si="174"/>
        <v>1.2264951616829904E-2</v>
      </c>
      <c r="D882" s="39">
        <f t="shared" si="174"/>
        <v>4.8690181427860635E-2</v>
      </c>
      <c r="E882" s="39">
        <f t="shared" si="174"/>
        <v>0.12937714467460609</v>
      </c>
      <c r="F882" s="39">
        <f t="shared" si="174"/>
        <v>0.26041913666735378</v>
      </c>
      <c r="G882" s="39">
        <f t="shared" si="174"/>
        <v>0.42678140750545857</v>
      </c>
      <c r="H882" s="39">
        <f t="shared" si="174"/>
        <v>0.59867473532742965</v>
      </c>
      <c r="I882" s="39">
        <f t="shared" si="174"/>
        <v>0.74728269537915881</v>
      </c>
      <c r="J882" s="39">
        <f t="shared" si="174"/>
        <v>0.85696424201435373</v>
      </c>
      <c r="K882" s="39">
        <f t="shared" si="174"/>
        <v>0.92713191669555017</v>
      </c>
      <c r="L882" s="39">
        <f t="shared" si="175"/>
        <v>0.96650509687074804</v>
      </c>
      <c r="M882" s="39">
        <f t="shared" si="175"/>
        <v>0.98606781819884615</v>
      </c>
      <c r="N882" s="39">
        <f t="shared" si="175"/>
        <v>0.99474053388804762</v>
      </c>
      <c r="O882" s="39">
        <f t="shared" si="175"/>
        <v>0.99819290870667299</v>
      </c>
      <c r="P882" s="39">
        <f t="shared" si="175"/>
        <v>0.99943339912195217</v>
      </c>
      <c r="Q882" s="39">
        <f t="shared" si="175"/>
        <v>0.99983749528425847</v>
      </c>
      <c r="R882" s="39">
        <f t="shared" si="175"/>
        <v>0.99995727691790459</v>
      </c>
      <c r="S882" s="39">
        <f t="shared" si="175"/>
        <v>0.99998968505954666</v>
      </c>
      <c r="T882" s="39">
        <f t="shared" si="175"/>
        <v>0.99999770931970822</v>
      </c>
      <c r="U882" s="39">
        <f t="shared" si="175"/>
        <v>0.99999953147518661</v>
      </c>
      <c r="V882" s="39">
        <f t="shared" si="175"/>
        <v>0.99999991164258628</v>
      </c>
      <c r="W882" s="37">
        <v>0.121</v>
      </c>
    </row>
    <row r="883" spans="2:23" x14ac:dyDescent="0.25">
      <c r="B883" s="39">
        <f t="shared" ref="B883:K892" si="176">_xlfn.HYPGEOM.DIST(B$2,comau,tongtheN*$W883,tongtheN,TRUE)</f>
        <v>1.6383057047171313E-3</v>
      </c>
      <c r="C883" s="39">
        <f t="shared" si="176"/>
        <v>1.2904918383454575E-2</v>
      </c>
      <c r="D883" s="39">
        <f t="shared" si="176"/>
        <v>5.0807821335505592E-2</v>
      </c>
      <c r="E883" s="39">
        <f t="shared" si="176"/>
        <v>0.13394383449575406</v>
      </c>
      <c r="F883" s="39">
        <f t="shared" si="176"/>
        <v>0.26763620178985664</v>
      </c>
      <c r="G883" s="39">
        <f t="shared" si="176"/>
        <v>0.43569293175120172</v>
      </c>
      <c r="H883" s="39">
        <f t="shared" si="176"/>
        <v>0.60762609453726535</v>
      </c>
      <c r="I883" s="39">
        <f t="shared" si="176"/>
        <v>0.75480205382076426</v>
      </c>
      <c r="J883" s="39">
        <f t="shared" si="176"/>
        <v>0.86235371637409108</v>
      </c>
      <c r="K883" s="39">
        <f t="shared" si="176"/>
        <v>0.93047831874126763</v>
      </c>
      <c r="L883" s="39">
        <f t="shared" ref="L883:V892" si="177">_xlfn.HYPGEOM.DIST(L$2,comau,tongtheN*$W883,tongtheN,TRUE)</f>
        <v>0.96832652321953105</v>
      </c>
      <c r="M883" s="39">
        <f t="shared" si="177"/>
        <v>0.98694510034937366</v>
      </c>
      <c r="N883" s="39">
        <f t="shared" si="177"/>
        <v>0.99511730600120119</v>
      </c>
      <c r="O883" s="39">
        <f t="shared" si="177"/>
        <v>0.99833810471551132</v>
      </c>
      <c r="P883" s="39">
        <f t="shared" si="177"/>
        <v>0.99948386830136438</v>
      </c>
      <c r="Q883" s="39">
        <f t="shared" si="177"/>
        <v>0.9998533872918951</v>
      </c>
      <c r="R883" s="39">
        <f t="shared" si="177"/>
        <v>0.99996182670591527</v>
      </c>
      <c r="S883" s="39">
        <f t="shared" si="177"/>
        <v>0.99999087297752776</v>
      </c>
      <c r="T883" s="39">
        <f t="shared" si="177"/>
        <v>0.9999979928961199</v>
      </c>
      <c r="U883" s="39">
        <f t="shared" si="177"/>
        <v>0.99999959349912615</v>
      </c>
      <c r="V883" s="39">
        <f t="shared" si="177"/>
        <v>0.9999999240936317</v>
      </c>
      <c r="W883" s="37">
        <v>0.12</v>
      </c>
    </row>
    <row r="884" spans="2:23" x14ac:dyDescent="0.25">
      <c r="B884" s="39">
        <f t="shared" si="176"/>
        <v>1.7385499315340502E-3</v>
      </c>
      <c r="C884" s="39">
        <f t="shared" si="176"/>
        <v>1.3576588729752965E-2</v>
      </c>
      <c r="D884" s="39">
        <f t="shared" si="176"/>
        <v>5.300848182865029E-2</v>
      </c>
      <c r="E884" s="39">
        <f t="shared" si="176"/>
        <v>0.13864276795439559</v>
      </c>
      <c r="F884" s="39">
        <f t="shared" si="176"/>
        <v>0.27498895350350333</v>
      </c>
      <c r="G884" s="39">
        <f t="shared" si="176"/>
        <v>0.44468226333708999</v>
      </c>
      <c r="H884" s="39">
        <f t="shared" si="176"/>
        <v>0.61656625145055122</v>
      </c>
      <c r="I884" s="39">
        <f t="shared" si="176"/>
        <v>0.76223759006617087</v>
      </c>
      <c r="J884" s="39">
        <f t="shared" si="176"/>
        <v>0.86763023960954477</v>
      </c>
      <c r="K884" s="39">
        <f t="shared" si="176"/>
        <v>0.93372204405390657</v>
      </c>
      <c r="L884" s="39">
        <f t="shared" si="177"/>
        <v>0.97007450390665406</v>
      </c>
      <c r="M884" s="39">
        <f t="shared" si="177"/>
        <v>0.98777862396481053</v>
      </c>
      <c r="N884" s="39">
        <f t="shared" si="177"/>
        <v>0.99547171561079173</v>
      </c>
      <c r="O884" s="39">
        <f t="shared" si="177"/>
        <v>0.99847331945777429</v>
      </c>
      <c r="P884" s="39">
        <f t="shared" si="177"/>
        <v>0.99953039826646783</v>
      </c>
      <c r="Q884" s="39">
        <f t="shared" si="177"/>
        <v>0.999867892262011</v>
      </c>
      <c r="R884" s="39">
        <f t="shared" si="177"/>
        <v>0.99996593777979459</v>
      </c>
      <c r="S884" s="39">
        <f t="shared" si="177"/>
        <v>0.99999193558058619</v>
      </c>
      <c r="T884" s="39">
        <f t="shared" si="177"/>
        <v>0.99999824400936288</v>
      </c>
      <c r="U884" s="39">
        <f t="shared" si="177"/>
        <v>0.99999964787023332</v>
      </c>
      <c r="V884" s="39">
        <f t="shared" si="177"/>
        <v>0.99999993489847194</v>
      </c>
      <c r="W884" s="37">
        <v>0.11899999999999999</v>
      </c>
    </row>
    <row r="885" spans="2:23" x14ac:dyDescent="0.25">
      <c r="B885" s="39">
        <f t="shared" si="176"/>
        <v>1.8266582862508395E-3</v>
      </c>
      <c r="C885" s="39">
        <f t="shared" si="176"/>
        <v>1.416159010999038E-2</v>
      </c>
      <c r="D885" s="39">
        <f t="shared" si="176"/>
        <v>5.4907769290653489E-2</v>
      </c>
      <c r="E885" s="39">
        <f t="shared" si="176"/>
        <v>0.14266130348795986</v>
      </c>
      <c r="F885" s="39">
        <f t="shared" si="176"/>
        <v>0.28121974456696403</v>
      </c>
      <c r="G885" s="39">
        <f t="shared" si="176"/>
        <v>0.45223039286197086</v>
      </c>
      <c r="H885" s="39">
        <f t="shared" si="176"/>
        <v>0.6240044815511534</v>
      </c>
      <c r="I885" s="39">
        <f t="shared" si="176"/>
        <v>0.76836734533006312</v>
      </c>
      <c r="J885" s="39">
        <f t="shared" si="176"/>
        <v>0.8719402557549405</v>
      </c>
      <c r="K885" s="39">
        <f t="shared" si="176"/>
        <v>0.93634728472428708</v>
      </c>
      <c r="L885" s="39">
        <f t="shared" si="177"/>
        <v>0.97147618587368623</v>
      </c>
      <c r="M885" s="39">
        <f t="shared" si="177"/>
        <v>0.98844085928217185</v>
      </c>
      <c r="N885" s="39">
        <f t="shared" si="177"/>
        <v>0.99575069700678531</v>
      </c>
      <c r="O885" s="39">
        <f t="shared" si="177"/>
        <v>0.99857877340863233</v>
      </c>
      <c r="P885" s="39">
        <f t="shared" si="177"/>
        <v>0.99956635119787252</v>
      </c>
      <c r="Q885" s="39">
        <f t="shared" si="177"/>
        <v>0.99987899614505449</v>
      </c>
      <c r="R885" s="39">
        <f t="shared" si="177"/>
        <v>0.99996905568893635</v>
      </c>
      <c r="S885" s="39">
        <f t="shared" si="177"/>
        <v>0.99999273398516986</v>
      </c>
      <c r="T885" s="39">
        <f t="shared" si="177"/>
        <v>0.99999843093075014</v>
      </c>
      <c r="U885" s="39">
        <f t="shared" si="177"/>
        <v>0.99999968796508276</v>
      </c>
      <c r="V885" s="39">
        <f t="shared" si="177"/>
        <v>0.99999994279185878</v>
      </c>
      <c r="W885" s="37">
        <v>0.11799999999999999</v>
      </c>
    </row>
    <row r="886" spans="2:23" x14ac:dyDescent="0.25">
      <c r="B886" s="39">
        <f t="shared" si="176"/>
        <v>1.9381772550925267E-3</v>
      </c>
      <c r="C886" s="39">
        <f t="shared" si="176"/>
        <v>1.4895244007050064E-2</v>
      </c>
      <c r="D886" s="39">
        <f t="shared" si="176"/>
        <v>5.7267833285045401E-2</v>
      </c>
      <c r="E886" s="39">
        <f t="shared" si="176"/>
        <v>0.14760891595746359</v>
      </c>
      <c r="F886" s="39">
        <f t="shared" si="176"/>
        <v>0.28882058944279548</v>
      </c>
      <c r="G886" s="39">
        <f t="shared" si="176"/>
        <v>0.46135354392517142</v>
      </c>
      <c r="H886" s="39">
        <f t="shared" si="176"/>
        <v>0.63291202571576144</v>
      </c>
      <c r="I886" s="39">
        <f t="shared" si="176"/>
        <v>0.77564029135557733</v>
      </c>
      <c r="J886" s="39">
        <f t="shared" si="176"/>
        <v>0.8770069065203836</v>
      </c>
      <c r="K886" s="39">
        <f t="shared" si="176"/>
        <v>0.93940489422729911</v>
      </c>
      <c r="L886" s="39">
        <f t="shared" si="177"/>
        <v>0.97309362957044887</v>
      </c>
      <c r="M886" s="39">
        <f t="shared" si="177"/>
        <v>0.98919796193873</v>
      </c>
      <c r="N886" s="39">
        <f t="shared" si="177"/>
        <v>0.99606668920922747</v>
      </c>
      <c r="O886" s="39">
        <f t="shared" si="177"/>
        <v>0.99869710987656357</v>
      </c>
      <c r="P886" s="39">
        <f t="shared" si="177"/>
        <v>0.99960632179161013</v>
      </c>
      <c r="Q886" s="39">
        <f t="shared" si="177"/>
        <v>0.99989122617804604</v>
      </c>
      <c r="R886" s="39">
        <f t="shared" si="177"/>
        <v>0.99997245787891076</v>
      </c>
      <c r="S886" s="39">
        <f t="shared" si="177"/>
        <v>0.99999359707573454</v>
      </c>
      <c r="T886" s="39">
        <f t="shared" si="177"/>
        <v>0.99999863111341225</v>
      </c>
      <c r="U886" s="39">
        <f t="shared" si="177"/>
        <v>0.99999973050396096</v>
      </c>
      <c r="V886" s="39">
        <f t="shared" si="177"/>
        <v>0.99999995108820106</v>
      </c>
      <c r="W886" s="37">
        <v>0.11700000000000001</v>
      </c>
    </row>
    <row r="887" spans="2:23" x14ac:dyDescent="0.25">
      <c r="B887" s="39">
        <f t="shared" si="176"/>
        <v>2.0563602849547917E-3</v>
      </c>
      <c r="C887" s="39">
        <f t="shared" si="176"/>
        <v>1.5664926466347696E-2</v>
      </c>
      <c r="D887" s="39">
        <f t="shared" si="176"/>
        <v>5.9718885312075046E-2</v>
      </c>
      <c r="E887" s="39">
        <f t="shared" si="176"/>
        <v>0.15269551146776347</v>
      </c>
      <c r="F887" s="39">
        <f t="shared" si="176"/>
        <v>0.29655612782895435</v>
      </c>
      <c r="G887" s="39">
        <f t="shared" si="176"/>
        <v>0.47054459213844513</v>
      </c>
      <c r="H887" s="39">
        <f t="shared" si="176"/>
        <v>0.64179511446206805</v>
      </c>
      <c r="I887" s="39">
        <f t="shared" si="176"/>
        <v>0.78281983002686717</v>
      </c>
      <c r="J887" s="39">
        <f t="shared" si="176"/>
        <v>0.88195777745707815</v>
      </c>
      <c r="K887" s="39">
        <f t="shared" si="176"/>
        <v>0.94236230328992632</v>
      </c>
      <c r="L887" s="39">
        <f t="shared" si="177"/>
        <v>0.97464216649162183</v>
      </c>
      <c r="M887" s="39">
        <f t="shared" si="177"/>
        <v>0.98991543306124874</v>
      </c>
      <c r="N887" s="39">
        <f t="shared" si="177"/>
        <v>0.99636308874388924</v>
      </c>
      <c r="O887" s="39">
        <f t="shared" si="177"/>
        <v>0.99880697642094396</v>
      </c>
      <c r="P887" s="39">
        <f t="shared" si="177"/>
        <v>0.99964305233643558</v>
      </c>
      <c r="Q887" s="39">
        <f t="shared" si="177"/>
        <v>0.99990234985806281</v>
      </c>
      <c r="R887" s="39">
        <f t="shared" si="177"/>
        <v>0.99997552060155348</v>
      </c>
      <c r="S887" s="39">
        <f t="shared" si="177"/>
        <v>0.99999436607844694</v>
      </c>
      <c r="T887" s="39">
        <f t="shared" si="177"/>
        <v>0.99999880764177085</v>
      </c>
      <c r="U887" s="39">
        <f t="shared" si="177"/>
        <v>0.99999976763051857</v>
      </c>
      <c r="V887" s="39">
        <f t="shared" si="177"/>
        <v>0.99999995825441923</v>
      </c>
      <c r="W887" s="37">
        <v>0.11600000000000001</v>
      </c>
    </row>
    <row r="888" spans="2:23" x14ac:dyDescent="0.25">
      <c r="B888" s="39">
        <f t="shared" si="176"/>
        <v>2.1815970016217327E-3</v>
      </c>
      <c r="C888" s="39">
        <f t="shared" si="176"/>
        <v>1.6472287829581232E-2</v>
      </c>
      <c r="D888" s="39">
        <f t="shared" si="176"/>
        <v>6.2263857400889071E-2</v>
      </c>
      <c r="E888" s="39">
        <f t="shared" si="176"/>
        <v>0.15792339739554995</v>
      </c>
      <c r="F888" s="39">
        <f t="shared" si="176"/>
        <v>0.30442571801731827</v>
      </c>
      <c r="G888" s="39">
        <f t="shared" si="176"/>
        <v>0.47979974374718409</v>
      </c>
      <c r="H888" s="39">
        <f t="shared" si="176"/>
        <v>0.65064899479184835</v>
      </c>
      <c r="I888" s="39">
        <f t="shared" si="176"/>
        <v>0.78990273726363058</v>
      </c>
      <c r="J888" s="39">
        <f t="shared" si="176"/>
        <v>0.8867921062536932</v>
      </c>
      <c r="K888" s="39">
        <f t="shared" si="176"/>
        <v>0.9452205500706603</v>
      </c>
      <c r="L888" s="39">
        <f t="shared" si="177"/>
        <v>0.97612344865445444</v>
      </c>
      <c r="M888" s="39">
        <f t="shared" si="177"/>
        <v>0.9905947034811895</v>
      </c>
      <c r="N888" s="39">
        <f t="shared" si="177"/>
        <v>0.99664082461066517</v>
      </c>
      <c r="O888" s="39">
        <f t="shared" si="177"/>
        <v>0.99890886610049812</v>
      </c>
      <c r="P888" s="39">
        <f t="shared" si="177"/>
        <v>0.99967676526432636</v>
      </c>
      <c r="Q888" s="39">
        <f t="shared" si="177"/>
        <v>0.99991245438601295</v>
      </c>
      <c r="R888" s="39">
        <f t="shared" si="177"/>
        <v>0.99997827399138728</v>
      </c>
      <c r="S888" s="39">
        <f t="shared" si="177"/>
        <v>0.99999505026484226</v>
      </c>
      <c r="T888" s="39">
        <f t="shared" si="177"/>
        <v>0.99999896307418357</v>
      </c>
      <c r="U888" s="39">
        <f t="shared" si="177"/>
        <v>0.99999979998141575</v>
      </c>
      <c r="V888" s="39">
        <f t="shared" si="177"/>
        <v>0.99999996443401684</v>
      </c>
      <c r="W888" s="37">
        <v>0.115</v>
      </c>
    </row>
    <row r="889" spans="2:23" x14ac:dyDescent="0.25">
      <c r="B889" s="39">
        <f t="shared" si="176"/>
        <v>2.2916456356907615E-3</v>
      </c>
      <c r="C889" s="39">
        <f t="shared" si="176"/>
        <v>1.7175109283860249E-2</v>
      </c>
      <c r="D889" s="39">
        <f t="shared" si="176"/>
        <v>6.4458569998108145E-2</v>
      </c>
      <c r="E889" s="39">
        <f t="shared" si="176"/>
        <v>0.16238953210983123</v>
      </c>
      <c r="F889" s="39">
        <f t="shared" si="176"/>
        <v>0.31108553652546772</v>
      </c>
      <c r="G889" s="39">
        <f t="shared" si="176"/>
        <v>0.48755849506505261</v>
      </c>
      <c r="H889" s="39">
        <f t="shared" si="176"/>
        <v>0.65800146706950913</v>
      </c>
      <c r="I889" s="39">
        <f t="shared" si="176"/>
        <v>0.79572908188827707</v>
      </c>
      <c r="J889" s="39">
        <f t="shared" si="176"/>
        <v>0.89073122488394729</v>
      </c>
      <c r="K889" s="39">
        <f t="shared" si="176"/>
        <v>0.94752747907914769</v>
      </c>
      <c r="L889" s="39">
        <f t="shared" si="177"/>
        <v>0.97730768198931317</v>
      </c>
      <c r="M889" s="39">
        <f t="shared" si="177"/>
        <v>0.99113260218941168</v>
      </c>
      <c r="N889" s="39">
        <f t="shared" si="177"/>
        <v>0.99685866649402921</v>
      </c>
      <c r="O889" s="39">
        <f t="shared" si="177"/>
        <v>0.99898802222314742</v>
      </c>
      <c r="P889" s="39">
        <f t="shared" si="177"/>
        <v>0.99970270639805547</v>
      </c>
      <c r="Q889" s="39">
        <f t="shared" si="177"/>
        <v>0.99992015525821287</v>
      </c>
      <c r="R889" s="39">
        <f t="shared" si="177"/>
        <v>0.99998035232956783</v>
      </c>
      <c r="S889" s="39">
        <f t="shared" si="177"/>
        <v>0.99999556175910609</v>
      </c>
      <c r="T889" s="39">
        <f t="shared" si="177"/>
        <v>0.99999907815923572</v>
      </c>
      <c r="U889" s="39">
        <f t="shared" si="177"/>
        <v>0.99999982370431739</v>
      </c>
      <c r="V889" s="39">
        <f t="shared" si="177"/>
        <v>0.99999996892187326</v>
      </c>
      <c r="W889" s="37">
        <v>0.114</v>
      </c>
    </row>
    <row r="890" spans="2:23" x14ac:dyDescent="0.25">
      <c r="B890" s="39">
        <f t="shared" si="176"/>
        <v>2.4309008508901476E-3</v>
      </c>
      <c r="C890" s="39">
        <f t="shared" si="176"/>
        <v>1.8056063310699456E-2</v>
      </c>
      <c r="D890" s="39">
        <f t="shared" si="176"/>
        <v>6.7183548438530138E-2</v>
      </c>
      <c r="E890" s="39">
        <f t="shared" si="176"/>
        <v>0.16788228621338144</v>
      </c>
      <c r="F890" s="39">
        <f t="shared" si="176"/>
        <v>0.31919868436173582</v>
      </c>
      <c r="G890" s="39">
        <f t="shared" si="176"/>
        <v>0.49692080913250763</v>
      </c>
      <c r="H890" s="39">
        <f t="shared" si="176"/>
        <v>0.66678936200573391</v>
      </c>
      <c r="I890" s="39">
        <f t="shared" si="176"/>
        <v>0.80262676776910902</v>
      </c>
      <c r="J890" s="39">
        <f t="shared" si="176"/>
        <v>0.89535032920668012</v>
      </c>
      <c r="K890" s="39">
        <f t="shared" si="176"/>
        <v>0.95020689466810304</v>
      </c>
      <c r="L890" s="39">
        <f t="shared" si="177"/>
        <v>0.97867002331142217</v>
      </c>
      <c r="M890" s="39">
        <f t="shared" si="177"/>
        <v>0.99174549932845546</v>
      </c>
      <c r="N890" s="39">
        <f t="shared" si="177"/>
        <v>0.99710451215908202</v>
      </c>
      <c r="O890" s="39">
        <f t="shared" si="177"/>
        <v>0.99907650024105554</v>
      </c>
      <c r="P890" s="39">
        <f t="shared" si="177"/>
        <v>0.99973142512165247</v>
      </c>
      <c r="Q890" s="39">
        <f t="shared" si="177"/>
        <v>0.9999285990400173</v>
      </c>
      <c r="R890" s="39">
        <f t="shared" si="177"/>
        <v>0.99998260932037275</v>
      </c>
      <c r="S890" s="39">
        <f t="shared" si="177"/>
        <v>0.99999611189046156</v>
      </c>
      <c r="T890" s="39">
        <f t="shared" si="177"/>
        <v>0.99999920074842263</v>
      </c>
      <c r="U890" s="39">
        <f t="shared" si="177"/>
        <v>0.9999998487310533</v>
      </c>
      <c r="V890" s="39">
        <f t="shared" si="177"/>
        <v>0.99999997361080639</v>
      </c>
      <c r="W890" s="37">
        <v>0.113</v>
      </c>
    </row>
    <row r="891" spans="2:23" x14ac:dyDescent="0.25">
      <c r="B891" s="39">
        <f t="shared" si="176"/>
        <v>2.5784388571023376E-3</v>
      </c>
      <c r="C891" s="39">
        <f t="shared" si="176"/>
        <v>1.8979751113818388E-2</v>
      </c>
      <c r="D891" s="39">
        <f t="shared" si="176"/>
        <v>7.0011087100106228E-2</v>
      </c>
      <c r="E891" s="39">
        <f t="shared" si="176"/>
        <v>0.17352259826472194</v>
      </c>
      <c r="F891" s="39">
        <f t="shared" si="176"/>
        <v>0.32744317474220586</v>
      </c>
      <c r="G891" s="39">
        <f t="shared" si="176"/>
        <v>0.50633565081690401</v>
      </c>
      <c r="H891" s="39">
        <f t="shared" si="176"/>
        <v>0.67553444592203782</v>
      </c>
      <c r="I891" s="39">
        <f t="shared" si="176"/>
        <v>0.80941920679043622</v>
      </c>
      <c r="J891" s="39">
        <f t="shared" si="176"/>
        <v>0.89985141404037816</v>
      </c>
      <c r="K891" s="39">
        <f t="shared" si="176"/>
        <v>0.952790525518321</v>
      </c>
      <c r="L891" s="39">
        <f t="shared" si="177"/>
        <v>0.97996989686895764</v>
      </c>
      <c r="M891" s="39">
        <f t="shared" si="177"/>
        <v>0.99232415657379258</v>
      </c>
      <c r="N891" s="39">
        <f t="shared" si="177"/>
        <v>0.99733418454502121</v>
      </c>
      <c r="O891" s="39">
        <f t="shared" si="177"/>
        <v>0.99915828790862626</v>
      </c>
      <c r="P891" s="39">
        <f t="shared" si="177"/>
        <v>0.99975769254950952</v>
      </c>
      <c r="Q891" s="39">
        <f t="shared" si="177"/>
        <v>0.99993624061956343</v>
      </c>
      <c r="R891" s="39">
        <f t="shared" si="177"/>
        <v>0.99998463030669082</v>
      </c>
      <c r="S891" s="39">
        <f t="shared" si="177"/>
        <v>0.99999659928553597</v>
      </c>
      <c r="T891" s="39">
        <f t="shared" si="177"/>
        <v>0.99999930820716176</v>
      </c>
      <c r="U891" s="39">
        <f t="shared" si="177"/>
        <v>0.99999987043617844</v>
      </c>
      <c r="V891" s="39">
        <f t="shared" si="177"/>
        <v>0.99999997763421633</v>
      </c>
      <c r="W891" s="37">
        <v>0.112</v>
      </c>
    </row>
    <row r="892" spans="2:23" x14ac:dyDescent="0.25">
      <c r="B892" s="39">
        <f t="shared" si="176"/>
        <v>2.7347416719081326E-3</v>
      </c>
      <c r="C892" s="39">
        <f t="shared" si="176"/>
        <v>1.9948097940124192E-2</v>
      </c>
      <c r="D892" s="39">
        <f t="shared" si="176"/>
        <v>7.2944350023733603E-2</v>
      </c>
      <c r="E892" s="39">
        <f t="shared" si="176"/>
        <v>0.17931256610017041</v>
      </c>
      <c r="F892" s="39">
        <f t="shared" si="176"/>
        <v>0.33581772040991964</v>
      </c>
      <c r="G892" s="39">
        <f t="shared" si="176"/>
        <v>0.51579864786613105</v>
      </c>
      <c r="H892" s="39">
        <f t="shared" si="176"/>
        <v>0.6842318913328268</v>
      </c>
      <c r="I892" s="39">
        <f t="shared" si="176"/>
        <v>0.81610355875944229</v>
      </c>
      <c r="J892" s="39">
        <f t="shared" si="176"/>
        <v>0.90423420094874307</v>
      </c>
      <c r="K892" s="39">
        <f t="shared" si="176"/>
        <v>0.95527970928209438</v>
      </c>
      <c r="L892" s="39">
        <f t="shared" si="177"/>
        <v>0.98120902059478798</v>
      </c>
      <c r="M892" s="39">
        <f t="shared" si="177"/>
        <v>0.99286993420125447</v>
      </c>
      <c r="N892" s="39">
        <f t="shared" si="177"/>
        <v>0.99754851188373894</v>
      </c>
      <c r="O892" s="39">
        <f t="shared" si="177"/>
        <v>0.99923380143173834</v>
      </c>
      <c r="P892" s="39">
        <f t="shared" si="177"/>
        <v>0.99978168729916617</v>
      </c>
      <c r="Q892" s="39">
        <f t="shared" si="177"/>
        <v>0.99994314678858487</v>
      </c>
      <c r="R892" s="39">
        <f t="shared" si="177"/>
        <v>0.99998643734113979</v>
      </c>
      <c r="S892" s="39">
        <f t="shared" si="177"/>
        <v>0.99999703043392907</v>
      </c>
      <c r="T892" s="39">
        <f t="shared" si="177"/>
        <v>0.99999940224952122</v>
      </c>
      <c r="U892" s="39">
        <f t="shared" si="177"/>
        <v>0.99999988922821081</v>
      </c>
      <c r="V892" s="39">
        <f t="shared" si="177"/>
        <v>0.99999998108032473</v>
      </c>
      <c r="W892" s="37">
        <v>0.111</v>
      </c>
    </row>
    <row r="893" spans="2:23" x14ac:dyDescent="0.25">
      <c r="B893" s="39">
        <f t="shared" ref="B893:K902" si="178">_xlfn.HYPGEOM.DIST(B$2,comau,tongtheN*$W893,tongtheN,TRUE)</f>
        <v>2.8720560418392729E-3</v>
      </c>
      <c r="C893" s="39">
        <f t="shared" si="178"/>
        <v>2.0790610760655442E-2</v>
      </c>
      <c r="D893" s="39">
        <f t="shared" si="178"/>
        <v>7.547182009886097E-2</v>
      </c>
      <c r="E893" s="39">
        <f t="shared" si="178"/>
        <v>0.18425332488499785</v>
      </c>
      <c r="F893" s="39">
        <f t="shared" si="178"/>
        <v>0.34289480243429243</v>
      </c>
      <c r="G893" s="39">
        <f t="shared" si="178"/>
        <v>0.52371800870287044</v>
      </c>
      <c r="H893" s="39">
        <f t="shared" si="178"/>
        <v>0.69143988750192875</v>
      </c>
      <c r="I893" s="39">
        <f t="shared" si="178"/>
        <v>0.82158931475278085</v>
      </c>
      <c r="J893" s="39">
        <f t="shared" si="178"/>
        <v>0.90779604402042591</v>
      </c>
      <c r="K893" s="39">
        <f t="shared" si="178"/>
        <v>0.95728289640148567</v>
      </c>
      <c r="L893" s="39">
        <f t="shared" ref="L893:V902" si="179">_xlfn.HYPGEOM.DIST(L$2,comau,tongtheN*$W893,tongtheN,TRUE)</f>
        <v>0.98219646402947491</v>
      </c>
      <c r="M893" s="39">
        <f t="shared" si="179"/>
        <v>0.99330059874125898</v>
      </c>
      <c r="N893" s="39">
        <f t="shared" si="179"/>
        <v>0.99771597516657018</v>
      </c>
      <c r="O893" s="39">
        <f t="shared" si="179"/>
        <v>0.99929222367037862</v>
      </c>
      <c r="P893" s="39">
        <f t="shared" si="179"/>
        <v>0.99980006850003822</v>
      </c>
      <c r="Q893" s="39">
        <f t="shared" si="179"/>
        <v>0.99994838510583484</v>
      </c>
      <c r="R893" s="39">
        <f t="shared" si="179"/>
        <v>0.99998779443747465</v>
      </c>
      <c r="S893" s="39">
        <f t="shared" si="179"/>
        <v>0.99999735102643028</v>
      </c>
      <c r="T893" s="39">
        <f t="shared" si="179"/>
        <v>0.99999947148442825</v>
      </c>
      <c r="U893" s="39">
        <f t="shared" si="179"/>
        <v>0.99999990292576402</v>
      </c>
      <c r="V893" s="39">
        <f t="shared" si="179"/>
        <v>0.99999998356722553</v>
      </c>
      <c r="W893" s="37">
        <v>0.11</v>
      </c>
    </row>
    <row r="894" spans="2:23" x14ac:dyDescent="0.25">
      <c r="B894" s="39">
        <f t="shared" si="178"/>
        <v>3.0457716755376498E-3</v>
      </c>
      <c r="C894" s="39">
        <f t="shared" si="178"/>
        <v>2.1846092220432902E-2</v>
      </c>
      <c r="D894" s="39">
        <f t="shared" si="178"/>
        <v>7.8607319431597975E-2</v>
      </c>
      <c r="E894" s="39">
        <f t="shared" si="178"/>
        <v>0.19032287292875488</v>
      </c>
      <c r="F894" s="39">
        <f t="shared" si="178"/>
        <v>0.35150383481377351</v>
      </c>
      <c r="G894" s="39">
        <f t="shared" si="178"/>
        <v>0.53325745217568876</v>
      </c>
      <c r="H894" s="39">
        <f t="shared" si="178"/>
        <v>0.70003745553852326</v>
      </c>
      <c r="I894" s="39">
        <f t="shared" si="178"/>
        <v>0.82806851026445127</v>
      </c>
      <c r="J894" s="39">
        <f t="shared" si="178"/>
        <v>0.91196165058508472</v>
      </c>
      <c r="K894" s="39">
        <f t="shared" si="178"/>
        <v>0.95960263573281757</v>
      </c>
      <c r="L894" s="39">
        <f t="shared" si="179"/>
        <v>0.98332870641696801</v>
      </c>
      <c r="M894" s="39">
        <f t="shared" si="179"/>
        <v>0.99378955624507015</v>
      </c>
      <c r="N894" s="39">
        <f t="shared" si="179"/>
        <v>0.99790423241568649</v>
      </c>
      <c r="O894" s="39">
        <f t="shared" si="179"/>
        <v>0.99935725246187623</v>
      </c>
      <c r="P894" s="39">
        <f t="shared" si="179"/>
        <v>0.99982032628752127</v>
      </c>
      <c r="Q894" s="39">
        <f t="shared" si="179"/>
        <v>0.99995410115312999</v>
      </c>
      <c r="R894" s="39">
        <f t="shared" si="179"/>
        <v>0.99998926064624105</v>
      </c>
      <c r="S894" s="39">
        <f t="shared" si="179"/>
        <v>0.99999769396381255</v>
      </c>
      <c r="T894" s="39">
        <f t="shared" si="179"/>
        <v>0.99999954481044917</v>
      </c>
      <c r="U894" s="39">
        <f t="shared" si="179"/>
        <v>0.99999991728868354</v>
      </c>
      <c r="V894" s="39">
        <f t="shared" si="179"/>
        <v>0.99999998614901053</v>
      </c>
      <c r="W894" s="37">
        <v>0.109</v>
      </c>
    </row>
    <row r="895" spans="2:23" x14ac:dyDescent="0.25">
      <c r="B895" s="39">
        <f t="shared" si="178"/>
        <v>3.2297719362884576E-3</v>
      </c>
      <c r="C895" s="39">
        <f t="shared" si="178"/>
        <v>2.2952117747906536E-2</v>
      </c>
      <c r="D895" s="39">
        <f t="shared" si="178"/>
        <v>8.1857816678189824E-2</v>
      </c>
      <c r="E895" s="39">
        <f t="shared" si="178"/>
        <v>0.19654761714696534</v>
      </c>
      <c r="F895" s="39">
        <f t="shared" si="178"/>
        <v>0.36023827477246001</v>
      </c>
      <c r="G895" s="39">
        <f t="shared" si="178"/>
        <v>0.54283187944099254</v>
      </c>
      <c r="H895" s="39">
        <f t="shared" si="178"/>
        <v>0.70857372047740586</v>
      </c>
      <c r="I895" s="39">
        <f t="shared" si="178"/>
        <v>0.83443220419833075</v>
      </c>
      <c r="J895" s="39">
        <f t="shared" si="178"/>
        <v>0.91600886111009161</v>
      </c>
      <c r="K895" s="39">
        <f t="shared" si="178"/>
        <v>0.96183209464688146</v>
      </c>
      <c r="L895" s="39">
        <f t="shared" si="179"/>
        <v>0.98440511166922828</v>
      </c>
      <c r="M895" s="39">
        <f t="shared" si="179"/>
        <v>0.99424936472370706</v>
      </c>
      <c r="N895" s="39">
        <f t="shared" si="179"/>
        <v>0.99807934620939109</v>
      </c>
      <c r="O895" s="39">
        <f t="shared" si="179"/>
        <v>0.99941708403562712</v>
      </c>
      <c r="P895" s="39">
        <f t="shared" si="179"/>
        <v>0.99983876226346236</v>
      </c>
      <c r="Q895" s="39">
        <f t="shared" si="179"/>
        <v>0.99995924647533962</v>
      </c>
      <c r="R895" s="39">
        <f t="shared" si="179"/>
        <v>0.99999056606081016</v>
      </c>
      <c r="S895" s="39">
        <f t="shared" si="179"/>
        <v>0.99999799595659999</v>
      </c>
      <c r="T895" s="39">
        <f t="shared" si="179"/>
        <v>0.99999960867533721</v>
      </c>
      <c r="U895" s="39">
        <f t="shared" si="179"/>
        <v>0.99999992966131945</v>
      </c>
      <c r="V895" s="39">
        <f t="shared" si="179"/>
        <v>0.99999998834863324</v>
      </c>
      <c r="W895" s="37">
        <v>0.108</v>
      </c>
    </row>
    <row r="896" spans="2:23" x14ac:dyDescent="0.25">
      <c r="B896" s="39">
        <f t="shared" si="178"/>
        <v>3.4246525706531522E-3</v>
      </c>
      <c r="C896" s="39">
        <f t="shared" si="178"/>
        <v>2.4110924227079316E-2</v>
      </c>
      <c r="D896" s="39">
        <f t="shared" si="178"/>
        <v>8.5226688576726453E-2</v>
      </c>
      <c r="E896" s="39">
        <f t="shared" si="178"/>
        <v>0.20292934863768219</v>
      </c>
      <c r="F896" s="39">
        <f t="shared" si="178"/>
        <v>0.36909611358359529</v>
      </c>
      <c r="G896" s="39">
        <f t="shared" si="178"/>
        <v>0.55243637487136144</v>
      </c>
      <c r="H896" s="39">
        <f t="shared" si="178"/>
        <v>0.71704388806712582</v>
      </c>
      <c r="I896" s="39">
        <f t="shared" si="178"/>
        <v>0.84067801858830515</v>
      </c>
      <c r="J896" s="39">
        <f t="shared" si="178"/>
        <v>0.9199378838438409</v>
      </c>
      <c r="K896" s="39">
        <f t="shared" si="178"/>
        <v>0.96397286674672689</v>
      </c>
      <c r="L896" s="39">
        <f t="shared" si="179"/>
        <v>0.98542742076990875</v>
      </c>
      <c r="M896" s="39">
        <f t="shared" si="179"/>
        <v>0.99468129342817546</v>
      </c>
      <c r="N896" s="39">
        <f t="shared" si="179"/>
        <v>0.99824204237422576</v>
      </c>
      <c r="O896" s="39">
        <f t="shared" si="179"/>
        <v>0.99947206374306441</v>
      </c>
      <c r="P896" s="39">
        <f t="shared" si="179"/>
        <v>0.99985551733629263</v>
      </c>
      <c r="Q896" s="39">
        <f t="shared" si="179"/>
        <v>0.99996387128729913</v>
      </c>
      <c r="R896" s="39">
        <f t="shared" si="179"/>
        <v>0.99999172650532098</v>
      </c>
      <c r="S896" s="39">
        <f t="shared" si="179"/>
        <v>0.99999826145383053</v>
      </c>
      <c r="T896" s="39">
        <f t="shared" si="179"/>
        <v>0.99999966420258379</v>
      </c>
      <c r="U896" s="39">
        <f t="shared" si="179"/>
        <v>0.99999994029980499</v>
      </c>
      <c r="V896" s="39">
        <f t="shared" si="179"/>
        <v>0.99999999021902419</v>
      </c>
      <c r="W896" s="37">
        <v>0.107</v>
      </c>
    </row>
    <row r="897" spans="2:23" x14ac:dyDescent="0.25">
      <c r="B897" s="39">
        <f t="shared" si="178"/>
        <v>3.6310430748982066E-3</v>
      </c>
      <c r="C897" s="39">
        <f t="shared" si="178"/>
        <v>2.5324836176640608E-2</v>
      </c>
      <c r="D897" s="39">
        <f t="shared" si="178"/>
        <v>8.8717362611138828E-2</v>
      </c>
      <c r="E897" s="39">
        <f t="shared" si="178"/>
        <v>0.20946976072251519</v>
      </c>
      <c r="F897" s="39">
        <f t="shared" si="178"/>
        <v>0.37807514275655335</v>
      </c>
      <c r="G897" s="39">
        <f t="shared" si="178"/>
        <v>0.56206588965734872</v>
      </c>
      <c r="H897" s="39">
        <f t="shared" si="178"/>
        <v>0.72544319182219386</v>
      </c>
      <c r="I897" s="39">
        <f t="shared" si="178"/>
        <v>0.8468037078613514</v>
      </c>
      <c r="J897" s="39">
        <f t="shared" si="178"/>
        <v>0.92374905264762175</v>
      </c>
      <c r="K897" s="39">
        <f t="shared" si="178"/>
        <v>0.96602660436929089</v>
      </c>
      <c r="L897" s="39">
        <f t="shared" si="179"/>
        <v>0.98639737386427817</v>
      </c>
      <c r="M897" s="39">
        <f t="shared" si="179"/>
        <v>0.99508658505915426</v>
      </c>
      <c r="N897" s="39">
        <f t="shared" si="179"/>
        <v>0.99839302014391285</v>
      </c>
      <c r="O897" s="39">
        <f t="shared" si="179"/>
        <v>0.99952251956313465</v>
      </c>
      <c r="P897" s="39">
        <f t="shared" si="179"/>
        <v>0.99987072355843398</v>
      </c>
      <c r="Q897" s="39">
        <f t="shared" si="179"/>
        <v>0.99996802205323299</v>
      </c>
      <c r="R897" s="39">
        <f t="shared" si="179"/>
        <v>0.99999275644232222</v>
      </c>
      <c r="S897" s="39">
        <f t="shared" si="179"/>
        <v>0.99999849447283151</v>
      </c>
      <c r="T897" s="39">
        <f t="shared" si="179"/>
        <v>0.99999971239463981</v>
      </c>
      <c r="U897" s="39">
        <f t="shared" si="179"/>
        <v>0.99999994942999881</v>
      </c>
      <c r="V897" s="39">
        <f t="shared" si="179"/>
        <v>0.99999999180631427</v>
      </c>
      <c r="W897" s="37">
        <v>0.106</v>
      </c>
    </row>
    <row r="898" spans="2:23" x14ac:dyDescent="0.25">
      <c r="B898" s="39">
        <f t="shared" si="178"/>
        <v>3.8123061554656292E-3</v>
      </c>
      <c r="C898" s="39">
        <f t="shared" si="178"/>
        <v>2.6380263338016574E-2</v>
      </c>
      <c r="D898" s="39">
        <f t="shared" si="178"/>
        <v>9.1721807143022943E-2</v>
      </c>
      <c r="E898" s="39">
        <f t="shared" si="178"/>
        <v>0.2150424672820497</v>
      </c>
      <c r="F898" s="39">
        <f t="shared" si="178"/>
        <v>0.38564850864590733</v>
      </c>
      <c r="G898" s="39">
        <f t="shared" si="178"/>
        <v>0.57010586568717447</v>
      </c>
      <c r="H898" s="39">
        <f t="shared" si="178"/>
        <v>0.73238506543022375</v>
      </c>
      <c r="I898" s="39">
        <f t="shared" si="178"/>
        <v>0.85181516116427525</v>
      </c>
      <c r="J898" s="39">
        <f t="shared" si="178"/>
        <v>0.92683532634175703</v>
      </c>
      <c r="K898" s="39">
        <f t="shared" si="178"/>
        <v>0.9676727980464197</v>
      </c>
      <c r="L898" s="39">
        <f t="shared" si="179"/>
        <v>0.98716692695001673</v>
      </c>
      <c r="M898" s="39">
        <f t="shared" si="179"/>
        <v>0.99540485784322719</v>
      </c>
      <c r="N898" s="39">
        <f t="shared" si="179"/>
        <v>0.99851036957713513</v>
      </c>
      <c r="O898" s="39">
        <f t="shared" si="179"/>
        <v>0.99956133526679791</v>
      </c>
      <c r="P898" s="39">
        <f t="shared" si="179"/>
        <v>0.99988230167133729</v>
      </c>
      <c r="Q898" s="39">
        <f t="shared" si="179"/>
        <v>0.99997114998285141</v>
      </c>
      <c r="R898" s="39">
        <f t="shared" si="179"/>
        <v>0.99999352458812907</v>
      </c>
      <c r="S898" s="39">
        <f t="shared" si="179"/>
        <v>0.99999866646971647</v>
      </c>
      <c r="T898" s="39">
        <f t="shared" si="179"/>
        <v>0.99999974759871024</v>
      </c>
      <c r="U898" s="39">
        <f t="shared" si="179"/>
        <v>0.99999995603050906</v>
      </c>
      <c r="V898" s="39">
        <f t="shared" si="179"/>
        <v>0.99999999294191533</v>
      </c>
      <c r="W898" s="37">
        <v>0.105</v>
      </c>
    </row>
    <row r="899" spans="2:23" x14ac:dyDescent="0.25">
      <c r="B899" s="39">
        <f t="shared" si="178"/>
        <v>4.0415525961955854E-3</v>
      </c>
      <c r="C899" s="39">
        <f t="shared" si="178"/>
        <v>2.7701540918333496E-2</v>
      </c>
      <c r="D899" s="39">
        <f t="shared" si="178"/>
        <v>9.5444845375562734E-2</v>
      </c>
      <c r="E899" s="39">
        <f t="shared" si="178"/>
        <v>0.22187783564040348</v>
      </c>
      <c r="F899" s="39">
        <f t="shared" si="178"/>
        <v>0.39484330366632225</v>
      </c>
      <c r="G899" s="39">
        <f t="shared" si="178"/>
        <v>0.57976771225497203</v>
      </c>
      <c r="H899" s="39">
        <f t="shared" si="178"/>
        <v>0.740642197758277</v>
      </c>
      <c r="I899" s="39">
        <f t="shared" si="178"/>
        <v>0.8577152461141716</v>
      </c>
      <c r="J899" s="39">
        <f t="shared" si="178"/>
        <v>0.93043170909845019</v>
      </c>
      <c r="K899" s="39">
        <f t="shared" si="178"/>
        <v>0.96957144463916811</v>
      </c>
      <c r="L899" s="39">
        <f t="shared" si="179"/>
        <v>0.98804539981438699</v>
      </c>
      <c r="M899" s="39">
        <f t="shared" si="179"/>
        <v>0.99576445035757433</v>
      </c>
      <c r="N899" s="39">
        <f t="shared" si="179"/>
        <v>0.99864159207554404</v>
      </c>
      <c r="O899" s="39">
        <f t="shared" si="179"/>
        <v>0.99960429343101376</v>
      </c>
      <c r="P899" s="39">
        <f t="shared" si="179"/>
        <v>0.99989498349576178</v>
      </c>
      <c r="Q899" s="39">
        <f t="shared" si="179"/>
        <v>0.99997454077664016</v>
      </c>
      <c r="R899" s="39">
        <f t="shared" si="179"/>
        <v>0.9999943486944578</v>
      </c>
      <c r="S899" s="39">
        <f t="shared" si="179"/>
        <v>0.9999988490904389</v>
      </c>
      <c r="T899" s="39">
        <f t="shared" si="179"/>
        <v>0.9999997845906361</v>
      </c>
      <c r="U899" s="39">
        <f t="shared" si="179"/>
        <v>0.99999996289440729</v>
      </c>
      <c r="V899" s="39">
        <f t="shared" si="179"/>
        <v>0.99999999411058849</v>
      </c>
      <c r="W899" s="37">
        <v>0.104</v>
      </c>
    </row>
    <row r="900" spans="2:23" x14ac:dyDescent="0.25">
      <c r="B900" s="39">
        <f t="shared" si="178"/>
        <v>4.284292520961722E-3</v>
      </c>
      <c r="C900" s="39">
        <f t="shared" si="178"/>
        <v>2.9085009671784658E-2</v>
      </c>
      <c r="D900" s="39">
        <f t="shared" si="178"/>
        <v>9.929964983487953E-2</v>
      </c>
      <c r="E900" s="39">
        <f t="shared" si="178"/>
        <v>0.22887608179862426</v>
      </c>
      <c r="F900" s="39">
        <f t="shared" si="178"/>
        <v>0.40415190903543569</v>
      </c>
      <c r="G900" s="39">
        <f t="shared" si="178"/>
        <v>0.58943959000126356</v>
      </c>
      <c r="H900" s="39">
        <f t="shared" si="178"/>
        <v>0.74881518451253593</v>
      </c>
      <c r="I900" s="39">
        <f t="shared" si="178"/>
        <v>0.86348960102237537</v>
      </c>
      <c r="J900" s="39">
        <f t="shared" si="178"/>
        <v>0.93391185553628964</v>
      </c>
      <c r="K900" s="39">
        <f t="shared" si="178"/>
        <v>0.97138802606708574</v>
      </c>
      <c r="L900" s="39">
        <f t="shared" si="179"/>
        <v>0.98887641872328114</v>
      </c>
      <c r="M900" s="39">
        <f t="shared" si="179"/>
        <v>0.99610077422428167</v>
      </c>
      <c r="N900" s="39">
        <f t="shared" si="179"/>
        <v>0.99876293444834996</v>
      </c>
      <c r="O900" s="39">
        <f t="shared" si="179"/>
        <v>0.99964356693504464</v>
      </c>
      <c r="P900" s="39">
        <f t="shared" si="179"/>
        <v>0.99990644596084055</v>
      </c>
      <c r="Q900" s="39">
        <f t="shared" si="179"/>
        <v>0.99997757070660498</v>
      </c>
      <c r="R900" s="39">
        <f t="shared" si="179"/>
        <v>0.9999950767121385</v>
      </c>
      <c r="S900" s="39">
        <f t="shared" si="179"/>
        <v>0.99999900857869861</v>
      </c>
      <c r="T900" s="39">
        <f t="shared" si="179"/>
        <v>0.99999981652792758</v>
      </c>
      <c r="U900" s="39">
        <f t="shared" si="179"/>
        <v>0.99999996875264408</v>
      </c>
      <c r="V900" s="39">
        <f t="shared" si="179"/>
        <v>0.99999999509661019</v>
      </c>
      <c r="W900" s="37">
        <v>0.10299999999999999</v>
      </c>
    </row>
    <row r="901" spans="2:23" x14ac:dyDescent="0.25">
      <c r="B901" s="39">
        <f t="shared" si="178"/>
        <v>4.5413030209149399E-3</v>
      </c>
      <c r="C901" s="39">
        <f t="shared" si="178"/>
        <v>3.0533355217454254E-2</v>
      </c>
      <c r="D901" s="39">
        <f t="shared" si="178"/>
        <v>0.10328981717606507</v>
      </c>
      <c r="E901" s="39">
        <f t="shared" si="178"/>
        <v>0.23603844952160041</v>
      </c>
      <c r="F901" s="39">
        <f t="shared" si="178"/>
        <v>0.41357131156702331</v>
      </c>
      <c r="G901" s="39">
        <f t="shared" si="178"/>
        <v>0.59911598398846255</v>
      </c>
      <c r="H901" s="39">
        <f t="shared" si="178"/>
        <v>0.75689944300260348</v>
      </c>
      <c r="I901" s="39">
        <f t="shared" si="178"/>
        <v>0.86913652759933913</v>
      </c>
      <c r="J901" s="39">
        <f t="shared" si="178"/>
        <v>0.93727656873474807</v>
      </c>
      <c r="K901" s="39">
        <f t="shared" si="178"/>
        <v>0.97312438632584497</v>
      </c>
      <c r="L901" s="39">
        <f t="shared" si="179"/>
        <v>0.98966169567515039</v>
      </c>
      <c r="M901" s="39">
        <f t="shared" si="179"/>
        <v>0.99641496188736545</v>
      </c>
      <c r="N901" s="39">
        <f t="shared" si="179"/>
        <v>0.9988749958140567</v>
      </c>
      <c r="O901" s="39">
        <f t="shared" si="179"/>
        <v>0.99967942175386826</v>
      </c>
      <c r="P901" s="39">
        <f t="shared" si="179"/>
        <v>0.99991679077753948</v>
      </c>
      <c r="Q901" s="39">
        <f t="shared" si="179"/>
        <v>0.99998027383497878</v>
      </c>
      <c r="R901" s="39">
        <f t="shared" si="179"/>
        <v>0.99999571874565751</v>
      </c>
      <c r="S901" s="39">
        <f t="shared" si="179"/>
        <v>0.99999914761190856</v>
      </c>
      <c r="T901" s="39">
        <f t="shared" si="179"/>
        <v>0.99999984404829967</v>
      </c>
      <c r="U901" s="39">
        <f t="shared" si="179"/>
        <v>0.9999999737424291</v>
      </c>
      <c r="V901" s="39">
        <f t="shared" si="179"/>
        <v>0.99999999592675226</v>
      </c>
      <c r="W901" s="37">
        <v>0.10199999999999999</v>
      </c>
    </row>
    <row r="902" spans="2:23" x14ac:dyDescent="0.25">
      <c r="B902" s="39">
        <f t="shared" si="178"/>
        <v>4.7669704101650622E-3</v>
      </c>
      <c r="C902" s="39">
        <f t="shared" si="178"/>
        <v>3.1791875716185566E-2</v>
      </c>
      <c r="D902" s="39">
        <f t="shared" si="178"/>
        <v>0.1067209786726617</v>
      </c>
      <c r="E902" s="39">
        <f t="shared" si="178"/>
        <v>0.24213326210715058</v>
      </c>
      <c r="F902" s="39">
        <f t="shared" si="178"/>
        <v>0.42150312528388029</v>
      </c>
      <c r="G902" s="39">
        <f t="shared" si="178"/>
        <v>0.60717904205019857</v>
      </c>
      <c r="H902" s="39">
        <f t="shared" si="178"/>
        <v>0.76356528763335241</v>
      </c>
      <c r="I902" s="39">
        <f t="shared" si="178"/>
        <v>0.8737438384369951</v>
      </c>
      <c r="J902" s="39">
        <f t="shared" si="178"/>
        <v>0.9399929792108298</v>
      </c>
      <c r="K902" s="39">
        <f t="shared" si="178"/>
        <v>0.9745114318632665</v>
      </c>
      <c r="L902" s="39">
        <f t="shared" si="179"/>
        <v>0.99028237717955769</v>
      </c>
      <c r="M902" s="39">
        <f t="shared" si="179"/>
        <v>0.99666067122153434</v>
      </c>
      <c r="N902" s="39">
        <f t="shared" si="179"/>
        <v>0.99896170527448891</v>
      </c>
      <c r="O902" s="39">
        <f t="shared" si="179"/>
        <v>0.99970687082112863</v>
      </c>
      <c r="P902" s="39">
        <f t="shared" si="179"/>
        <v>0.99992462622412404</v>
      </c>
      <c r="Q902" s="39">
        <f t="shared" si="179"/>
        <v>0.99998229946394601</v>
      </c>
      <c r="R902" s="39">
        <f t="shared" si="179"/>
        <v>0.99999619473206303</v>
      </c>
      <c r="S902" s="39">
        <f t="shared" si="179"/>
        <v>0.99999924958611408</v>
      </c>
      <c r="T902" s="39">
        <f t="shared" si="179"/>
        <v>0.99999986401711494</v>
      </c>
      <c r="U902" s="39">
        <f t="shared" si="179"/>
        <v>0.99999997732419588</v>
      </c>
      <c r="V902" s="39">
        <f t="shared" si="179"/>
        <v>0.9999999965162425</v>
      </c>
      <c r="W902" s="37">
        <v>0.10100000000000001</v>
      </c>
    </row>
    <row r="903" spans="2:23" x14ac:dyDescent="0.25">
      <c r="B903" s="39">
        <f t="shared" ref="B903:K912" si="180">_xlfn.HYPGEOM.DIST(B$2,comau,tongtheN*$W903,tongtheN,TRUE)</f>
        <v>5.0523088250757561E-3</v>
      </c>
      <c r="C903" s="39">
        <f t="shared" si="180"/>
        <v>3.336647386928316E-2</v>
      </c>
      <c r="D903" s="39">
        <f t="shared" si="180"/>
        <v>0.11096876960085351</v>
      </c>
      <c r="E903" s="39">
        <f t="shared" si="180"/>
        <v>0.24959928584258517</v>
      </c>
      <c r="F903" s="39">
        <f t="shared" si="180"/>
        <v>0.43111710152257721</v>
      </c>
      <c r="G903" s="39">
        <f t="shared" si="180"/>
        <v>0.61684903876434061</v>
      </c>
      <c r="H903" s="39">
        <f t="shared" si="180"/>
        <v>0.77147520930047031</v>
      </c>
      <c r="I903" s="39">
        <f t="shared" si="180"/>
        <v>0.87915324226024094</v>
      </c>
      <c r="J903" s="39">
        <f t="shared" si="180"/>
        <v>0.94314854036621454</v>
      </c>
      <c r="K903" s="39">
        <f t="shared" si="180"/>
        <v>0.97610564227274232</v>
      </c>
      <c r="L903" s="39">
        <f t="shared" ref="L903:V912" si="181">_xlfn.HYPGEOM.DIST(L$2,comau,tongtheN*$W903,tongtheN,TRUE)</f>
        <v>0.99098819371060287</v>
      </c>
      <c r="M903" s="39">
        <f t="shared" si="181"/>
        <v>0.99693711520556494</v>
      </c>
      <c r="N903" s="39">
        <f t="shared" si="181"/>
        <v>0.99905822337937555</v>
      </c>
      <c r="O903" s="39">
        <f t="shared" si="181"/>
        <v>0.99973709963015744</v>
      </c>
      <c r="P903" s="39">
        <f t="shared" si="181"/>
        <v>0.99993316317247161</v>
      </c>
      <c r="Q903" s="39">
        <f t="shared" si="181"/>
        <v>0.9999844828902813</v>
      </c>
      <c r="R903" s="39">
        <f t="shared" si="181"/>
        <v>0.99999670231523274</v>
      </c>
      <c r="S903" s="39">
        <f t="shared" si="181"/>
        <v>0.9999993571660466</v>
      </c>
      <c r="T903" s="39">
        <f t="shared" si="181"/>
        <v>0.99999988485798008</v>
      </c>
      <c r="U903" s="39">
        <f t="shared" si="181"/>
        <v>0.99999998102228582</v>
      </c>
      <c r="V903" s="39">
        <f t="shared" si="181"/>
        <v>0.99999999711834109</v>
      </c>
      <c r="W903" s="37">
        <v>0.1</v>
      </c>
    </row>
    <row r="904" spans="2:23" x14ac:dyDescent="0.25">
      <c r="B904" s="39">
        <f t="shared" si="180"/>
        <v>5.3543653457770544E-3</v>
      </c>
      <c r="C904" s="39">
        <f t="shared" si="180"/>
        <v>3.5014115074571278E-2</v>
      </c>
      <c r="D904" s="39">
        <f t="shared" si="180"/>
        <v>0.11536229639875631</v>
      </c>
      <c r="E904" s="39">
        <f t="shared" si="180"/>
        <v>0.25723217630436973</v>
      </c>
      <c r="F904" s="39">
        <f t="shared" si="180"/>
        <v>0.44083213889201028</v>
      </c>
      <c r="G904" s="39">
        <f t="shared" si="180"/>
        <v>0.62650736227254311</v>
      </c>
      <c r="H904" s="39">
        <f t="shared" si="180"/>
        <v>0.77928382034535981</v>
      </c>
      <c r="I904" s="39">
        <f t="shared" si="180"/>
        <v>0.88443124202589385</v>
      </c>
      <c r="J904" s="39">
        <f t="shared" si="180"/>
        <v>0.94619157615497129</v>
      </c>
      <c r="K904" s="39">
        <f t="shared" si="180"/>
        <v>0.97762506531517435</v>
      </c>
      <c r="L904" s="39">
        <f t="shared" si="181"/>
        <v>0.99165303745669231</v>
      </c>
      <c r="M904" s="39">
        <f t="shared" si="181"/>
        <v>0.99719446371487064</v>
      </c>
      <c r="N904" s="39">
        <f t="shared" si="181"/>
        <v>0.99914702115368859</v>
      </c>
      <c r="O904" s="39">
        <f t="shared" si="181"/>
        <v>0.99976458395753542</v>
      </c>
      <c r="P904" s="39">
        <f t="shared" si="181"/>
        <v>0.99994083377507936</v>
      </c>
      <c r="Q904" s="39">
        <f t="shared" si="181"/>
        <v>0.99998642163251894</v>
      </c>
      <c r="R904" s="39">
        <f t="shared" si="181"/>
        <v>0.99999714769999426</v>
      </c>
      <c r="S904" s="39">
        <f t="shared" si="181"/>
        <v>0.99999945044805905</v>
      </c>
      <c r="T904" s="39">
        <f t="shared" si="181"/>
        <v>0.99999990271515449</v>
      </c>
      <c r="U904" s="39">
        <f t="shared" si="181"/>
        <v>0.99999998415338365</v>
      </c>
      <c r="V904" s="39">
        <f t="shared" si="181"/>
        <v>0.99999999762207459</v>
      </c>
      <c r="W904" s="37">
        <v>9.9000000000000005E-2</v>
      </c>
    </row>
    <row r="905" spans="2:23" x14ac:dyDescent="0.25">
      <c r="B905" s="39">
        <f t="shared" si="180"/>
        <v>5.6740983630418186E-3</v>
      </c>
      <c r="C905" s="39">
        <f t="shared" si="180"/>
        <v>3.673788672215255E-2</v>
      </c>
      <c r="D905" s="39">
        <f t="shared" si="180"/>
        <v>0.11990527118088577</v>
      </c>
      <c r="E905" s="39">
        <f t="shared" si="180"/>
        <v>0.26503259915545035</v>
      </c>
      <c r="F905" s="39">
        <f t="shared" si="180"/>
        <v>0.45064436946517805</v>
      </c>
      <c r="G905" s="39">
        <f t="shared" si="180"/>
        <v>0.63614812128587861</v>
      </c>
      <c r="H905" s="39">
        <f t="shared" si="180"/>
        <v>0.78698684888639947</v>
      </c>
      <c r="I905" s="39">
        <f t="shared" si="180"/>
        <v>0.88957673891238387</v>
      </c>
      <c r="J905" s="39">
        <f t="shared" si="180"/>
        <v>0.9491233280945367</v>
      </c>
      <c r="K905" s="39">
        <f t="shared" si="180"/>
        <v>0.97907168050093818</v>
      </c>
      <c r="L905" s="39">
        <f t="shared" si="181"/>
        <v>0.99227855567550538</v>
      </c>
      <c r="M905" s="39">
        <f t="shared" si="181"/>
        <v>0.99743372915965056</v>
      </c>
      <c r="N905" s="39">
        <f t="shared" si="181"/>
        <v>0.99922860237630695</v>
      </c>
      <c r="O905" s="39">
        <f t="shared" si="181"/>
        <v>0.99978953535493575</v>
      </c>
      <c r="P905" s="39">
        <f t="shared" si="181"/>
        <v>0.99994771479273725</v>
      </c>
      <c r="Q905" s="39">
        <f t="shared" si="181"/>
        <v>0.99998814012824522</v>
      </c>
      <c r="R905" s="39">
        <f t="shared" si="181"/>
        <v>0.99999753778627098</v>
      </c>
      <c r="S905" s="39">
        <f t="shared" si="181"/>
        <v>0.99999953117376783</v>
      </c>
      <c r="T905" s="39">
        <f t="shared" si="181"/>
        <v>0.99999991798402876</v>
      </c>
      <c r="U905" s="39">
        <f t="shared" si="181"/>
        <v>0.99999998679861035</v>
      </c>
      <c r="V905" s="39">
        <f t="shared" si="181"/>
        <v>0.99999999804254036</v>
      </c>
      <c r="W905" s="37">
        <v>9.8000000000000004E-2</v>
      </c>
    </row>
    <row r="906" spans="2:23" x14ac:dyDescent="0.25">
      <c r="B906" s="39">
        <f t="shared" si="180"/>
        <v>5.9547739381426964E-3</v>
      </c>
      <c r="C906" s="39">
        <f t="shared" si="180"/>
        <v>3.8234822730052798E-2</v>
      </c>
      <c r="D906" s="39">
        <f t="shared" si="180"/>
        <v>0.12380793636864156</v>
      </c>
      <c r="E906" s="39">
        <f t="shared" si="180"/>
        <v>0.27166128820018542</v>
      </c>
      <c r="F906" s="39">
        <f t="shared" si="180"/>
        <v>0.45889252439236922</v>
      </c>
      <c r="G906" s="39">
        <f t="shared" si="180"/>
        <v>0.6441643639267286</v>
      </c>
      <c r="H906" s="39">
        <f t="shared" si="180"/>
        <v>0.79332237463497524</v>
      </c>
      <c r="I906" s="39">
        <f t="shared" si="180"/>
        <v>0.89376275534436389</v>
      </c>
      <c r="J906" s="39">
        <f t="shared" si="180"/>
        <v>0.95148241630984076</v>
      </c>
      <c r="K906" s="39">
        <f t="shared" si="180"/>
        <v>0.98022302208622125</v>
      </c>
      <c r="L906" s="39">
        <f t="shared" si="181"/>
        <v>0.9927709535529663</v>
      </c>
      <c r="M906" s="39">
        <f t="shared" si="181"/>
        <v>0.99762001164274428</v>
      </c>
      <c r="N906" s="39">
        <f t="shared" si="181"/>
        <v>0.99929142105979374</v>
      </c>
      <c r="O906" s="39">
        <f t="shared" si="181"/>
        <v>0.99980853698237637</v>
      </c>
      <c r="P906" s="39">
        <f t="shared" si="181"/>
        <v>0.99995289726024184</v>
      </c>
      <c r="Q906" s="39">
        <f t="shared" si="181"/>
        <v>0.99998942013131498</v>
      </c>
      <c r="R906" s="39">
        <f t="shared" si="181"/>
        <v>0.99999782512388447</v>
      </c>
      <c r="S906" s="39">
        <f t="shared" si="181"/>
        <v>0.99999958997731264</v>
      </c>
      <c r="T906" s="39">
        <f t="shared" si="181"/>
        <v>0.99999992898292311</v>
      </c>
      <c r="U906" s="39">
        <f t="shared" si="181"/>
        <v>0.99999998868289186</v>
      </c>
      <c r="V906" s="39">
        <f t="shared" si="181"/>
        <v>0.99999999833871289</v>
      </c>
      <c r="W906" s="37">
        <v>9.7000000000000003E-2</v>
      </c>
    </row>
    <row r="907" spans="2:23" x14ac:dyDescent="0.25">
      <c r="B907" s="39">
        <f t="shared" si="180"/>
        <v>6.3095833734908039E-3</v>
      </c>
      <c r="C907" s="39">
        <f t="shared" si="180"/>
        <v>4.0106557468225543E-2</v>
      </c>
      <c r="D907" s="39">
        <f t="shared" si="180"/>
        <v>0.12863459885059866</v>
      </c>
      <c r="E907" s="39">
        <f t="shared" si="180"/>
        <v>0.27977000025009546</v>
      </c>
      <c r="F907" s="39">
        <f t="shared" si="180"/>
        <v>0.468872136076668</v>
      </c>
      <c r="G907" s="39">
        <f t="shared" si="180"/>
        <v>0.6537573601635539</v>
      </c>
      <c r="H907" s="39">
        <f t="shared" si="180"/>
        <v>0.80082108592262125</v>
      </c>
      <c r="I907" s="39">
        <f t="shared" si="180"/>
        <v>0.89866301846268193</v>
      </c>
      <c r="J907" s="39">
        <f t="shared" si="180"/>
        <v>0.95421372682444328</v>
      </c>
      <c r="K907" s="39">
        <f t="shared" si="180"/>
        <v>0.98154138026095106</v>
      </c>
      <c r="L907" s="39">
        <f t="shared" si="181"/>
        <v>0.99332857775172401</v>
      </c>
      <c r="M907" s="39">
        <f t="shared" si="181"/>
        <v>0.99782864682118178</v>
      </c>
      <c r="N907" s="39">
        <f t="shared" si="181"/>
        <v>0.99936100167636244</v>
      </c>
      <c r="O907" s="39">
        <f t="shared" si="181"/>
        <v>0.99982935157842912</v>
      </c>
      <c r="P907" s="39">
        <f t="shared" si="181"/>
        <v>0.99995851142719783</v>
      </c>
      <c r="Q907" s="39">
        <f t="shared" si="181"/>
        <v>0.99999079140794878</v>
      </c>
      <c r="R907" s="39">
        <f t="shared" si="181"/>
        <v>0.99999812953859324</v>
      </c>
      <c r="S907" s="39">
        <f t="shared" si="181"/>
        <v>0.99999965158423099</v>
      </c>
      <c r="T907" s="39">
        <f t="shared" si="181"/>
        <v>0.99999994037811268</v>
      </c>
      <c r="U907" s="39">
        <f t="shared" si="181"/>
        <v>0.99999999061334188</v>
      </c>
      <c r="V907" s="39">
        <f t="shared" si="181"/>
        <v>0.99999999863876143</v>
      </c>
      <c r="W907" s="37">
        <v>9.6000000000000002E-2</v>
      </c>
    </row>
    <row r="908" spans="2:23" x14ac:dyDescent="0.25">
      <c r="B908" s="39">
        <f t="shared" si="180"/>
        <v>6.6850864267778073E-3</v>
      </c>
      <c r="C908" s="39">
        <f t="shared" si="180"/>
        <v>4.2063784912144131E-2</v>
      </c>
      <c r="D908" s="39">
        <f t="shared" si="180"/>
        <v>0.13362131047583992</v>
      </c>
      <c r="E908" s="39">
        <f t="shared" si="180"/>
        <v>0.28804715630087518</v>
      </c>
      <c r="F908" s="39">
        <f t="shared" si="180"/>
        <v>0.47893673404475789</v>
      </c>
      <c r="G908" s="39">
        <f t="shared" si="180"/>
        <v>0.66331569277974323</v>
      </c>
      <c r="H908" s="39">
        <f t="shared" si="180"/>
        <v>0.80820269592254534</v>
      </c>
      <c r="I908" s="39">
        <f t="shared" si="180"/>
        <v>0.9034285566219562</v>
      </c>
      <c r="J908" s="39">
        <f t="shared" si="180"/>
        <v>0.95683784370988667</v>
      </c>
      <c r="K908" s="39">
        <f t="shared" si="180"/>
        <v>0.98279266598999504</v>
      </c>
      <c r="L908" s="39">
        <f t="shared" si="181"/>
        <v>0.99385141564915336</v>
      </c>
      <c r="M908" s="39">
        <f t="shared" si="181"/>
        <v>0.99802189113422524</v>
      </c>
      <c r="N908" s="39">
        <f t="shared" si="181"/>
        <v>0.99942466547193431</v>
      </c>
      <c r="O908" s="39">
        <f t="shared" si="181"/>
        <v>0.9998481641693745</v>
      </c>
      <c r="P908" s="39">
        <f t="shared" si="181"/>
        <v>0.99996352368717345</v>
      </c>
      <c r="Q908" s="39">
        <f t="shared" si="181"/>
        <v>0.99999200070283689</v>
      </c>
      <c r="R908" s="39">
        <f t="shared" si="181"/>
        <v>0.99999839470765628</v>
      </c>
      <c r="S908" s="39">
        <f t="shared" si="181"/>
        <v>0.99999970459058796</v>
      </c>
      <c r="T908" s="39">
        <f t="shared" si="181"/>
        <v>0.99999995006205988</v>
      </c>
      <c r="U908" s="39">
        <f t="shared" si="181"/>
        <v>0.99999999223370706</v>
      </c>
      <c r="V908" s="39">
        <f t="shared" si="181"/>
        <v>0.99999999888751001</v>
      </c>
      <c r="W908" s="37">
        <v>9.5000000000000001E-2</v>
      </c>
    </row>
    <row r="909" spans="2:23" x14ac:dyDescent="0.25">
      <c r="B909" s="39">
        <f t="shared" si="180"/>
        <v>7.0824639861559778E-3</v>
      </c>
      <c r="C909" s="39">
        <f t="shared" si="180"/>
        <v>4.4110034690740256E-2</v>
      </c>
      <c r="D909" s="39">
        <f t="shared" si="180"/>
        <v>0.13877182414419909</v>
      </c>
      <c r="E909" s="39">
        <f t="shared" si="180"/>
        <v>0.29649270363543362</v>
      </c>
      <c r="F909" s="39">
        <f t="shared" si="180"/>
        <v>0.48908156585367613</v>
      </c>
      <c r="G909" s="39">
        <f t="shared" si="180"/>
        <v>0.6728332102922634</v>
      </c>
      <c r="H909" s="39">
        <f t="shared" si="180"/>
        <v>0.81546337260991475</v>
      </c>
      <c r="I909" s="39">
        <f t="shared" si="180"/>
        <v>0.90805890545485479</v>
      </c>
      <c r="J909" s="39">
        <f t="shared" si="180"/>
        <v>0.95935640171970515</v>
      </c>
      <c r="K909" s="39">
        <f t="shared" si="180"/>
        <v>0.98397893594898034</v>
      </c>
      <c r="L909" s="39">
        <f t="shared" si="181"/>
        <v>0.99434101807533481</v>
      </c>
      <c r="M909" s="39">
        <f t="shared" si="181"/>
        <v>0.99820063199866127</v>
      </c>
      <c r="N909" s="39">
        <f t="shared" si="181"/>
        <v>0.99948282775236041</v>
      </c>
      <c r="O909" s="39">
        <f t="shared" si="181"/>
        <v>0.99986513958363488</v>
      </c>
      <c r="P909" s="39">
        <f t="shared" si="181"/>
        <v>0.99996799072158649</v>
      </c>
      <c r="Q909" s="39">
        <f t="shared" si="181"/>
        <v>0.99999306514704556</v>
      </c>
      <c r="R909" s="39">
        <f t="shared" si="181"/>
        <v>0.99999862522813898</v>
      </c>
      <c r="S909" s="39">
        <f t="shared" si="181"/>
        <v>0.9999997501000365</v>
      </c>
      <c r="T909" s="39">
        <f t="shared" si="181"/>
        <v>0.99999995827320853</v>
      </c>
      <c r="U909" s="39">
        <f t="shared" si="181"/>
        <v>0.99999999359056124</v>
      </c>
      <c r="V909" s="39">
        <f t="shared" si="181"/>
        <v>0.99999999909321291</v>
      </c>
      <c r="W909" s="37">
        <v>9.4E-2</v>
      </c>
    </row>
    <row r="910" spans="2:23" x14ac:dyDescent="0.25">
      <c r="B910" s="39">
        <f t="shared" si="180"/>
        <v>7.4312190816073712E-3</v>
      </c>
      <c r="C910" s="39">
        <f t="shared" si="180"/>
        <v>4.5885876619177909E-2</v>
      </c>
      <c r="D910" s="39">
        <f t="shared" si="180"/>
        <v>0.14319174991525982</v>
      </c>
      <c r="E910" s="39">
        <f t="shared" si="180"/>
        <v>0.30365910784649419</v>
      </c>
      <c r="F910" s="39">
        <f t="shared" si="180"/>
        <v>0.49759329269478431</v>
      </c>
      <c r="G910" s="39">
        <f t="shared" si="180"/>
        <v>0.68072882700338289</v>
      </c>
      <c r="H910" s="39">
        <f t="shared" si="180"/>
        <v>0.82141888591233236</v>
      </c>
      <c r="I910" s="39">
        <f t="shared" si="180"/>
        <v>0.91181404154690227</v>
      </c>
      <c r="J910" s="39">
        <f t="shared" si="180"/>
        <v>0.96137580893071339</v>
      </c>
      <c r="K910" s="39">
        <f t="shared" si="180"/>
        <v>0.98491932056242926</v>
      </c>
      <c r="L910" s="39">
        <f t="shared" si="181"/>
        <v>0.99472473027381103</v>
      </c>
      <c r="M910" s="39">
        <f t="shared" si="181"/>
        <v>0.99833912121141466</v>
      </c>
      <c r="N910" s="39">
        <f t="shared" si="181"/>
        <v>0.99952737834769323</v>
      </c>
      <c r="O910" s="39">
        <f t="shared" si="181"/>
        <v>0.99987799370411756</v>
      </c>
      <c r="P910" s="39">
        <f t="shared" si="181"/>
        <v>0.99997133452739184</v>
      </c>
      <c r="Q910" s="39">
        <f t="shared" si="181"/>
        <v>0.99999385279879538</v>
      </c>
      <c r="R910" s="39">
        <f t="shared" si="181"/>
        <v>0.99999879384470214</v>
      </c>
      <c r="S910" s="39">
        <f t="shared" si="181"/>
        <v>0.99999978300499925</v>
      </c>
      <c r="T910" s="39">
        <f t="shared" si="181"/>
        <v>0.99999996414164716</v>
      </c>
      <c r="U910" s="39">
        <f t="shared" si="181"/>
        <v>0.99999999454907929</v>
      </c>
      <c r="V910" s="39">
        <f t="shared" si="181"/>
        <v>0.99999999923684302</v>
      </c>
      <c r="W910" s="37">
        <v>9.2999999999999999E-2</v>
      </c>
    </row>
    <row r="911" spans="2:23" x14ac:dyDescent="0.25">
      <c r="B911" s="39">
        <f t="shared" si="180"/>
        <v>7.8719881328761076E-3</v>
      </c>
      <c r="C911" s="39">
        <f t="shared" si="180"/>
        <v>4.8104907230507178E-2</v>
      </c>
      <c r="D911" s="39">
        <f t="shared" si="180"/>
        <v>0.14865229403437269</v>
      </c>
      <c r="E911" s="39">
        <f t="shared" si="180"/>
        <v>0.3124125260989683</v>
      </c>
      <c r="F911" s="39">
        <f t="shared" si="180"/>
        <v>0.50787210532063176</v>
      </c>
      <c r="G911" s="39">
        <f t="shared" si="180"/>
        <v>0.69015539608368348</v>
      </c>
      <c r="H911" s="39">
        <f t="shared" si="180"/>
        <v>0.82844835511634529</v>
      </c>
      <c r="I911" s="39">
        <f t="shared" si="180"/>
        <v>0.91619589793653033</v>
      </c>
      <c r="J911" s="39">
        <f t="shared" si="180"/>
        <v>0.96370539549246093</v>
      </c>
      <c r="K911" s="39">
        <f t="shared" si="180"/>
        <v>0.98599176869605176</v>
      </c>
      <c r="L911" s="39">
        <f t="shared" si="181"/>
        <v>0.99515732930448264</v>
      </c>
      <c r="M911" s="39">
        <f t="shared" si="181"/>
        <v>0.9984934682607407</v>
      </c>
      <c r="N911" s="39">
        <f t="shared" si="181"/>
        <v>0.99957646140632728</v>
      </c>
      <c r="O911" s="39">
        <f t="shared" si="181"/>
        <v>0.99989199310475874</v>
      </c>
      <c r="P911" s="39">
        <f t="shared" si="181"/>
        <v>0.99997493442641128</v>
      </c>
      <c r="Q911" s="39">
        <f t="shared" si="181"/>
        <v>0.99999469102051286</v>
      </c>
      <c r="R911" s="39">
        <f t="shared" si="181"/>
        <v>0.99999897122013648</v>
      </c>
      <c r="S911" s="39">
        <f t="shared" si="181"/>
        <v>0.99999981721998521</v>
      </c>
      <c r="T911" s="39">
        <f t="shared" si="181"/>
        <v>0.99999997017324505</v>
      </c>
      <c r="U911" s="39">
        <f t="shared" si="181"/>
        <v>0.99999999552285312</v>
      </c>
      <c r="V911" s="39">
        <f t="shared" si="181"/>
        <v>0.99999999938106932</v>
      </c>
      <c r="W911" s="37">
        <v>9.1999999999999998E-2</v>
      </c>
    </row>
    <row r="912" spans="2:23" x14ac:dyDescent="0.25">
      <c r="B912" s="39">
        <f t="shared" si="180"/>
        <v>8.3383475109579819E-3</v>
      </c>
      <c r="C912" s="39">
        <f t="shared" si="180"/>
        <v>5.0423630652375553E-2</v>
      </c>
      <c r="D912" s="39">
        <f t="shared" si="180"/>
        <v>0.15428722378268267</v>
      </c>
      <c r="E912" s="39">
        <f t="shared" si="180"/>
        <v>0.32133300268203308</v>
      </c>
      <c r="F912" s="39">
        <f t="shared" si="180"/>
        <v>0.5182164252806275</v>
      </c>
      <c r="G912" s="39">
        <f t="shared" si="180"/>
        <v>0.69952350780452965</v>
      </c>
      <c r="H912" s="39">
        <f t="shared" si="180"/>
        <v>0.83534679855208371</v>
      </c>
      <c r="I912" s="39">
        <f t="shared" si="180"/>
        <v>0.92044216793327194</v>
      </c>
      <c r="J912" s="39">
        <f t="shared" si="180"/>
        <v>0.96593454857758687</v>
      </c>
      <c r="K912" s="39">
        <f t="shared" si="180"/>
        <v>0.98700507225358436</v>
      </c>
      <c r="L912" s="39">
        <f t="shared" si="181"/>
        <v>0.99556092047317446</v>
      </c>
      <c r="M912" s="39">
        <f t="shared" si="181"/>
        <v>0.99863564804994764</v>
      </c>
      <c r="N912" s="39">
        <f t="shared" si="181"/>
        <v>0.99962110355790135</v>
      </c>
      <c r="O912" s="39">
        <f t="shared" si="181"/>
        <v>0.9999045646138417</v>
      </c>
      <c r="P912" s="39">
        <f t="shared" si="181"/>
        <v>0.99997812613498838</v>
      </c>
      <c r="Q912" s="39">
        <f t="shared" si="181"/>
        <v>0.99999542475206493</v>
      </c>
      <c r="R912" s="39">
        <f t="shared" si="181"/>
        <v>0.99999912450791417</v>
      </c>
      <c r="S912" s="39">
        <f t="shared" si="181"/>
        <v>0.99999984641149453</v>
      </c>
      <c r="T912" s="39">
        <f t="shared" si="181"/>
        <v>0.99999997525354101</v>
      </c>
      <c r="U912" s="39">
        <f t="shared" si="181"/>
        <v>0.9999999963325481</v>
      </c>
      <c r="V912" s="39">
        <f t="shared" si="181"/>
        <v>0.9999999994994565</v>
      </c>
      <c r="W912" s="37">
        <v>9.0999999999999998E-2</v>
      </c>
    </row>
    <row r="913" spans="2:23" x14ac:dyDescent="0.25">
      <c r="B913" s="39">
        <f t="shared" ref="B913:K922" si="182">_xlfn.HYPGEOM.DIST(B$2,comau,tongtheN*$W913,tongtheN,TRUE)</f>
        <v>8.8317509130932583E-3</v>
      </c>
      <c r="C913" s="39">
        <f t="shared" si="182"/>
        <v>5.2846056983733049E-2</v>
      </c>
      <c r="D913" s="39">
        <f t="shared" si="182"/>
        <v>0.16010023317529881</v>
      </c>
      <c r="E913" s="39">
        <f t="shared" si="182"/>
        <v>0.33041961741026116</v>
      </c>
      <c r="F913" s="39">
        <f t="shared" si="182"/>
        <v>0.52862061238176328</v>
      </c>
      <c r="G913" s="39">
        <f t="shared" si="182"/>
        <v>0.70882689290882439</v>
      </c>
      <c r="H913" s="39">
        <f t="shared" si="182"/>
        <v>0.8421109498730428</v>
      </c>
      <c r="I913" s="39">
        <f t="shared" si="182"/>
        <v>0.9245530364519372</v>
      </c>
      <c r="J913" s="39">
        <f t="shared" si="182"/>
        <v>0.96806523784504939</v>
      </c>
      <c r="K913" s="39">
        <f t="shared" si="182"/>
        <v>0.98796130687782691</v>
      </c>
      <c r="L913" s="39">
        <f t="shared" ref="L913:V922" si="183">_xlfn.HYPGEOM.DIST(L$2,comau,tongtheN*$W913,tongtheN,TRUE)</f>
        <v>0.99593693239924519</v>
      </c>
      <c r="M913" s="39">
        <f t="shared" si="183"/>
        <v>0.99876642260640025</v>
      </c>
      <c r="N913" s="39">
        <f t="shared" si="183"/>
        <v>0.99966164005817437</v>
      </c>
      <c r="O913" s="39">
        <f t="shared" si="183"/>
        <v>0.99991583385238725</v>
      </c>
      <c r="P913" s="39">
        <f t="shared" si="183"/>
        <v>0.99998095053794889</v>
      </c>
      <c r="Q913" s="39">
        <f t="shared" si="183"/>
        <v>0.99999606570641097</v>
      </c>
      <c r="R913" s="39">
        <f t="shared" si="183"/>
        <v>0.99999925669044742</v>
      </c>
      <c r="S913" s="39">
        <f t="shared" si="183"/>
        <v>0.99999987125940437</v>
      </c>
      <c r="T913" s="39">
        <f t="shared" si="183"/>
        <v>0.99999997952207931</v>
      </c>
      <c r="U913" s="39">
        <f t="shared" si="183"/>
        <v>0.9999999970040675</v>
      </c>
      <c r="V913" s="39">
        <f t="shared" si="183"/>
        <v>0.99999999959636887</v>
      </c>
      <c r="W913" s="37">
        <v>0.09</v>
      </c>
    </row>
    <row r="914" spans="2:23" x14ac:dyDescent="0.25">
      <c r="B914" s="39">
        <f t="shared" si="182"/>
        <v>9.353732800473186E-3</v>
      </c>
      <c r="C914" s="39">
        <f t="shared" si="182"/>
        <v>5.5376327398227065E-2</v>
      </c>
      <c r="D914" s="39">
        <f t="shared" si="182"/>
        <v>0.16609498094676264</v>
      </c>
      <c r="E914" s="39">
        <f t="shared" si="182"/>
        <v>0.33967119861363171</v>
      </c>
      <c r="F914" s="39">
        <f t="shared" si="182"/>
        <v>0.53907879827001404</v>
      </c>
      <c r="G914" s="39">
        <f t="shared" si="182"/>
        <v>0.71805927796159519</v>
      </c>
      <c r="H914" s="39">
        <f t="shared" si="182"/>
        <v>0.84873770999447562</v>
      </c>
      <c r="I914" s="39">
        <f t="shared" si="182"/>
        <v>0.92852885748042147</v>
      </c>
      <c r="J914" s="39">
        <f t="shared" si="182"/>
        <v>0.97009950929561628</v>
      </c>
      <c r="K914" s="39">
        <f t="shared" si="182"/>
        <v>0.98886254385123662</v>
      </c>
      <c r="L914" s="39">
        <f t="shared" si="183"/>
        <v>0.99628675838770164</v>
      </c>
      <c r="M914" s="39">
        <f t="shared" si="183"/>
        <v>0.9988865217047973</v>
      </c>
      <c r="N914" s="39">
        <f t="shared" si="183"/>
        <v>0.99969838680281442</v>
      </c>
      <c r="O914" s="39">
        <f t="shared" si="183"/>
        <v>0.99992591740038539</v>
      </c>
      <c r="P914" s="39">
        <f t="shared" si="183"/>
        <v>0.99998344502723346</v>
      </c>
      <c r="Q914" s="39">
        <f t="shared" si="183"/>
        <v>0.99999662444444815</v>
      </c>
      <c r="R914" s="39">
        <f t="shared" si="183"/>
        <v>0.99999937041946785</v>
      </c>
      <c r="S914" s="39">
        <f t="shared" si="183"/>
        <v>0.99999989235992004</v>
      </c>
      <c r="T914" s="39">
        <f t="shared" si="183"/>
        <v>0.99999998309956761</v>
      </c>
      <c r="U914" s="39">
        <f t="shared" si="183"/>
        <v>0.99999999755951519</v>
      </c>
      <c r="V914" s="39">
        <f t="shared" si="183"/>
        <v>0.99999999967548014</v>
      </c>
      <c r="W914" s="37">
        <v>8.8999999999999996E-2</v>
      </c>
    </row>
    <row r="915" spans="2:23" x14ac:dyDescent="0.25">
      <c r="B915" s="39">
        <f t="shared" si="182"/>
        <v>9.8117142986929428E-3</v>
      </c>
      <c r="C915" s="39">
        <f t="shared" si="182"/>
        <v>5.7570346685763947E-2</v>
      </c>
      <c r="D915" s="39">
        <f t="shared" si="182"/>
        <v>0.17123204100377465</v>
      </c>
      <c r="E915" s="39">
        <f t="shared" si="182"/>
        <v>0.34750583948545044</v>
      </c>
      <c r="F915" s="39">
        <f t="shared" si="182"/>
        <v>0.54783081254407284</v>
      </c>
      <c r="G915" s="39">
        <f t="shared" si="182"/>
        <v>0.72569417503948275</v>
      </c>
      <c r="H915" s="39">
        <f t="shared" si="182"/>
        <v>0.85415294346365722</v>
      </c>
      <c r="I915" s="39">
        <f t="shared" si="182"/>
        <v>0.93173925205981334</v>
      </c>
      <c r="J915" s="39">
        <f t="shared" si="182"/>
        <v>0.97172260859905979</v>
      </c>
      <c r="K915" s="39">
        <f t="shared" si="182"/>
        <v>0.98957305138939544</v>
      </c>
      <c r="L915" s="39">
        <f t="shared" si="183"/>
        <v>0.99655925688859193</v>
      </c>
      <c r="M915" s="39">
        <f t="shared" si="183"/>
        <v>0.9989789538348971</v>
      </c>
      <c r="N915" s="39">
        <f t="shared" si="183"/>
        <v>0.99972632909403558</v>
      </c>
      <c r="O915" s="39">
        <f t="shared" si="183"/>
        <v>0.99993349279318666</v>
      </c>
      <c r="P915" s="39">
        <f t="shared" si="183"/>
        <v>0.99998529647191658</v>
      </c>
      <c r="Q915" s="39">
        <f t="shared" si="183"/>
        <v>0.99999703414190388</v>
      </c>
      <c r="R915" s="39">
        <f t="shared" si="183"/>
        <v>0.99999945280308011</v>
      </c>
      <c r="S915" s="39">
        <f t="shared" si="183"/>
        <v>0.99999990745952638</v>
      </c>
      <c r="T915" s="39">
        <f t="shared" si="183"/>
        <v>0.99999998562852943</v>
      </c>
      <c r="U915" s="39">
        <f t="shared" si="183"/>
        <v>0.99999999794738614</v>
      </c>
      <c r="V915" s="39">
        <f t="shared" si="183"/>
        <v>0.99999999973004983</v>
      </c>
      <c r="W915" s="37">
        <v>8.7999999999999995E-2</v>
      </c>
    </row>
    <row r="916" spans="2:23" x14ac:dyDescent="0.25">
      <c r="B916" s="39">
        <f t="shared" si="182"/>
        <v>1.0390361186714027E-2</v>
      </c>
      <c r="C916" s="39">
        <f t="shared" si="182"/>
        <v>6.0309530294344695E-2</v>
      </c>
      <c r="D916" s="39">
        <f t="shared" si="182"/>
        <v>0.17756932350018856</v>
      </c>
      <c r="E916" s="39">
        <f t="shared" si="182"/>
        <v>0.35705593948091341</v>
      </c>
      <c r="F916" s="39">
        <f t="shared" si="182"/>
        <v>0.55837200875659088</v>
      </c>
      <c r="G916" s="39">
        <f t="shared" si="182"/>
        <v>0.73478013354695126</v>
      </c>
      <c r="H916" s="39">
        <f t="shared" si="182"/>
        <v>0.86052035662036475</v>
      </c>
      <c r="I916" s="39">
        <f t="shared" si="182"/>
        <v>0.93546896249170985</v>
      </c>
      <c r="J916" s="39">
        <f t="shared" si="182"/>
        <v>0.97358566154167892</v>
      </c>
      <c r="K916" s="39">
        <f t="shared" si="182"/>
        <v>0.99037880955922564</v>
      </c>
      <c r="L916" s="39">
        <f t="shared" si="183"/>
        <v>0.99686457218242974</v>
      </c>
      <c r="M916" s="39">
        <f t="shared" si="183"/>
        <v>0.99908127094895716</v>
      </c>
      <c r="N916" s="39">
        <f t="shared" si="183"/>
        <v>0.99975688679310926</v>
      </c>
      <c r="O916" s="39">
        <f t="shared" si="183"/>
        <v>0.99994167724346161</v>
      </c>
      <c r="P916" s="39">
        <f t="shared" si="183"/>
        <v>0.99998727259140174</v>
      </c>
      <c r="Q916" s="39">
        <f t="shared" si="183"/>
        <v>0.99999746613437657</v>
      </c>
      <c r="R916" s="39">
        <f t="shared" si="183"/>
        <v>0.9999995386167585</v>
      </c>
      <c r="S916" s="39">
        <f t="shared" si="183"/>
        <v>0.99999992299685603</v>
      </c>
      <c r="T916" s="39">
        <f t="shared" si="183"/>
        <v>0.99999998819916414</v>
      </c>
      <c r="U916" s="39">
        <f t="shared" si="183"/>
        <v>0.99999999833684794</v>
      </c>
      <c r="V916" s="39">
        <f t="shared" si="183"/>
        <v>0.9999999997841752</v>
      </c>
      <c r="W916" s="37">
        <v>8.6999999999999994E-2</v>
      </c>
    </row>
    <row r="917" spans="2:23" x14ac:dyDescent="0.25">
      <c r="B917" s="39">
        <f t="shared" si="182"/>
        <v>1.1002412112485172E-2</v>
      </c>
      <c r="C917" s="39">
        <f t="shared" si="182"/>
        <v>6.3169021266509737E-2</v>
      </c>
      <c r="D917" s="39">
        <f t="shared" si="182"/>
        <v>0.18409843528511938</v>
      </c>
      <c r="E917" s="39">
        <f t="shared" si="182"/>
        <v>0.36676622880844217</v>
      </c>
      <c r="F917" s="39">
        <f t="shared" si="182"/>
        <v>0.56894936385694461</v>
      </c>
      <c r="G917" s="39">
        <f t="shared" si="182"/>
        <v>0.74377739939314225</v>
      </c>
      <c r="H917" s="39">
        <f t="shared" si="182"/>
        <v>0.86674257271286026</v>
      </c>
      <c r="I917" s="39">
        <f t="shared" si="182"/>
        <v>0.93906553671556769</v>
      </c>
      <c r="J917" s="39">
        <f t="shared" si="182"/>
        <v>0.97535846470085608</v>
      </c>
      <c r="K917" s="39">
        <f t="shared" si="182"/>
        <v>0.99113538277046176</v>
      </c>
      <c r="L917" s="39">
        <f t="shared" si="183"/>
        <v>0.99714744759078999</v>
      </c>
      <c r="M917" s="39">
        <f t="shared" si="183"/>
        <v>0.99917480822896776</v>
      </c>
      <c r="N917" s="39">
        <f t="shared" si="183"/>
        <v>0.99978445041666675</v>
      </c>
      <c r="O917" s="39">
        <f t="shared" si="183"/>
        <v>0.999948961306943</v>
      </c>
      <c r="P917" s="39">
        <f t="shared" si="183"/>
        <v>0.9999890078142345</v>
      </c>
      <c r="Q917" s="39">
        <f t="shared" si="183"/>
        <v>0.99999784038741313</v>
      </c>
      <c r="R917" s="39">
        <f t="shared" si="183"/>
        <v>0.99999961196369547</v>
      </c>
      <c r="S917" s="39">
        <f t="shared" si="183"/>
        <v>0.9999999360985462</v>
      </c>
      <c r="T917" s="39">
        <f t="shared" si="183"/>
        <v>0.99999999033764753</v>
      </c>
      <c r="U917" s="39">
        <f t="shared" si="183"/>
        <v>0.99999999865646794</v>
      </c>
      <c r="V917" s="39">
        <f t="shared" si="183"/>
        <v>0.99999999982799415</v>
      </c>
      <c r="W917" s="37">
        <v>8.5999999999999993E-2</v>
      </c>
    </row>
    <row r="918" spans="2:23" x14ac:dyDescent="0.25">
      <c r="B918" s="39">
        <f t="shared" si="182"/>
        <v>1.1649753853127817E-2</v>
      </c>
      <c r="C918" s="39">
        <f t="shared" si="182"/>
        <v>6.6153481696406558E-2</v>
      </c>
      <c r="D918" s="39">
        <f t="shared" si="182"/>
        <v>0.1908228082879963</v>
      </c>
      <c r="E918" s="39">
        <f t="shared" si="182"/>
        <v>0.37663447485296803</v>
      </c>
      <c r="F918" s="39">
        <f t="shared" si="182"/>
        <v>0.57955616579182156</v>
      </c>
      <c r="G918" s="39">
        <f t="shared" si="182"/>
        <v>0.75267979580504685</v>
      </c>
      <c r="H918" s="39">
        <f t="shared" si="182"/>
        <v>0.87281720298302534</v>
      </c>
      <c r="I918" s="39">
        <f t="shared" si="182"/>
        <v>0.94252996448767823</v>
      </c>
      <c r="J918" s="39">
        <f t="shared" si="182"/>
        <v>0.97704330996220135</v>
      </c>
      <c r="K918" s="39">
        <f t="shared" si="182"/>
        <v>0.99184479183874175</v>
      </c>
      <c r="L918" s="39">
        <f t="shared" si="183"/>
        <v>0.9974091311573724</v>
      </c>
      <c r="M918" s="39">
        <f t="shared" si="183"/>
        <v>0.99926017535045819</v>
      </c>
      <c r="N918" s="39">
        <f t="shared" si="183"/>
        <v>0.99980926779918045</v>
      </c>
      <c r="O918" s="39">
        <f t="shared" si="183"/>
        <v>0.99995543118693175</v>
      </c>
      <c r="P918" s="39">
        <f t="shared" si="183"/>
        <v>0.99999052825541646</v>
      </c>
      <c r="Q918" s="39">
        <f t="shared" si="183"/>
        <v>0.99999816387718599</v>
      </c>
      <c r="R918" s="39">
        <f t="shared" si="183"/>
        <v>0.99999967450212823</v>
      </c>
      <c r="S918" s="39">
        <f t="shared" si="183"/>
        <v>0.99999994711777029</v>
      </c>
      <c r="T918" s="39">
        <f t="shared" si="183"/>
        <v>0.99999999211174362</v>
      </c>
      <c r="U918" s="39">
        <f t="shared" si="183"/>
        <v>0.99999999891801006</v>
      </c>
      <c r="V918" s="39">
        <f t="shared" si="183"/>
        <v>0.99999999986336097</v>
      </c>
      <c r="W918" s="37">
        <v>8.5000000000000006E-2</v>
      </c>
    </row>
    <row r="919" spans="2:23" x14ac:dyDescent="0.25">
      <c r="B919" s="39">
        <f t="shared" si="182"/>
        <v>1.2217596716370826E-2</v>
      </c>
      <c r="C919" s="39">
        <f t="shared" si="182"/>
        <v>6.8739454972186767E-2</v>
      </c>
      <c r="D919" s="39">
        <f t="shared" si="182"/>
        <v>0.19657802715685813</v>
      </c>
      <c r="E919" s="39">
        <f t="shared" si="182"/>
        <v>0.38497685549398464</v>
      </c>
      <c r="F919" s="39">
        <f t="shared" si="182"/>
        <v>0.58841267476306292</v>
      </c>
      <c r="G919" s="39">
        <f t="shared" si="182"/>
        <v>0.76002157216368393</v>
      </c>
      <c r="H919" s="39">
        <f t="shared" si="182"/>
        <v>0.87776507176485485</v>
      </c>
      <c r="I919" s="39">
        <f t="shared" si="182"/>
        <v>0.94531686760248856</v>
      </c>
      <c r="J919" s="39">
        <f t="shared" si="182"/>
        <v>0.97838184670772232</v>
      </c>
      <c r="K919" s="39">
        <f t="shared" si="182"/>
        <v>0.99240138101816811</v>
      </c>
      <c r="L919" s="39">
        <f t="shared" si="183"/>
        <v>0.99761188542076218</v>
      </c>
      <c r="M919" s="39">
        <f t="shared" si="183"/>
        <v>0.99932549253032121</v>
      </c>
      <c r="N919" s="39">
        <f t="shared" si="183"/>
        <v>0.9998280187663322</v>
      </c>
      <c r="O919" s="39">
        <f t="shared" si="183"/>
        <v>0.99996025824415746</v>
      </c>
      <c r="P919" s="39">
        <f t="shared" si="183"/>
        <v>0.99999164836865428</v>
      </c>
      <c r="Q919" s="39">
        <f t="shared" si="183"/>
        <v>0.99999839919047173</v>
      </c>
      <c r="R919" s="39">
        <f t="shared" si="183"/>
        <v>0.99999971941945731</v>
      </c>
      <c r="S919" s="39">
        <f t="shared" si="183"/>
        <v>0.99999995493200367</v>
      </c>
      <c r="T919" s="39">
        <f t="shared" si="183"/>
        <v>0.99999999335387701</v>
      </c>
      <c r="U919" s="39">
        <f t="shared" si="183"/>
        <v>0.99999999909880066</v>
      </c>
      <c r="V919" s="39">
        <f t="shared" si="183"/>
        <v>0.99999999988749655</v>
      </c>
      <c r="W919" s="37">
        <v>8.4000000000000005E-2</v>
      </c>
    </row>
    <row r="920" spans="2:23" x14ac:dyDescent="0.25">
      <c r="B920" s="39">
        <f t="shared" si="182"/>
        <v>1.293488845219379E-2</v>
      </c>
      <c r="C920" s="39">
        <f t="shared" si="182"/>
        <v>7.1965599547750683E-2</v>
      </c>
      <c r="D920" s="39">
        <f t="shared" si="182"/>
        <v>0.20366899878757952</v>
      </c>
      <c r="E920" s="39">
        <f t="shared" si="182"/>
        <v>0.39512788189705461</v>
      </c>
      <c r="F920" s="39">
        <f t="shared" si="182"/>
        <v>0.59905534207926014</v>
      </c>
      <c r="G920" s="39">
        <f t="shared" si="182"/>
        <v>0.76873419503910745</v>
      </c>
      <c r="H920" s="39">
        <f t="shared" si="182"/>
        <v>0.88356359810569618</v>
      </c>
      <c r="I920" s="39">
        <f t="shared" si="182"/>
        <v>0.94854212846963515</v>
      </c>
      <c r="J920" s="39">
        <f t="shared" si="182"/>
        <v>0.97991155484885073</v>
      </c>
      <c r="K920" s="39">
        <f t="shared" si="182"/>
        <v>0.99302949737031476</v>
      </c>
      <c r="L920" s="39">
        <f t="shared" si="183"/>
        <v>0.99783782593961012</v>
      </c>
      <c r="M920" s="39">
        <f t="shared" si="183"/>
        <v>0.99939736491109532</v>
      </c>
      <c r="N920" s="39">
        <f t="shared" si="183"/>
        <v>0.99984839202122711</v>
      </c>
      <c r="O920" s="39">
        <f t="shared" si="183"/>
        <v>0.99996543685124917</v>
      </c>
      <c r="P920" s="39">
        <f t="shared" si="183"/>
        <v>0.99999283489615431</v>
      </c>
      <c r="Q920" s="39">
        <f t="shared" si="183"/>
        <v>0.99999864530613458</v>
      </c>
      <c r="R920" s="39">
        <f t="shared" si="183"/>
        <v>0.99999976580420358</v>
      </c>
      <c r="S920" s="39">
        <f t="shared" si="183"/>
        <v>0.99999996289923798</v>
      </c>
      <c r="T920" s="39">
        <f t="shared" si="183"/>
        <v>0.99999999460425382</v>
      </c>
      <c r="U920" s="39">
        <f t="shared" si="183"/>
        <v>0.99999999927847716</v>
      </c>
      <c r="V920" s="39">
        <f t="shared" si="183"/>
        <v>0.99999999991117805</v>
      </c>
      <c r="W920" s="37">
        <v>8.3000000000000004E-2</v>
      </c>
    </row>
    <row r="921" spans="2:23" x14ac:dyDescent="0.25">
      <c r="B921" s="39">
        <f t="shared" si="182"/>
        <v>1.3693401780422415E-2</v>
      </c>
      <c r="C921" s="39">
        <f t="shared" si="182"/>
        <v>7.5330686163021798E-2</v>
      </c>
      <c r="D921" s="39">
        <f t="shared" si="182"/>
        <v>0.21096444724864472</v>
      </c>
      <c r="E921" s="39">
        <f t="shared" si="182"/>
        <v>0.40542886733708788</v>
      </c>
      <c r="F921" s="39">
        <f t="shared" si="182"/>
        <v>0.60970732768828584</v>
      </c>
      <c r="G921" s="39">
        <f t="shared" si="182"/>
        <v>0.77733479841215147</v>
      </c>
      <c r="H921" s="39">
        <f t="shared" si="182"/>
        <v>0.88920888686686528</v>
      </c>
      <c r="I921" s="39">
        <f t="shared" si="182"/>
        <v>0.95163890917520833</v>
      </c>
      <c r="J921" s="39">
        <f t="shared" si="182"/>
        <v>0.98136005908128754</v>
      </c>
      <c r="K921" s="39">
        <f t="shared" si="182"/>
        <v>0.99361604776851464</v>
      </c>
      <c r="L921" s="39">
        <f t="shared" si="183"/>
        <v>0.99804589227060214</v>
      </c>
      <c r="M921" s="39">
        <f t="shared" si="183"/>
        <v>0.99946263294517035</v>
      </c>
      <c r="N921" s="39">
        <f t="shared" si="183"/>
        <v>0.99986663593635261</v>
      </c>
      <c r="O921" s="39">
        <f t="shared" si="183"/>
        <v>0.99997000960664273</v>
      </c>
      <c r="P921" s="39">
        <f t="shared" si="183"/>
        <v>0.99999386798675982</v>
      </c>
      <c r="Q921" s="39">
        <f t="shared" si="183"/>
        <v>0.99999885659840615</v>
      </c>
      <c r="R921" s="39">
        <f t="shared" si="183"/>
        <v>0.9999998050679203</v>
      </c>
      <c r="S921" s="39">
        <f t="shared" si="183"/>
        <v>0.99999996954865744</v>
      </c>
      <c r="T921" s="39">
        <f t="shared" si="183"/>
        <v>0.99999999563313435</v>
      </c>
      <c r="U921" s="39">
        <f t="shared" si="183"/>
        <v>0.99999999942424145</v>
      </c>
      <c r="V921" s="39">
        <f t="shared" si="183"/>
        <v>0.99999999993011868</v>
      </c>
      <c r="W921" s="37">
        <v>8.2000000000000003E-2</v>
      </c>
    </row>
    <row r="922" spans="2:23" x14ac:dyDescent="0.25">
      <c r="B922" s="39">
        <f t="shared" si="182"/>
        <v>1.4495454588104419E-2</v>
      </c>
      <c r="C922" s="39">
        <f t="shared" si="182"/>
        <v>7.8839918657990574E-2</v>
      </c>
      <c r="D922" s="39">
        <f t="shared" si="182"/>
        <v>0.21846740568964362</v>
      </c>
      <c r="E922" s="39">
        <f t="shared" si="182"/>
        <v>0.41587636850110665</v>
      </c>
      <c r="F922" s="39">
        <f t="shared" si="182"/>
        <v>0.6203611571406844</v>
      </c>
      <c r="G922" s="39">
        <f t="shared" si="182"/>
        <v>0.78581749554419944</v>
      </c>
      <c r="H922" s="39">
        <f t="shared" si="182"/>
        <v>0.89469935508552945</v>
      </c>
      <c r="I922" s="39">
        <f t="shared" si="182"/>
        <v>0.95460879744291793</v>
      </c>
      <c r="J922" s="39">
        <f t="shared" si="182"/>
        <v>0.98272981779603275</v>
      </c>
      <c r="K922" s="39">
        <f t="shared" si="182"/>
        <v>0.99416295345668659</v>
      </c>
      <c r="L922" s="39">
        <f t="shared" si="183"/>
        <v>0.99823717679015311</v>
      </c>
      <c r="M922" s="39">
        <f t="shared" si="183"/>
        <v>0.9995217942183271</v>
      </c>
      <c r="N922" s="39">
        <f t="shared" si="183"/>
        <v>0.99988294023009738</v>
      </c>
      <c r="O922" s="39">
        <f t="shared" si="183"/>
        <v>0.99997403860266565</v>
      </c>
      <c r="P922" s="39">
        <f t="shared" si="183"/>
        <v>0.99999476537443388</v>
      </c>
      <c r="Q922" s="39">
        <f t="shared" si="183"/>
        <v>0.99999903753898145</v>
      </c>
      <c r="R922" s="39">
        <f t="shared" si="183"/>
        <v>0.99999983821476723</v>
      </c>
      <c r="S922" s="39">
        <f t="shared" si="183"/>
        <v>0.999999975082423</v>
      </c>
      <c r="T922" s="39">
        <f t="shared" si="183"/>
        <v>0.99999999647719928</v>
      </c>
      <c r="U922" s="39">
        <f t="shared" si="183"/>
        <v>0.99999999954211694</v>
      </c>
      <c r="V922" s="39">
        <f t="shared" si="183"/>
        <v>0.99999999994521649</v>
      </c>
      <c r="W922" s="37">
        <v>8.1000000000000003E-2</v>
      </c>
    </row>
    <row r="923" spans="2:23" x14ac:dyDescent="0.25">
      <c r="B923" s="39">
        <f t="shared" ref="B923:K932" si="184">_xlfn.HYPGEOM.DIST(B$2,comau,tongtheN*$W923,tongtheN,TRUE)</f>
        <v>1.5198851469107273E-2</v>
      </c>
      <c r="C923" s="39">
        <f t="shared" si="184"/>
        <v>8.1878243620405883E-2</v>
      </c>
      <c r="D923" s="39">
        <f t="shared" si="184"/>
        <v>0.22488047949959403</v>
      </c>
      <c r="E923" s="39">
        <f t="shared" si="184"/>
        <v>0.42469182278284362</v>
      </c>
      <c r="F923" s="39">
        <f t="shared" si="184"/>
        <v>0.62923523991786545</v>
      </c>
      <c r="G923" s="39">
        <f t="shared" si="184"/>
        <v>0.79279217088068066</v>
      </c>
      <c r="H923" s="39">
        <f t="shared" si="184"/>
        <v>0.89915549164372099</v>
      </c>
      <c r="I923" s="39">
        <f t="shared" si="184"/>
        <v>0.9569880196631686</v>
      </c>
      <c r="J923" s="39">
        <f t="shared" si="184"/>
        <v>0.98381292490921657</v>
      </c>
      <c r="K923" s="39">
        <f t="shared" si="184"/>
        <v>0.9945897872600612</v>
      </c>
      <c r="L923" s="39">
        <f t="shared" ref="L923:V932" si="185">_xlfn.HYPGEOM.DIST(L$2,comau,tongtheN*$W923,tongtheN,TRUE)</f>
        <v>0.99838452055069116</v>
      </c>
      <c r="M923" s="39">
        <f t="shared" si="185"/>
        <v>0.99956677028409413</v>
      </c>
      <c r="N923" s="39">
        <f t="shared" si="185"/>
        <v>0.99989517298781716</v>
      </c>
      <c r="O923" s="39">
        <f t="shared" si="185"/>
        <v>0.99997702181382619</v>
      </c>
      <c r="P923" s="39">
        <f t="shared" si="185"/>
        <v>0.99999542109425044</v>
      </c>
      <c r="Q923" s="39">
        <f t="shared" si="185"/>
        <v>0.99999916800921607</v>
      </c>
      <c r="R923" s="39">
        <f t="shared" si="185"/>
        <v>0.99999986180005185</v>
      </c>
      <c r="S923" s="39">
        <f t="shared" si="185"/>
        <v>0.99999997896776405</v>
      </c>
      <c r="T923" s="39">
        <f t="shared" si="185"/>
        <v>0.99999999706196208</v>
      </c>
      <c r="U923" s="39">
        <f t="shared" si="185"/>
        <v>0.99999999962269359</v>
      </c>
      <c r="V923" s="39">
        <f t="shared" si="185"/>
        <v>0.99999999995539934</v>
      </c>
      <c r="W923" s="37">
        <v>0.08</v>
      </c>
    </row>
    <row r="924" spans="2:23" x14ac:dyDescent="0.25">
      <c r="B924" s="39">
        <f t="shared" si="184"/>
        <v>1.6087174487011281E-2</v>
      </c>
      <c r="C924" s="39">
        <f t="shared" si="184"/>
        <v>8.5665733342430661E-2</v>
      </c>
      <c r="D924" s="39">
        <f t="shared" si="184"/>
        <v>0.23277128554711246</v>
      </c>
      <c r="E924" s="39">
        <f t="shared" si="184"/>
        <v>0.43539786144592152</v>
      </c>
      <c r="F924" s="39">
        <f t="shared" si="184"/>
        <v>0.6398724471572218</v>
      </c>
      <c r="G924" s="39">
        <f t="shared" si="184"/>
        <v>0.80104379043862983</v>
      </c>
      <c r="H924" s="39">
        <f t="shared" si="184"/>
        <v>0.90435875408055744</v>
      </c>
      <c r="I924" s="39">
        <f t="shared" si="184"/>
        <v>0.95972987940500876</v>
      </c>
      <c r="J924" s="39">
        <f t="shared" si="184"/>
        <v>0.98504479677377255</v>
      </c>
      <c r="K924" s="39">
        <f t="shared" si="184"/>
        <v>0.995068888958898</v>
      </c>
      <c r="L924" s="39">
        <f t="shared" si="185"/>
        <v>0.99854773788084161</v>
      </c>
      <c r="M924" s="39">
        <f t="shared" si="185"/>
        <v>0.99961593713581132</v>
      </c>
      <c r="N924" s="39">
        <f t="shared" si="185"/>
        <v>0.99990836960117302</v>
      </c>
      <c r="O924" s="39">
        <f t="shared" si="185"/>
        <v>0.9999801976641165</v>
      </c>
      <c r="P924" s="39">
        <f t="shared" si="185"/>
        <v>0.99999610994150512</v>
      </c>
      <c r="Q924" s="39">
        <f t="shared" si="185"/>
        <v>0.99999930325860553</v>
      </c>
      <c r="R924" s="39">
        <f t="shared" si="185"/>
        <v>0.99999988592546984</v>
      </c>
      <c r="S924" s="39">
        <f t="shared" si="185"/>
        <v>0.99999998288936431</v>
      </c>
      <c r="T924" s="39">
        <f t="shared" si="185"/>
        <v>0.99999999764434011</v>
      </c>
      <c r="U924" s="39">
        <f t="shared" si="185"/>
        <v>0.99999999970187359</v>
      </c>
      <c r="V924" s="39">
        <f t="shared" si="185"/>
        <v>0.99999999996527222</v>
      </c>
      <c r="W924" s="37">
        <v>7.9000000000000001E-2</v>
      </c>
    </row>
    <row r="925" spans="2:23" x14ac:dyDescent="0.25">
      <c r="B925" s="39">
        <f t="shared" si="184"/>
        <v>1.7026319559219696E-2</v>
      </c>
      <c r="C925" s="39">
        <f t="shared" si="184"/>
        <v>8.9612888891631728E-2</v>
      </c>
      <c r="D925" s="39">
        <f t="shared" si="184"/>
        <v>0.24087740094641721</v>
      </c>
      <c r="E925" s="39">
        <f t="shared" si="184"/>
        <v>0.44623878861077276</v>
      </c>
      <c r="F925" s="39">
        <f t="shared" si="184"/>
        <v>0.65048937734773382</v>
      </c>
      <c r="G925" s="39">
        <f t="shared" si="184"/>
        <v>0.80916146658665711</v>
      </c>
      <c r="H925" s="39">
        <f t="shared" si="184"/>
        <v>0.90940393616844695</v>
      </c>
      <c r="I925" s="39">
        <f t="shared" si="184"/>
        <v>0.96235012674638554</v>
      </c>
      <c r="J925" s="39">
        <f t="shared" si="184"/>
        <v>0.98620503140512583</v>
      </c>
      <c r="K925" s="39">
        <f t="shared" si="184"/>
        <v>0.99551360057230209</v>
      </c>
      <c r="L925" s="39">
        <f t="shared" si="185"/>
        <v>0.99869704299459328</v>
      </c>
      <c r="M925" s="39">
        <f t="shared" si="185"/>
        <v>0.99966025977272122</v>
      </c>
      <c r="N925" s="39">
        <f t="shared" si="185"/>
        <v>0.99992009283765682</v>
      </c>
      <c r="O925" s="39">
        <f t="shared" si="185"/>
        <v>0.9999829777864474</v>
      </c>
      <c r="P925" s="39">
        <f t="shared" si="185"/>
        <v>0.99999670414146447</v>
      </c>
      <c r="Q925" s="39">
        <f t="shared" si="185"/>
        <v>0.99999941821620653</v>
      </c>
      <c r="R925" s="39">
        <f t="shared" si="185"/>
        <v>0.99999990613037204</v>
      </c>
      <c r="S925" s="39">
        <f t="shared" si="185"/>
        <v>0.99999998612538665</v>
      </c>
      <c r="T925" s="39">
        <f t="shared" si="185"/>
        <v>0.99999999811782492</v>
      </c>
      <c r="U925" s="39">
        <f t="shared" si="185"/>
        <v>0.99999999976529808</v>
      </c>
      <c r="V925" s="39">
        <f t="shared" si="185"/>
        <v>0.99999999997306355</v>
      </c>
      <c r="W925" s="37">
        <v>7.8E-2</v>
      </c>
    </row>
    <row r="926" spans="2:23" x14ac:dyDescent="0.25">
      <c r="B926" s="39">
        <f t="shared" si="184"/>
        <v>1.8019131633761509E-2</v>
      </c>
      <c r="C926" s="39">
        <f t="shared" si="184"/>
        <v>9.3725460481981729E-2</v>
      </c>
      <c r="D926" s="39">
        <f t="shared" si="184"/>
        <v>0.24920124942515934</v>
      </c>
      <c r="E926" s="39">
        <f t="shared" si="184"/>
        <v>0.45720981347200507</v>
      </c>
      <c r="F926" s="39">
        <f t="shared" si="184"/>
        <v>0.66107792268948162</v>
      </c>
      <c r="G926" s="39">
        <f t="shared" si="184"/>
        <v>0.81713981038992634</v>
      </c>
      <c r="H926" s="39">
        <f t="shared" si="184"/>
        <v>0.9142903317270421</v>
      </c>
      <c r="I926" s="39">
        <f t="shared" si="184"/>
        <v>0.96485088562381216</v>
      </c>
      <c r="J926" s="39">
        <f t="shared" si="184"/>
        <v>0.98729617034763872</v>
      </c>
      <c r="K926" s="39">
        <f t="shared" si="184"/>
        <v>0.99592570216380694</v>
      </c>
      <c r="L926" s="39">
        <f t="shared" si="185"/>
        <v>0.99883336906660747</v>
      </c>
      <c r="M926" s="39">
        <f t="shared" si="185"/>
        <v>0.99970013425122251</v>
      </c>
      <c r="N926" s="39">
        <f t="shared" si="185"/>
        <v>0.99993048411289198</v>
      </c>
      <c r="O926" s="39">
        <f t="shared" si="185"/>
        <v>0.99998540564719607</v>
      </c>
      <c r="P926" s="39">
        <f t="shared" si="185"/>
        <v>0.99999721537298036</v>
      </c>
      <c r="Q926" s="39">
        <f t="shared" si="185"/>
        <v>0.9999995156555509</v>
      </c>
      <c r="R926" s="39">
        <f t="shared" si="185"/>
        <v>0.99999992300178819</v>
      </c>
      <c r="S926" s="39">
        <f t="shared" si="185"/>
        <v>0.99999998878728114</v>
      </c>
      <c r="T926" s="39">
        <f t="shared" si="185"/>
        <v>0.99999999850149357</v>
      </c>
      <c r="U926" s="39">
        <f t="shared" si="185"/>
        <v>0.99999999981592291</v>
      </c>
      <c r="V926" s="39">
        <f t="shared" si="185"/>
        <v>0.99999999997918942</v>
      </c>
      <c r="W926" s="37">
        <v>7.6999999999999999E-2</v>
      </c>
    </row>
    <row r="927" spans="2:23" x14ac:dyDescent="0.25">
      <c r="B927" s="39">
        <f t="shared" si="184"/>
        <v>1.8889630644599639E-2</v>
      </c>
      <c r="C927" s="39">
        <f t="shared" si="184"/>
        <v>9.7283208646633326E-2</v>
      </c>
      <c r="D927" s="39">
        <f t="shared" si="184"/>
        <v>0.25630572529664708</v>
      </c>
      <c r="E927" s="39">
        <f t="shared" si="184"/>
        <v>0.46644800151382798</v>
      </c>
      <c r="F927" s="39">
        <f t="shared" si="184"/>
        <v>0.66987408282349947</v>
      </c>
      <c r="G927" s="39">
        <f t="shared" si="184"/>
        <v>0.82367822170879679</v>
      </c>
      <c r="H927" s="39">
        <f t="shared" si="184"/>
        <v>0.91824068687918747</v>
      </c>
      <c r="I927" s="39">
        <f t="shared" si="184"/>
        <v>0.9668451956258084</v>
      </c>
      <c r="J927" s="39">
        <f t="shared" si="184"/>
        <v>0.98815451055297354</v>
      </c>
      <c r="K927" s="39">
        <f t="shared" si="184"/>
        <v>0.99624546456505381</v>
      </c>
      <c r="L927" s="39">
        <f t="shared" si="185"/>
        <v>0.99893770425704176</v>
      </c>
      <c r="M927" s="39">
        <f t="shared" si="185"/>
        <v>0.99973023384981363</v>
      </c>
      <c r="N927" s="39">
        <f t="shared" si="185"/>
        <v>0.99993822041228886</v>
      </c>
      <c r="O927" s="39">
        <f t="shared" si="185"/>
        <v>0.99998718832062328</v>
      </c>
      <c r="P927" s="39">
        <f t="shared" si="185"/>
        <v>0.99999758557094143</v>
      </c>
      <c r="Q927" s="39">
        <f t="shared" si="185"/>
        <v>0.99999958523866461</v>
      </c>
      <c r="R927" s="39">
        <f t="shared" si="185"/>
        <v>0.99999993488294658</v>
      </c>
      <c r="S927" s="39">
        <f t="shared" si="185"/>
        <v>0.99999999063578504</v>
      </c>
      <c r="T927" s="39">
        <f t="shared" si="185"/>
        <v>0.9999999987642133</v>
      </c>
      <c r="U927" s="39">
        <f t="shared" si="185"/>
        <v>0.99999999985010446</v>
      </c>
      <c r="V927" s="39">
        <f t="shared" si="185"/>
        <v>0.99999999998326761</v>
      </c>
      <c r="W927" s="37">
        <v>7.5999999999999998E-2</v>
      </c>
    </row>
    <row r="928" spans="2:23" x14ac:dyDescent="0.25">
      <c r="B928" s="39">
        <f t="shared" si="184"/>
        <v>1.9988743848060788E-2</v>
      </c>
      <c r="C928" s="39">
        <f t="shared" si="184"/>
        <v>0.10171444271577104</v>
      </c>
      <c r="D928" s="39">
        <f t="shared" si="184"/>
        <v>0.26503437405445107</v>
      </c>
      <c r="E928" s="39">
        <f t="shared" si="184"/>
        <v>0.47764385893810651</v>
      </c>
      <c r="F928" s="39">
        <f t="shared" si="184"/>
        <v>0.68038908423649447</v>
      </c>
      <c r="G928" s="39">
        <f t="shared" si="184"/>
        <v>0.831387684413332</v>
      </c>
      <c r="H928" s="39">
        <f t="shared" si="184"/>
        <v>0.92283492667246958</v>
      </c>
      <c r="I928" s="39">
        <f t="shared" si="184"/>
        <v>0.96913282551657398</v>
      </c>
      <c r="J928" s="39">
        <f t="shared" si="184"/>
        <v>0.98912559728821881</v>
      </c>
      <c r="K928" s="39">
        <f t="shared" si="184"/>
        <v>0.99660226163878163</v>
      </c>
      <c r="L928" s="39">
        <f t="shared" si="185"/>
        <v>0.99905252221761398</v>
      </c>
      <c r="M928" s="39">
        <f t="shared" si="185"/>
        <v>0.99976290125288692</v>
      </c>
      <c r="N928" s="39">
        <f t="shared" si="185"/>
        <v>0.99994650082126846</v>
      </c>
      <c r="O928" s="39">
        <f t="shared" si="185"/>
        <v>0.9999890699955456</v>
      </c>
      <c r="P928" s="39">
        <f t="shared" si="185"/>
        <v>0.99999797091684495</v>
      </c>
      <c r="Q928" s="39">
        <f t="shared" si="185"/>
        <v>0.99999965666429591</v>
      </c>
      <c r="R928" s="39">
        <f t="shared" si="185"/>
        <v>0.99999994690924743</v>
      </c>
      <c r="S928" s="39">
        <f t="shared" si="185"/>
        <v>0.99999999248082683</v>
      </c>
      <c r="T928" s="39">
        <f t="shared" si="185"/>
        <v>0.99999999902278469</v>
      </c>
      <c r="U928" s="39">
        <f t="shared" si="185"/>
        <v>0.99999999988327637</v>
      </c>
      <c r="V928" s="39">
        <f t="shared" si="185"/>
        <v>0.99999999998716993</v>
      </c>
      <c r="W928" s="37">
        <v>7.4999999999999997E-2</v>
      </c>
    </row>
    <row r="929" spans="2:23" x14ac:dyDescent="0.25">
      <c r="B929" s="39">
        <f t="shared" si="184"/>
        <v>2.1150458557260377E-2</v>
      </c>
      <c r="C929" s="39">
        <f t="shared" si="184"/>
        <v>0.10632814191321534</v>
      </c>
      <c r="D929" s="39">
        <f t="shared" si="184"/>
        <v>0.27398648367954476</v>
      </c>
      <c r="E929" s="39">
        <f t="shared" si="184"/>
        <v>0.4889542006598474</v>
      </c>
      <c r="F929" s="39">
        <f t="shared" si="184"/>
        <v>0.69085202668428802</v>
      </c>
      <c r="G929" s="39">
        <f t="shared" si="184"/>
        <v>0.83894349083643105</v>
      </c>
      <c r="H929" s="39">
        <f t="shared" si="184"/>
        <v>0.92726967105184288</v>
      </c>
      <c r="I929" s="39">
        <f t="shared" si="184"/>
        <v>0.97130765325556123</v>
      </c>
      <c r="J929" s="39">
        <f t="shared" si="184"/>
        <v>0.99003481350302125</v>
      </c>
      <c r="K929" s="39">
        <f t="shared" si="184"/>
        <v>0.9969312543669151</v>
      </c>
      <c r="L929" s="39">
        <f t="shared" si="185"/>
        <v>0.99915678191410251</v>
      </c>
      <c r="M929" s="39">
        <f t="shared" si="185"/>
        <v>0.99979211239472843</v>
      </c>
      <c r="N929" s="39">
        <f t="shared" si="185"/>
        <v>0.99995379201468015</v>
      </c>
      <c r="O929" s="39">
        <f t="shared" si="185"/>
        <v>0.99999070150608349</v>
      </c>
      <c r="P929" s="39">
        <f t="shared" si="185"/>
        <v>0.99999829990477584</v>
      </c>
      <c r="Q929" s="39">
        <f t="shared" si="185"/>
        <v>0.99999971670595011</v>
      </c>
      <c r="R929" s="39">
        <f t="shared" si="185"/>
        <v>0.99999995686296472</v>
      </c>
      <c r="S929" s="39">
        <f t="shared" si="185"/>
        <v>0.99999999398431283</v>
      </c>
      <c r="T929" s="39">
        <f t="shared" si="185"/>
        <v>0.99999999923022775</v>
      </c>
      <c r="U929" s="39">
        <f t="shared" si="185"/>
        <v>0.99999999990947619</v>
      </c>
      <c r="V929" s="39">
        <f t="shared" si="185"/>
        <v>0.99999999999020417</v>
      </c>
      <c r="W929" s="37">
        <v>7.3999999999999996E-2</v>
      </c>
    </row>
    <row r="930" spans="2:23" x14ac:dyDescent="0.25">
      <c r="B930" s="39">
        <f t="shared" si="184"/>
        <v>2.2378263524926337E-2</v>
      </c>
      <c r="C930" s="39">
        <f t="shared" si="184"/>
        <v>0.11113058345381267</v>
      </c>
      <c r="D930" s="39">
        <f t="shared" si="184"/>
        <v>0.2831636159745794</v>
      </c>
      <c r="E930" s="39">
        <f t="shared" si="184"/>
        <v>0.50037277615938058</v>
      </c>
      <c r="F930" s="39">
        <f t="shared" si="184"/>
        <v>0.7012543508319885</v>
      </c>
      <c r="G930" s="39">
        <f t="shared" si="184"/>
        <v>0.84634096388860414</v>
      </c>
      <c r="H930" s="39">
        <f t="shared" si="184"/>
        <v>0.93154513051855059</v>
      </c>
      <c r="I930" s="39">
        <f t="shared" si="184"/>
        <v>0.97337225476279299</v>
      </c>
      <c r="J930" s="39">
        <f t="shared" si="184"/>
        <v>0.99088470052508804</v>
      </c>
      <c r="K930" s="39">
        <f t="shared" si="184"/>
        <v>0.99723404914265767</v>
      </c>
      <c r="L930" s="39">
        <f t="shared" si="185"/>
        <v>0.99925126018252697</v>
      </c>
      <c r="M930" s="39">
        <f t="shared" si="185"/>
        <v>0.9998181740897133</v>
      </c>
      <c r="N930" s="39">
        <f t="shared" si="185"/>
        <v>0.99996019638732492</v>
      </c>
      <c r="O930" s="39">
        <f t="shared" si="185"/>
        <v>0.99999211234306085</v>
      </c>
      <c r="P930" s="39">
        <f t="shared" si="185"/>
        <v>0.99999857997113473</v>
      </c>
      <c r="Q930" s="39">
        <f t="shared" si="185"/>
        <v>0.99999976702270654</v>
      </c>
      <c r="R930" s="39">
        <f t="shared" si="185"/>
        <v>0.99999996507421351</v>
      </c>
      <c r="S930" s="39">
        <f t="shared" si="185"/>
        <v>0.99999999520519034</v>
      </c>
      <c r="T930" s="39">
        <f t="shared" si="185"/>
        <v>0.99999999939603557</v>
      </c>
      <c r="U930" s="39">
        <f t="shared" si="185"/>
        <v>0.99999999993008837</v>
      </c>
      <c r="V930" s="39">
        <f t="shared" si="185"/>
        <v>0.99999999999255373</v>
      </c>
      <c r="W930" s="37">
        <v>7.2999999999999995E-2</v>
      </c>
    </row>
    <row r="931" spans="2:23" x14ac:dyDescent="0.25">
      <c r="B931" s="39">
        <f t="shared" si="184"/>
        <v>2.3454568149234221E-2</v>
      </c>
      <c r="C931" s="39">
        <f t="shared" si="184"/>
        <v>0.1152814151485945</v>
      </c>
      <c r="D931" s="39">
        <f t="shared" si="184"/>
        <v>0.29098405787911891</v>
      </c>
      <c r="E931" s="39">
        <f t="shared" si="184"/>
        <v>0.50996615202534845</v>
      </c>
      <c r="F931" s="39">
        <f t="shared" si="184"/>
        <v>0.70987041711339183</v>
      </c>
      <c r="G931" s="39">
        <f t="shared" si="184"/>
        <v>0.85238135360489109</v>
      </c>
      <c r="H931" s="39">
        <f t="shared" si="184"/>
        <v>0.93498665609525078</v>
      </c>
      <c r="I931" s="39">
        <f t="shared" si="184"/>
        <v>0.97501048420403646</v>
      </c>
      <c r="J931" s="39">
        <f t="shared" si="184"/>
        <v>0.99154944313423565</v>
      </c>
      <c r="K931" s="39">
        <f t="shared" si="184"/>
        <v>0.99746749060875683</v>
      </c>
      <c r="L931" s="39">
        <f t="shared" si="185"/>
        <v>0.99932305320549586</v>
      </c>
      <c r="M931" s="39">
        <f t="shared" si="185"/>
        <v>0.99983769306283499</v>
      </c>
      <c r="N931" s="39">
        <f t="shared" si="185"/>
        <v>0.99996492374117918</v>
      </c>
      <c r="O931" s="39">
        <f t="shared" si="185"/>
        <v>0.99999313867700179</v>
      </c>
      <c r="P931" s="39">
        <f t="shared" si="185"/>
        <v>0.99999878075378679</v>
      </c>
      <c r="Q931" s="39">
        <f t="shared" si="185"/>
        <v>0.9999998025706287</v>
      </c>
      <c r="R931" s="39">
        <f t="shared" si="185"/>
        <v>0.9999999707907109</v>
      </c>
      <c r="S931" s="39">
        <f t="shared" si="185"/>
        <v>0.99999999604270962</v>
      </c>
      <c r="T931" s="39">
        <f t="shared" si="185"/>
        <v>0.99999999950811147</v>
      </c>
      <c r="U931" s="39">
        <f t="shared" si="185"/>
        <v>0.99999999994381616</v>
      </c>
      <c r="V931" s="39">
        <f t="shared" si="185"/>
        <v>0.99999999999409539</v>
      </c>
      <c r="W931" s="37">
        <v>7.1999999999999995E-2</v>
      </c>
    </row>
    <row r="932" spans="2:23" x14ac:dyDescent="0.25">
      <c r="B932" s="39">
        <f t="shared" si="184"/>
        <v>2.4813237716749273E-2</v>
      </c>
      <c r="C932" s="39">
        <f t="shared" si="184"/>
        <v>0.1204466171565387</v>
      </c>
      <c r="D932" s="39">
        <f t="shared" si="184"/>
        <v>0.30057687170338937</v>
      </c>
      <c r="E932" s="39">
        <f t="shared" si="184"/>
        <v>0.52156560900728688</v>
      </c>
      <c r="F932" s="39">
        <f t="shared" si="184"/>
        <v>0.72013912027273164</v>
      </c>
      <c r="G932" s="39">
        <f t="shared" si="184"/>
        <v>0.8594771434318742</v>
      </c>
      <c r="H932" s="39">
        <f t="shared" si="184"/>
        <v>0.93897144020690759</v>
      </c>
      <c r="I932" s="39">
        <f t="shared" si="184"/>
        <v>0.9768800264379448</v>
      </c>
      <c r="J932" s="39">
        <f t="shared" si="184"/>
        <v>0.99229711239667129</v>
      </c>
      <c r="K932" s="39">
        <f t="shared" si="184"/>
        <v>0.99772626310375268</v>
      </c>
      <c r="L932" s="39">
        <f t="shared" si="185"/>
        <v>0.99940148552324715</v>
      </c>
      <c r="M932" s="39">
        <f t="shared" si="185"/>
        <v>0.99985870814133204</v>
      </c>
      <c r="N932" s="39">
        <f t="shared" si="185"/>
        <v>0.99996993956064606</v>
      </c>
      <c r="O932" s="39">
        <f t="shared" si="185"/>
        <v>0.99999421180283909</v>
      </c>
      <c r="P932" s="39">
        <f t="shared" si="185"/>
        <v>0.99999898763197737</v>
      </c>
      <c r="Q932" s="39">
        <f t="shared" si="185"/>
        <v>0.99999983866318476</v>
      </c>
      <c r="R932" s="39">
        <f t="shared" si="185"/>
        <v>0.99999997650992822</v>
      </c>
      <c r="S932" s="39">
        <f t="shared" si="185"/>
        <v>0.99999999686835372</v>
      </c>
      <c r="T932" s="39">
        <f t="shared" si="185"/>
        <v>0.99999999961697694</v>
      </c>
      <c r="U932" s="39">
        <f t="shared" si="185"/>
        <v>0.99999999995695454</v>
      </c>
      <c r="V932" s="39">
        <f t="shared" si="185"/>
        <v>0.99999999999554923</v>
      </c>
      <c r="W932" s="37">
        <v>7.0999999999999994E-2</v>
      </c>
    </row>
    <row r="933" spans="2:23" x14ac:dyDescent="0.25">
      <c r="B933" s="39">
        <f t="shared" ref="B933:K942" si="186">_xlfn.HYPGEOM.DIST(B$2,comau,tongtheN*$W933,tongtheN,TRUE)</f>
        <v>2.6248948986509795E-2</v>
      </c>
      <c r="C933" s="39">
        <f t="shared" si="186"/>
        <v>0.12581903973917757</v>
      </c>
      <c r="D933" s="39">
        <f t="shared" si="186"/>
        <v>0.31039758741902435</v>
      </c>
      <c r="E933" s="39">
        <f t="shared" si="186"/>
        <v>0.53325343271708547</v>
      </c>
      <c r="F933" s="39">
        <f t="shared" si="186"/>
        <v>0.73032257155074209</v>
      </c>
      <c r="G933" s="39">
        <f t="shared" si="186"/>
        <v>0.86640259315168089</v>
      </c>
      <c r="H933" s="39">
        <f t="shared" si="186"/>
        <v>0.94279884375894074</v>
      </c>
      <c r="I933" s="39">
        <f t="shared" si="186"/>
        <v>0.97864716766179405</v>
      </c>
      <c r="J933" s="39">
        <f t="shared" si="186"/>
        <v>0.99299256292917948</v>
      </c>
      <c r="K933" s="39">
        <f t="shared" si="186"/>
        <v>0.99796311655252801</v>
      </c>
      <c r="L933" s="39">
        <f t="shared" ref="L933:V942" si="187">_xlfn.HYPGEOM.DIST(L$2,comau,tongtheN*$W933,tongtheN,TRUE)</f>
        <v>0.99947212469444813</v>
      </c>
      <c r="M933" s="39">
        <f t="shared" si="187"/>
        <v>0.9998773313493452</v>
      </c>
      <c r="N933" s="39">
        <f t="shared" si="187"/>
        <v>0.9999743129909644</v>
      </c>
      <c r="O933" s="39">
        <f t="shared" si="187"/>
        <v>0.99999513240423343</v>
      </c>
      <c r="P933" s="39">
        <f t="shared" si="187"/>
        <v>0.99999916223835106</v>
      </c>
      <c r="Q933" s="39">
        <f t="shared" si="187"/>
        <v>0.99999986863210477</v>
      </c>
      <c r="R933" s="39">
        <f t="shared" si="187"/>
        <v>0.99999998118170086</v>
      </c>
      <c r="S933" s="39">
        <f t="shared" si="187"/>
        <v>0.99999999753181112</v>
      </c>
      <c r="T933" s="39">
        <f t="shared" si="187"/>
        <v>0.99999999970303055</v>
      </c>
      <c r="U933" s="39">
        <f t="shared" si="187"/>
        <v>0.99999999996717015</v>
      </c>
      <c r="V933" s="39">
        <f t="shared" si="187"/>
        <v>0.99999999999666112</v>
      </c>
      <c r="W933" s="37">
        <v>7.0000000000000007E-2</v>
      </c>
    </row>
    <row r="934" spans="2:23" x14ac:dyDescent="0.25">
      <c r="B934" s="39">
        <f t="shared" si="186"/>
        <v>2.7765976437266096E-2</v>
      </c>
      <c r="C934" s="39">
        <f t="shared" si="186"/>
        <v>0.13140543342856584</v>
      </c>
      <c r="D934" s="39">
        <f t="shared" si="186"/>
        <v>0.320446608786639</v>
      </c>
      <c r="E934" s="39">
        <f t="shared" si="186"/>
        <v>0.54502183966314699</v>
      </c>
      <c r="F934" s="39">
        <f t="shared" si="186"/>
        <v>0.7404119977805661</v>
      </c>
      <c r="G934" s="39">
        <f t="shared" si="186"/>
        <v>0.87315394736518592</v>
      </c>
      <c r="H934" s="39">
        <f t="shared" si="186"/>
        <v>0.94646999691971923</v>
      </c>
      <c r="I934" s="39">
        <f t="shared" si="186"/>
        <v>0.98031483207417314</v>
      </c>
      <c r="J934" s="39">
        <f t="shared" si="186"/>
        <v>0.99363825661737026</v>
      </c>
      <c r="K934" s="39">
        <f t="shared" si="186"/>
        <v>0.99817946140284097</v>
      </c>
      <c r="L934" s="39">
        <f t="shared" si="187"/>
        <v>0.99953559967442474</v>
      </c>
      <c r="M934" s="39">
        <f t="shared" si="187"/>
        <v>0.99989379344394624</v>
      </c>
      <c r="N934" s="39">
        <f t="shared" si="187"/>
        <v>0.99997811584662311</v>
      </c>
      <c r="O934" s="39">
        <f t="shared" si="187"/>
        <v>0.99999591981185842</v>
      </c>
      <c r="P934" s="39">
        <f t="shared" si="187"/>
        <v>0.99999930913492929</v>
      </c>
      <c r="Q934" s="39">
        <f t="shared" si="187"/>
        <v>0.99999989343083451</v>
      </c>
      <c r="R934" s="39">
        <f t="shared" si="187"/>
        <v>0.99999998498385634</v>
      </c>
      <c r="S934" s="39">
        <f t="shared" si="187"/>
        <v>0.99999999806285955</v>
      </c>
      <c r="T934" s="39">
        <f t="shared" si="187"/>
        <v>0.99999999977077059</v>
      </c>
      <c r="U934" s="39">
        <f t="shared" si="187"/>
        <v>0.99999999997507838</v>
      </c>
      <c r="V934" s="39">
        <f t="shared" si="187"/>
        <v>0.99999999999750744</v>
      </c>
      <c r="W934" s="37">
        <v>6.9000000000000006E-2</v>
      </c>
    </row>
    <row r="935" spans="2:23" x14ac:dyDescent="0.25">
      <c r="B935" s="39">
        <f t="shared" si="186"/>
        <v>2.9368826499575864E-2</v>
      </c>
      <c r="C935" s="39">
        <f t="shared" si="186"/>
        <v>0.13721265784193282</v>
      </c>
      <c r="D935" s="39">
        <f t="shared" si="186"/>
        <v>0.33072398337737313</v>
      </c>
      <c r="E935" s="39">
        <f t="shared" si="186"/>
        <v>0.55686264093136895</v>
      </c>
      <c r="F935" s="39">
        <f t="shared" si="186"/>
        <v>0.75039861611227088</v>
      </c>
      <c r="G935" s="39">
        <f t="shared" si="186"/>
        <v>0.87972772385140108</v>
      </c>
      <c r="H935" s="39">
        <f t="shared" si="186"/>
        <v>0.94998626521090213</v>
      </c>
      <c r="I935" s="39">
        <f t="shared" si="186"/>
        <v>0.98188601569682943</v>
      </c>
      <c r="J935" s="39">
        <f t="shared" si="186"/>
        <v>0.99423662252537082</v>
      </c>
      <c r="K935" s="39">
        <f t="shared" si="186"/>
        <v>0.99837665464681602</v>
      </c>
      <c r="L935" s="39">
        <f t="shared" si="187"/>
        <v>0.99959250282019085</v>
      </c>
      <c r="M935" s="39">
        <f t="shared" si="187"/>
        <v>0.99990830754054794</v>
      </c>
      <c r="N935" s="39">
        <f t="shared" si="187"/>
        <v>0.99998141322557899</v>
      </c>
      <c r="O935" s="39">
        <f t="shared" si="187"/>
        <v>0.99999659123382223</v>
      </c>
      <c r="P935" s="39">
        <f t="shared" si="187"/>
        <v>0.99999943231125055</v>
      </c>
      <c r="Q935" s="39">
        <f t="shared" si="187"/>
        <v>0.99999991387866483</v>
      </c>
      <c r="R935" s="39">
        <f t="shared" si="187"/>
        <v>0.99999998806656487</v>
      </c>
      <c r="S935" s="39">
        <f t="shared" si="187"/>
        <v>0.99999999848621368</v>
      </c>
      <c r="T935" s="39">
        <f t="shared" si="187"/>
        <v>0.999999999823867</v>
      </c>
      <c r="U935" s="39">
        <f t="shared" si="187"/>
        <v>0.99999999998117284</v>
      </c>
      <c r="V935" s="39">
        <f t="shared" si="187"/>
        <v>0.99999999999814881</v>
      </c>
      <c r="W935" s="37">
        <v>6.8000000000000005E-2</v>
      </c>
    </row>
    <row r="936" spans="2:23" x14ac:dyDescent="0.25">
      <c r="B936" s="39">
        <f t="shared" si="186"/>
        <v>3.077351357259912E-2</v>
      </c>
      <c r="C936" s="39">
        <f t="shared" si="186"/>
        <v>0.14222572073175893</v>
      </c>
      <c r="D936" s="39">
        <f t="shared" si="186"/>
        <v>0.3394626708309661</v>
      </c>
      <c r="E936" s="39">
        <f t="shared" si="186"/>
        <v>0.5667790882778867</v>
      </c>
      <c r="F936" s="39">
        <f t="shared" si="186"/>
        <v>0.7586359351675146</v>
      </c>
      <c r="G936" s="39">
        <f t="shared" si="186"/>
        <v>0.88506790642363931</v>
      </c>
      <c r="H936" s="39">
        <f t="shared" si="186"/>
        <v>0.95279931959656294</v>
      </c>
      <c r="I936" s="39">
        <f t="shared" si="186"/>
        <v>0.98312384036912381</v>
      </c>
      <c r="J936" s="39">
        <f t="shared" si="186"/>
        <v>0.9947008342557061</v>
      </c>
      <c r="K936" s="39">
        <f t="shared" si="186"/>
        <v>0.99852729429241793</v>
      </c>
      <c r="L936" s="39">
        <f t="shared" si="187"/>
        <v>0.99963530464812156</v>
      </c>
      <c r="M936" s="39">
        <f t="shared" si="187"/>
        <v>0.99991905672545611</v>
      </c>
      <c r="N936" s="39">
        <f t="shared" si="187"/>
        <v>0.99998381755771293</v>
      </c>
      <c r="O936" s="39">
        <f t="shared" si="187"/>
        <v>0.9999970732278991</v>
      </c>
      <c r="P936" s="39">
        <f t="shared" si="187"/>
        <v>0.99999951936236231</v>
      </c>
      <c r="Q936" s="39">
        <f t="shared" si="187"/>
        <v>0.99999992810442651</v>
      </c>
      <c r="R936" s="39">
        <f t="shared" si="187"/>
        <v>0.99999999017772956</v>
      </c>
      <c r="S936" s="39">
        <f t="shared" si="187"/>
        <v>0.99999999877160128</v>
      </c>
      <c r="T936" s="39">
        <f t="shared" si="187"/>
        <v>0.99999999985909738</v>
      </c>
      <c r="U936" s="39">
        <f t="shared" si="187"/>
        <v>0.99999999998515277</v>
      </c>
      <c r="V936" s="39">
        <f t="shared" si="187"/>
        <v>0.99999999999856093</v>
      </c>
      <c r="W936" s="37">
        <v>6.7000000000000004E-2</v>
      </c>
    </row>
    <row r="937" spans="2:23" x14ac:dyDescent="0.25">
      <c r="B937" s="39">
        <f t="shared" si="186"/>
        <v>3.254622883178189E-2</v>
      </c>
      <c r="C937" s="39">
        <f t="shared" si="186"/>
        <v>0.1484559472579966</v>
      </c>
      <c r="D937" s="39">
        <f t="shared" si="186"/>
        <v>0.35015753842115532</v>
      </c>
      <c r="E937" s="39">
        <f t="shared" si="186"/>
        <v>0.57872999923337032</v>
      </c>
      <c r="F937" s="39">
        <f t="shared" si="186"/>
        <v>0.7684113140109835</v>
      </c>
      <c r="G937" s="39">
        <f t="shared" si="186"/>
        <v>0.89130803700756045</v>
      </c>
      <c r="H937" s="39">
        <f t="shared" si="186"/>
        <v>0.9560359458891845</v>
      </c>
      <c r="I937" s="39">
        <f t="shared" si="186"/>
        <v>0.98452612880185464</v>
      </c>
      <c r="J937" s="39">
        <f t="shared" si="186"/>
        <v>0.9952186139136181</v>
      </c>
      <c r="K937" s="39">
        <f t="shared" si="186"/>
        <v>0.99869272099840578</v>
      </c>
      <c r="L937" s="39">
        <f t="shared" si="187"/>
        <v>0.99968158033348642</v>
      </c>
      <c r="M937" s="39">
        <f t="shared" si="187"/>
        <v>0.99993049806729362</v>
      </c>
      <c r="N937" s="39">
        <f t="shared" si="187"/>
        <v>0.99998633693603067</v>
      </c>
      <c r="O937" s="39">
        <f t="shared" si="187"/>
        <v>0.99999757042052118</v>
      </c>
      <c r="P937" s="39">
        <f t="shared" si="187"/>
        <v>0.99999960775738805</v>
      </c>
      <c r="Q937" s="39">
        <f t="shared" si="187"/>
        <v>0.9999999423239806</v>
      </c>
      <c r="R937" s="39">
        <f t="shared" si="187"/>
        <v>0.99999999225491776</v>
      </c>
      <c r="S937" s="39">
        <f t="shared" si="187"/>
        <v>0.99999999904798864</v>
      </c>
      <c r="T937" s="39">
        <f t="shared" si="187"/>
        <v>0.99999999989268007</v>
      </c>
      <c r="U937" s="39">
        <f t="shared" si="187"/>
        <v>0.99999999998888689</v>
      </c>
      <c r="V937" s="39">
        <f t="shared" si="187"/>
        <v>0.99999999999894151</v>
      </c>
      <c r="W937" s="37">
        <v>6.6000000000000003E-2</v>
      </c>
    </row>
    <row r="938" spans="2:23" x14ac:dyDescent="0.25">
      <c r="B938" s="39">
        <f t="shared" si="186"/>
        <v>3.4418904786166861E-2</v>
      </c>
      <c r="C938" s="39">
        <f t="shared" si="186"/>
        <v>0.15492695936420833</v>
      </c>
      <c r="D938" s="39">
        <f t="shared" si="186"/>
        <v>0.36107874834987558</v>
      </c>
      <c r="E938" s="39">
        <f t="shared" si="186"/>
        <v>0.59072790576007339</v>
      </c>
      <c r="F938" s="39">
        <f t="shared" si="186"/>
        <v>0.77805913507152635</v>
      </c>
      <c r="G938" s="39">
        <f t="shared" si="186"/>
        <v>0.89736231647025189</v>
      </c>
      <c r="H938" s="39">
        <f t="shared" si="186"/>
        <v>0.95912280179029907</v>
      </c>
      <c r="I938" s="39">
        <f t="shared" si="186"/>
        <v>0.98584074184486115</v>
      </c>
      <c r="J938" s="39">
        <f t="shared" si="186"/>
        <v>0.99569572997128797</v>
      </c>
      <c r="K938" s="39">
        <f t="shared" si="186"/>
        <v>0.99884254614626211</v>
      </c>
      <c r="L938" s="39">
        <f t="shared" si="187"/>
        <v>0.99972277239034602</v>
      </c>
      <c r="M938" s="39">
        <f t="shared" si="187"/>
        <v>0.99994050729314865</v>
      </c>
      <c r="N938" s="39">
        <f t="shared" si="187"/>
        <v>0.99998850294927366</v>
      </c>
      <c r="O938" s="39">
        <f t="shared" si="187"/>
        <v>0.99999799048675309</v>
      </c>
      <c r="P938" s="39">
        <f t="shared" si="187"/>
        <v>0.99999968114578119</v>
      </c>
      <c r="Q938" s="39">
        <f t="shared" si="187"/>
        <v>0.99999995392438068</v>
      </c>
      <c r="R938" s="39">
        <f t="shared" si="187"/>
        <v>0.99999999391998262</v>
      </c>
      <c r="S938" s="39">
        <f t="shared" si="187"/>
        <v>0.99999999926567074</v>
      </c>
      <c r="T938" s="39">
        <f t="shared" si="187"/>
        <v>0.99999999991866673</v>
      </c>
      <c r="U938" s="39">
        <f t="shared" si="187"/>
        <v>0.99999999999172573</v>
      </c>
      <c r="V938" s="39">
        <f t="shared" si="187"/>
        <v>0.99999999999922584</v>
      </c>
      <c r="W938" s="37">
        <v>6.5000000000000002E-2</v>
      </c>
    </row>
    <row r="939" spans="2:23" x14ac:dyDescent="0.25">
      <c r="B939" s="39">
        <f t="shared" si="186"/>
        <v>3.6397056716037157E-2</v>
      </c>
      <c r="C939" s="39">
        <f t="shared" si="186"/>
        <v>0.16164595209196461</v>
      </c>
      <c r="D939" s="39">
        <f t="shared" si="186"/>
        <v>0.3722247559013605</v>
      </c>
      <c r="E939" s="39">
        <f t="shared" si="186"/>
        <v>0.60276307616829361</v>
      </c>
      <c r="F939" s="39">
        <f t="shared" si="186"/>
        <v>0.78757078103648226</v>
      </c>
      <c r="G939" s="39">
        <f t="shared" si="186"/>
        <v>0.90322842298426587</v>
      </c>
      <c r="H939" s="39">
        <f t="shared" si="186"/>
        <v>0.96206211696835409</v>
      </c>
      <c r="I939" s="39">
        <f t="shared" si="186"/>
        <v>0.98707087248004466</v>
      </c>
      <c r="J939" s="39">
        <f t="shared" si="186"/>
        <v>0.99613444438441467</v>
      </c>
      <c r="K939" s="39">
        <f t="shared" si="186"/>
        <v>0.99897791792304047</v>
      </c>
      <c r="L939" s="39">
        <f t="shared" si="187"/>
        <v>0.9997593422511778</v>
      </c>
      <c r="M939" s="39">
        <f t="shared" si="187"/>
        <v>0.9999492381627112</v>
      </c>
      <c r="N939" s="39">
        <f t="shared" si="187"/>
        <v>0.99999035923985868</v>
      </c>
      <c r="O939" s="39">
        <f t="shared" si="187"/>
        <v>0.99999834416717948</v>
      </c>
      <c r="P939" s="39">
        <f t="shared" si="187"/>
        <v>0.99999974184868734</v>
      </c>
      <c r="Q939" s="39">
        <f t="shared" si="187"/>
        <v>0.99999996335031194</v>
      </c>
      <c r="R939" s="39">
        <f t="shared" si="187"/>
        <v>0.99999999524900374</v>
      </c>
      <c r="S939" s="39">
        <f t="shared" si="187"/>
        <v>0.9999999994363391</v>
      </c>
      <c r="T939" s="39">
        <f t="shared" si="187"/>
        <v>0.99999999993867872</v>
      </c>
      <c r="U939" s="39">
        <f t="shared" si="187"/>
        <v>0.99999999999387279</v>
      </c>
      <c r="V939" s="39">
        <f t="shared" si="187"/>
        <v>0.99999999999943701</v>
      </c>
      <c r="W939" s="37">
        <v>6.4000000000000001E-2</v>
      </c>
    </row>
    <row r="940" spans="2:23" x14ac:dyDescent="0.25">
      <c r="B940" s="39">
        <f t="shared" si="186"/>
        <v>3.8130273000771403E-2</v>
      </c>
      <c r="C940" s="39">
        <f t="shared" si="186"/>
        <v>0.1674397750493514</v>
      </c>
      <c r="D940" s="39">
        <f t="shared" si="186"/>
        <v>0.38168337184906298</v>
      </c>
      <c r="E940" s="39">
        <f t="shared" si="186"/>
        <v>0.61281355771292789</v>
      </c>
      <c r="F940" s="39">
        <f t="shared" si="186"/>
        <v>0.79538698184068646</v>
      </c>
      <c r="G940" s="39">
        <f t="shared" si="186"/>
        <v>0.9079716542098355</v>
      </c>
      <c r="H940" s="39">
        <f t="shared" si="186"/>
        <v>0.96440059677305479</v>
      </c>
      <c r="I940" s="39">
        <f t="shared" si="186"/>
        <v>0.98803377092607159</v>
      </c>
      <c r="J940" s="39">
        <f t="shared" si="186"/>
        <v>0.99647230026770195</v>
      </c>
      <c r="K940" s="39">
        <f t="shared" si="186"/>
        <v>0.99908047755799445</v>
      </c>
      <c r="L940" s="39">
        <f t="shared" si="187"/>
        <v>0.99978659740860643</v>
      </c>
      <c r="M940" s="39">
        <f t="shared" si="187"/>
        <v>0.99995563901944762</v>
      </c>
      <c r="N940" s="39">
        <f t="shared" si="187"/>
        <v>0.99999169786763009</v>
      </c>
      <c r="O940" s="39">
        <f t="shared" si="187"/>
        <v>0.99999859502986632</v>
      </c>
      <c r="P940" s="39">
        <f t="shared" si="187"/>
        <v>0.99999978419576918</v>
      </c>
      <c r="Q940" s="39">
        <f t="shared" si="187"/>
        <v>0.99999996981734207</v>
      </c>
      <c r="R940" s="39">
        <f t="shared" si="187"/>
        <v>0.99999999614572332</v>
      </c>
      <c r="S940" s="39">
        <f t="shared" si="187"/>
        <v>0.99999999954957886</v>
      </c>
      <c r="T940" s="39">
        <f t="shared" si="187"/>
        <v>0.9999999999517355</v>
      </c>
      <c r="U940" s="39">
        <f t="shared" si="187"/>
        <v>0.99999999999525024</v>
      </c>
      <c r="V940" s="39">
        <f t="shared" si="187"/>
        <v>0.99999999999957012</v>
      </c>
      <c r="W940" s="37">
        <v>6.3E-2</v>
      </c>
    </row>
    <row r="941" spans="2:23" x14ac:dyDescent="0.25">
      <c r="B941" s="39">
        <f t="shared" si="186"/>
        <v>4.0317120510136251E-2</v>
      </c>
      <c r="C941" s="39">
        <f t="shared" si="186"/>
        <v>0.17463227562509187</v>
      </c>
      <c r="D941" s="39">
        <f t="shared" si="186"/>
        <v>0.39323589251492985</v>
      </c>
      <c r="E941" s="39">
        <f t="shared" si="186"/>
        <v>0.62489047160714661</v>
      </c>
      <c r="F941" s="39">
        <f t="shared" si="186"/>
        <v>0.80462694273829327</v>
      </c>
      <c r="G941" s="39">
        <f t="shared" si="186"/>
        <v>0.91348784606643763</v>
      </c>
      <c r="H941" s="39">
        <f t="shared" si="186"/>
        <v>0.96707590961040568</v>
      </c>
      <c r="I941" s="39">
        <f t="shared" si="186"/>
        <v>0.98911740458678377</v>
      </c>
      <c r="J941" s="39">
        <f t="shared" si="186"/>
        <v>0.99684630718218203</v>
      </c>
      <c r="K941" s="39">
        <f t="shared" si="186"/>
        <v>0.99919215250962112</v>
      </c>
      <c r="L941" s="39">
        <f t="shared" si="187"/>
        <v>0.99981578808129812</v>
      </c>
      <c r="M941" s="39">
        <f t="shared" si="187"/>
        <v>0.99996238172942975</v>
      </c>
      <c r="N941" s="39">
        <f t="shared" si="187"/>
        <v>0.99999308475742821</v>
      </c>
      <c r="O941" s="39">
        <f t="shared" si="187"/>
        <v>0.99999885064622729</v>
      </c>
      <c r="P941" s="39">
        <f t="shared" si="187"/>
        <v>0.99999982663144726</v>
      </c>
      <c r="Q941" s="39">
        <f t="shared" si="187"/>
        <v>0.9999999761904631</v>
      </c>
      <c r="R941" s="39">
        <f t="shared" si="187"/>
        <v>0.99999999701473985</v>
      </c>
      <c r="S941" s="39">
        <f t="shared" si="187"/>
        <v>0.9999999996574932</v>
      </c>
      <c r="T941" s="39">
        <f t="shared" si="187"/>
        <v>0.9999999999639706</v>
      </c>
      <c r="U941" s="39">
        <f t="shared" si="187"/>
        <v>0.99999999999651945</v>
      </c>
      <c r="V941" s="39">
        <f t="shared" si="187"/>
        <v>0.9999999999996908</v>
      </c>
      <c r="W941" s="37">
        <v>6.2E-2</v>
      </c>
    </row>
    <row r="942" spans="2:23" x14ac:dyDescent="0.25">
      <c r="B942" s="39">
        <f t="shared" si="186"/>
        <v>4.2626739544033322E-2</v>
      </c>
      <c r="C942" s="39">
        <f t="shared" si="186"/>
        <v>0.18209342093810196</v>
      </c>
      <c r="D942" s="39">
        <f t="shared" si="186"/>
        <v>0.405006150286497</v>
      </c>
      <c r="E942" s="39">
        <f t="shared" si="186"/>
        <v>0.63697496890025718</v>
      </c>
      <c r="F942" s="39">
        <f t="shared" si="186"/>
        <v>0.8137069419413725</v>
      </c>
      <c r="G942" s="39">
        <f t="shared" si="186"/>
        <v>0.91881110564041446</v>
      </c>
      <c r="H942" s="39">
        <f t="shared" si="186"/>
        <v>0.96961112515969416</v>
      </c>
      <c r="I942" s="39">
        <f t="shared" si="186"/>
        <v>0.99012573799030523</v>
      </c>
      <c r="J942" s="39">
        <f t="shared" si="186"/>
        <v>0.997188020456103</v>
      </c>
      <c r="K942" s="39">
        <f t="shared" si="186"/>
        <v>0.99929233172445497</v>
      </c>
      <c r="L942" s="39">
        <f t="shared" si="187"/>
        <v>0.99984149704373337</v>
      </c>
      <c r="M942" s="39">
        <f t="shared" si="187"/>
        <v>0.99996821178059703</v>
      </c>
      <c r="N942" s="39">
        <f t="shared" si="187"/>
        <v>0.99999426197301278</v>
      </c>
      <c r="O942" s="39">
        <f t="shared" si="187"/>
        <v>0.99999906363536817</v>
      </c>
      <c r="P942" s="39">
        <f t="shared" si="187"/>
        <v>0.99999986133973628</v>
      </c>
      <c r="Q942" s="39">
        <f t="shared" si="187"/>
        <v>0.99999998130687884</v>
      </c>
      <c r="R942" s="39">
        <f t="shared" si="187"/>
        <v>0.999999997699489</v>
      </c>
      <c r="S942" s="39">
        <f t="shared" si="187"/>
        <v>0.99999999974094789</v>
      </c>
      <c r="T942" s="39">
        <f t="shared" si="187"/>
        <v>0.99999999997325661</v>
      </c>
      <c r="U942" s="39">
        <f t="shared" si="187"/>
        <v>0.99999999999746481</v>
      </c>
      <c r="V942" s="39">
        <f t="shared" si="187"/>
        <v>0.99999999999977907</v>
      </c>
      <c r="W942" s="37">
        <v>6.0999999999999999E-2</v>
      </c>
    </row>
    <row r="943" spans="2:23" x14ac:dyDescent="0.25">
      <c r="B943" s="39">
        <f t="shared" ref="B943:K952" si="188">_xlfn.HYPGEOM.DIST(B$2,comau,tongtheN*$W943,tongtheN,TRUE)</f>
        <v>4.50658742490853E-2</v>
      </c>
      <c r="C943" s="39">
        <f t="shared" si="188"/>
        <v>0.18983055409949873</v>
      </c>
      <c r="D943" s="39">
        <f t="shared" si="188"/>
        <v>0.41699062145739962</v>
      </c>
      <c r="E943" s="39">
        <f t="shared" si="188"/>
        <v>0.64905585780515795</v>
      </c>
      <c r="F943" s="39">
        <f t="shared" si="188"/>
        <v>0.82261888632990576</v>
      </c>
      <c r="G943" s="39">
        <f t="shared" si="188"/>
        <v>0.92394042207382798</v>
      </c>
      <c r="H943" s="39">
        <f t="shared" si="188"/>
        <v>0.97200924368257235</v>
      </c>
      <c r="I943" s="39">
        <f t="shared" si="188"/>
        <v>0.99106203234955881</v>
      </c>
      <c r="J943" s="39">
        <f t="shared" si="188"/>
        <v>0.99749947958979457</v>
      </c>
      <c r="K943" s="39">
        <f t="shared" si="188"/>
        <v>0.99938195610395297</v>
      </c>
      <c r="L943" s="39">
        <f t="shared" ref="L943:V952" si="189">_xlfn.HYPGEOM.DIST(L$2,comau,tongtheN*$W943,tongtheN,TRUE)</f>
        <v>0.99986407167300018</v>
      </c>
      <c r="M943" s="39">
        <f t="shared" si="189"/>
        <v>0.99997323606342314</v>
      </c>
      <c r="N943" s="39">
        <f t="shared" si="189"/>
        <v>0.99999525761068275</v>
      </c>
      <c r="O943" s="39">
        <f t="shared" si="189"/>
        <v>0.9999992404117436</v>
      </c>
      <c r="P943" s="39">
        <f t="shared" si="189"/>
        <v>0.99999988960799946</v>
      </c>
      <c r="Q943" s="39">
        <f t="shared" si="189"/>
        <v>0.99999998539579771</v>
      </c>
      <c r="R943" s="39">
        <f t="shared" si="189"/>
        <v>0.99999999823643215</v>
      </c>
      <c r="S943" s="39">
        <f t="shared" si="189"/>
        <v>0.9999999998051543</v>
      </c>
      <c r="T943" s="39">
        <f t="shared" si="189"/>
        <v>0.99999999998026567</v>
      </c>
      <c r="U943" s="39">
        <f t="shared" si="189"/>
        <v>0.9999999999981648</v>
      </c>
      <c r="V943" s="39">
        <f t="shared" si="189"/>
        <v>0.99999999999984313</v>
      </c>
      <c r="W943" s="37">
        <v>0.06</v>
      </c>
    </row>
    <row r="944" spans="2:23" x14ac:dyDescent="0.25">
      <c r="B944" s="39">
        <f t="shared" si="188"/>
        <v>4.7202537739520163E-2</v>
      </c>
      <c r="C944" s="39">
        <f t="shared" si="188"/>
        <v>0.19649428500870009</v>
      </c>
      <c r="D944" s="39">
        <f t="shared" si="188"/>
        <v>0.42713837112182773</v>
      </c>
      <c r="E944" s="39">
        <f t="shared" si="188"/>
        <v>0.65911218880823186</v>
      </c>
      <c r="F944" s="39">
        <f t="shared" si="188"/>
        <v>0.82991143101420761</v>
      </c>
      <c r="G944" s="39">
        <f t="shared" si="188"/>
        <v>0.92806622140407813</v>
      </c>
      <c r="H944" s="39">
        <f t="shared" si="188"/>
        <v>0.97390523829154074</v>
      </c>
      <c r="I944" s="39">
        <f t="shared" si="188"/>
        <v>0.99178959839927838</v>
      </c>
      <c r="J944" s="39">
        <f t="shared" si="188"/>
        <v>0.99773734441336914</v>
      </c>
      <c r="K944" s="39">
        <f t="shared" si="188"/>
        <v>0.99944922276332859</v>
      </c>
      <c r="L944" s="39">
        <f t="shared" si="189"/>
        <v>0.99988072166911046</v>
      </c>
      <c r="M944" s="39">
        <f t="shared" si="189"/>
        <v>0.99997687741413155</v>
      </c>
      <c r="N944" s="39">
        <f t="shared" si="189"/>
        <v>0.99999596663254287</v>
      </c>
      <c r="O944" s="39">
        <f t="shared" si="189"/>
        <v>0.99999936409964008</v>
      </c>
      <c r="P944" s="39">
        <f t="shared" si="189"/>
        <v>0.99999990904017466</v>
      </c>
      <c r="Q944" s="39">
        <f t="shared" si="189"/>
        <v>0.99999998815716751</v>
      </c>
      <c r="R944" s="39">
        <f t="shared" si="189"/>
        <v>0.99999999859264743</v>
      </c>
      <c r="S944" s="39">
        <f t="shared" si="189"/>
        <v>0.99999999984699561</v>
      </c>
      <c r="T944" s="39">
        <f t="shared" si="189"/>
        <v>0.9999999999847522</v>
      </c>
      <c r="U944" s="39">
        <f t="shared" si="189"/>
        <v>0.99999999999860489</v>
      </c>
      <c r="V944" s="39">
        <f t="shared" si="189"/>
        <v>0.99999999999988265</v>
      </c>
      <c r="W944" s="37">
        <v>5.8999999999999997E-2</v>
      </c>
    </row>
    <row r="945" spans="2:23" x14ac:dyDescent="0.25">
      <c r="B945" s="39">
        <f t="shared" si="188"/>
        <v>4.9897849519474714E-2</v>
      </c>
      <c r="C945" s="39">
        <f t="shared" si="188"/>
        <v>0.20475644215564423</v>
      </c>
      <c r="D945" s="39">
        <f t="shared" si="188"/>
        <v>0.43950445925378401</v>
      </c>
      <c r="E945" s="39">
        <f t="shared" si="188"/>
        <v>0.67115622719458201</v>
      </c>
      <c r="F945" s="39">
        <f t="shared" si="188"/>
        <v>0.83849494161949845</v>
      </c>
      <c r="G945" s="39">
        <f t="shared" si="188"/>
        <v>0.93283855108914526</v>
      </c>
      <c r="H945" s="39">
        <f t="shared" si="188"/>
        <v>0.97606039593993488</v>
      </c>
      <c r="I945" s="39">
        <f t="shared" si="188"/>
        <v>0.99260227360538866</v>
      </c>
      <c r="J945" s="39">
        <f t="shared" si="188"/>
        <v>0.99799841646577159</v>
      </c>
      <c r="K945" s="39">
        <f t="shared" si="188"/>
        <v>0.99952176625328859</v>
      </c>
      <c r="L945" s="39">
        <f t="shared" si="189"/>
        <v>0.99989836432228052</v>
      </c>
      <c r="M945" s="39">
        <f t="shared" si="189"/>
        <v>0.99998066834707156</v>
      </c>
      <c r="N945" s="39">
        <f t="shared" si="189"/>
        <v>0.9999966918355776</v>
      </c>
      <c r="O945" s="39">
        <f t="shared" si="189"/>
        <v>0.9999994883867388</v>
      </c>
      <c r="P945" s="39">
        <f t="shared" si="189"/>
        <v>0.99999992822251049</v>
      </c>
      <c r="Q945" s="39">
        <f t="shared" si="189"/>
        <v>0.99999999083490587</v>
      </c>
      <c r="R945" s="39">
        <f t="shared" si="189"/>
        <v>0.99999999893196145</v>
      </c>
      <c r="S945" s="39">
        <f t="shared" si="189"/>
        <v>0.99999999988614474</v>
      </c>
      <c r="T945" s="39">
        <f t="shared" si="189"/>
        <v>0.99999999998887534</v>
      </c>
      <c r="U945" s="39">
        <f t="shared" si="189"/>
        <v>0.99999999999900213</v>
      </c>
      <c r="V945" s="39">
        <f t="shared" si="189"/>
        <v>0.99999999999991773</v>
      </c>
      <c r="W945" s="37">
        <v>5.8000000000000003E-2</v>
      </c>
    </row>
    <row r="946" spans="2:23" x14ac:dyDescent="0.25">
      <c r="B946" s="39">
        <f t="shared" si="188"/>
        <v>5.2743816937994549E-2</v>
      </c>
      <c r="C946" s="39">
        <f t="shared" si="188"/>
        <v>0.21331530343940733</v>
      </c>
      <c r="D946" s="39">
        <f t="shared" si="188"/>
        <v>0.4520715142979943</v>
      </c>
      <c r="E946" s="39">
        <f t="shared" si="188"/>
        <v>0.68316307040086888</v>
      </c>
      <c r="F946" s="39">
        <f t="shared" si="188"/>
        <v>0.84688865108136113</v>
      </c>
      <c r="G946" s="39">
        <f t="shared" si="188"/>
        <v>0.93741605061621747</v>
      </c>
      <c r="H946" s="39">
        <f t="shared" si="188"/>
        <v>0.97808790250293665</v>
      </c>
      <c r="I946" s="39">
        <f t="shared" si="188"/>
        <v>0.99335210206138647</v>
      </c>
      <c r="J946" s="39">
        <f t="shared" si="188"/>
        <v>0.99823465087732266</v>
      </c>
      <c r="K946" s="39">
        <f t="shared" si="188"/>
        <v>0.99958613797620399</v>
      </c>
      <c r="L946" s="39">
        <f t="shared" si="189"/>
        <v>0.99991371580730615</v>
      </c>
      <c r="M946" s="39">
        <f t="shared" si="189"/>
        <v>0.99998390278006233</v>
      </c>
      <c r="N946" s="39">
        <f t="shared" si="189"/>
        <v>0.99999729850601304</v>
      </c>
      <c r="O946" s="39">
        <f t="shared" si="189"/>
        <v>0.99999959032468633</v>
      </c>
      <c r="P946" s="39">
        <f t="shared" si="189"/>
        <v>0.99999994364673173</v>
      </c>
      <c r="Q946" s="39">
        <f t="shared" si="189"/>
        <v>0.99999999294565667</v>
      </c>
      <c r="R946" s="39">
        <f t="shared" si="189"/>
        <v>0.99999999919414939</v>
      </c>
      <c r="S946" s="39">
        <f t="shared" si="189"/>
        <v>0.99999999991579647</v>
      </c>
      <c r="T946" s="39">
        <f t="shared" si="189"/>
        <v>0.99999999999193623</v>
      </c>
      <c r="U946" s="39">
        <f t="shared" si="189"/>
        <v>0.99999999999929112</v>
      </c>
      <c r="V946" s="39">
        <f t="shared" si="189"/>
        <v>0.99999999999994271</v>
      </c>
      <c r="W946" s="37">
        <v>5.7000000000000002E-2</v>
      </c>
    </row>
    <row r="947" spans="2:23" x14ac:dyDescent="0.25">
      <c r="B947" s="39">
        <f t="shared" si="188"/>
        <v>5.5748679746890559E-2</v>
      </c>
      <c r="C947" s="39">
        <f t="shared" si="188"/>
        <v>0.22217807784163149</v>
      </c>
      <c r="D947" s="39">
        <f t="shared" si="188"/>
        <v>0.46483362128176664</v>
      </c>
      <c r="E947" s="39">
        <f t="shared" si="188"/>
        <v>0.69512025379585207</v>
      </c>
      <c r="F947" s="39">
        <f t="shared" si="188"/>
        <v>0.85508538914072285</v>
      </c>
      <c r="G947" s="39">
        <f t="shared" si="188"/>
        <v>0.94179911898414581</v>
      </c>
      <c r="H947" s="39">
        <f t="shared" si="188"/>
        <v>0.97999139254893597</v>
      </c>
      <c r="I947" s="39">
        <f t="shared" si="188"/>
        <v>0.99404228482117807</v>
      </c>
      <c r="J947" s="39">
        <f t="shared" si="188"/>
        <v>0.99844782500237061</v>
      </c>
      <c r="K947" s="39">
        <f t="shared" si="188"/>
        <v>0.99964308233968613</v>
      </c>
      <c r="L947" s="39">
        <f t="shared" si="189"/>
        <v>0.99992702786744936</v>
      </c>
      <c r="M947" s="39">
        <f t="shared" si="189"/>
        <v>0.99998665198513625</v>
      </c>
      <c r="N947" s="39">
        <f t="shared" si="189"/>
        <v>0.99999780392387638</v>
      </c>
      <c r="O947" s="39">
        <f t="shared" si="189"/>
        <v>0.99999967355795261</v>
      </c>
      <c r="P947" s="39">
        <f t="shared" si="189"/>
        <v>0.99999995598919822</v>
      </c>
      <c r="Q947" s="39">
        <f t="shared" si="189"/>
        <v>0.99999999460084543</v>
      </c>
      <c r="R947" s="39">
        <f t="shared" si="189"/>
        <v>0.99999999939561879</v>
      </c>
      <c r="S947" s="39">
        <f t="shared" si="189"/>
        <v>0.99999999993812227</v>
      </c>
      <c r="T947" s="39">
        <f t="shared" si="189"/>
        <v>0.99999999999419431</v>
      </c>
      <c r="U947" s="39">
        <f t="shared" si="189"/>
        <v>0.99999999999949996</v>
      </c>
      <c r="V947" s="39">
        <f t="shared" si="189"/>
        <v>0.99999999999996048</v>
      </c>
      <c r="W947" s="37">
        <v>5.6000000000000001E-2</v>
      </c>
    </row>
    <row r="948" spans="2:23" x14ac:dyDescent="0.25">
      <c r="B948" s="39">
        <f t="shared" si="188"/>
        <v>5.8380359299548205E-2</v>
      </c>
      <c r="C948" s="39">
        <f t="shared" si="188"/>
        <v>0.22980101415279733</v>
      </c>
      <c r="D948" s="39">
        <f t="shared" si="188"/>
        <v>0.47561296263841552</v>
      </c>
      <c r="E948" s="39">
        <f t="shared" si="188"/>
        <v>0.70503744789166001</v>
      </c>
      <c r="F948" s="39">
        <f t="shared" si="188"/>
        <v>0.86176058033784464</v>
      </c>
      <c r="G948" s="39">
        <f t="shared" si="188"/>
        <v>0.94530369995873187</v>
      </c>
      <c r="H948" s="39">
        <f t="shared" si="188"/>
        <v>0.98148561739587359</v>
      </c>
      <c r="I948" s="39">
        <f t="shared" si="188"/>
        <v>0.99457415916942349</v>
      </c>
      <c r="J948" s="39">
        <f t="shared" si="188"/>
        <v>0.99860908659406322</v>
      </c>
      <c r="K948" s="39">
        <f t="shared" si="188"/>
        <v>0.99968536579242251</v>
      </c>
      <c r="L948" s="39">
        <f t="shared" si="189"/>
        <v>0.99993672983379267</v>
      </c>
      <c r="M948" s="39">
        <f t="shared" si="189"/>
        <v>0.99998861845717923</v>
      </c>
      <c r="N948" s="39">
        <f t="shared" si="189"/>
        <v>0.99999815871156239</v>
      </c>
      <c r="O948" s="39">
        <f t="shared" si="189"/>
        <v>0.99999973089339511</v>
      </c>
      <c r="P948" s="39">
        <f t="shared" si="189"/>
        <v>0.99999996433190996</v>
      </c>
      <c r="Q948" s="39">
        <f t="shared" si="189"/>
        <v>0.99999999569859299</v>
      </c>
      <c r="R948" s="39">
        <f t="shared" si="189"/>
        <v>0.99999999952671315</v>
      </c>
      <c r="S948" s="39">
        <f t="shared" si="189"/>
        <v>0.9999999999523741</v>
      </c>
      <c r="T948" s="39">
        <f t="shared" si="189"/>
        <v>0.9999999999956084</v>
      </c>
      <c r="U948" s="39">
        <f t="shared" si="189"/>
        <v>0.9999999999996283</v>
      </c>
      <c r="V948" s="39">
        <f t="shared" si="189"/>
        <v>0.99999999999997113</v>
      </c>
      <c r="W948" s="37">
        <v>5.5E-2</v>
      </c>
    </row>
    <row r="949" spans="2:23" x14ac:dyDescent="0.25">
      <c r="B949" s="39">
        <f t="shared" si="188"/>
        <v>6.1699409455547201E-2</v>
      </c>
      <c r="C949" s="39">
        <f t="shared" si="188"/>
        <v>0.2392393459902914</v>
      </c>
      <c r="D949" s="39">
        <f t="shared" si="188"/>
        <v>0.48871498298962218</v>
      </c>
      <c r="E949" s="39">
        <f t="shared" si="188"/>
        <v>0.71687028253174101</v>
      </c>
      <c r="F949" s="39">
        <f t="shared" si="188"/>
        <v>0.86957862894249116</v>
      </c>
      <c r="G949" s="39">
        <f t="shared" si="188"/>
        <v>0.94933259595479225</v>
      </c>
      <c r="H949" s="39">
        <f t="shared" si="188"/>
        <v>0.98317163353904624</v>
      </c>
      <c r="I949" s="39">
        <f t="shared" si="188"/>
        <v>0.99516318052559738</v>
      </c>
      <c r="J949" s="39">
        <f t="shared" si="188"/>
        <v>0.99878435734615256</v>
      </c>
      <c r="K949" s="39">
        <f t="shared" si="188"/>
        <v>0.99973046673718458</v>
      </c>
      <c r="L949" s="39">
        <f t="shared" si="189"/>
        <v>0.99994688510924734</v>
      </c>
      <c r="M949" s="39">
        <f t="shared" si="189"/>
        <v>0.99999063829458568</v>
      </c>
      <c r="N949" s="39">
        <f t="shared" si="189"/>
        <v>0.99999851629194569</v>
      </c>
      <c r="O949" s="39">
        <f t="shared" si="189"/>
        <v>0.99999978759358765</v>
      </c>
      <c r="P949" s="39">
        <f t="shared" si="189"/>
        <v>0.99999997242667793</v>
      </c>
      <c r="Q949" s="39">
        <f t="shared" si="189"/>
        <v>0.99999999674358953</v>
      </c>
      <c r="R949" s="39">
        <f t="shared" si="189"/>
        <v>0.9999999996491441</v>
      </c>
      <c r="S949" s="39">
        <f t="shared" si="189"/>
        <v>0.99999999996543143</v>
      </c>
      <c r="T949" s="39">
        <f t="shared" si="189"/>
        <v>0.99999999999687927</v>
      </c>
      <c r="U949" s="39">
        <f t="shared" si="189"/>
        <v>0.99999999999974143</v>
      </c>
      <c r="V949" s="39">
        <f t="shared" si="189"/>
        <v>0.99999999999998035</v>
      </c>
      <c r="W949" s="37">
        <v>5.3999999999999999E-2</v>
      </c>
    </row>
    <row r="950" spans="2:23" x14ac:dyDescent="0.25">
      <c r="B950" s="39">
        <f t="shared" si="188"/>
        <v>6.5203171873044544E-2</v>
      </c>
      <c r="C950" s="39">
        <f t="shared" si="188"/>
        <v>0.24900139203273591</v>
      </c>
      <c r="D950" s="39">
        <f t="shared" si="188"/>
        <v>0.50199143892783493</v>
      </c>
      <c r="E950" s="39">
        <f t="shared" si="188"/>
        <v>0.72861666940592751</v>
      </c>
      <c r="F950" s="39">
        <f t="shared" si="188"/>
        <v>0.87718116790057232</v>
      </c>
      <c r="G950" s="39">
        <f t="shared" si="188"/>
        <v>0.95317023499170128</v>
      </c>
      <c r="H950" s="39">
        <f t="shared" si="188"/>
        <v>0.98474463960020342</v>
      </c>
      <c r="I950" s="39">
        <f t="shared" si="188"/>
        <v>0.99570140439840604</v>
      </c>
      <c r="J950" s="39">
        <f t="shared" si="188"/>
        <v>0.99894120465971692</v>
      </c>
      <c r="K950" s="39">
        <f t="shared" si="188"/>
        <v>0.99976999077307549</v>
      </c>
      <c r="L950" s="39">
        <f t="shared" si="189"/>
        <v>0.99995559970962689</v>
      </c>
      <c r="M950" s="39">
        <f t="shared" si="189"/>
        <v>0.99999233546023591</v>
      </c>
      <c r="N950" s="39">
        <f t="shared" si="189"/>
        <v>0.99999881046663819</v>
      </c>
      <c r="O950" s="39">
        <f t="shared" si="189"/>
        <v>0.99999983326153763</v>
      </c>
      <c r="P950" s="39">
        <f t="shared" si="189"/>
        <v>0.99999997880928526</v>
      </c>
      <c r="Q950" s="39">
        <f t="shared" si="189"/>
        <v>0.99999999755016777</v>
      </c>
      <c r="R950" s="39">
        <f t="shared" si="189"/>
        <v>0.999999999741642</v>
      </c>
      <c r="S950" s="39">
        <f t="shared" si="189"/>
        <v>0.99999999997508682</v>
      </c>
      <c r="T950" s="39">
        <f t="shared" si="189"/>
        <v>0.99999999999779898</v>
      </c>
      <c r="U950" s="39">
        <f t="shared" si="189"/>
        <v>0.99999999999982159</v>
      </c>
      <c r="V950" s="39">
        <f t="shared" si="189"/>
        <v>0.99999999999998668</v>
      </c>
      <c r="W950" s="37">
        <v>5.2999999999999999E-2</v>
      </c>
    </row>
    <row r="951" spans="2:23" x14ac:dyDescent="0.25">
      <c r="B951" s="39">
        <f t="shared" si="188"/>
        <v>6.8901705026749832E-2</v>
      </c>
      <c r="C951" s="39">
        <f t="shared" si="188"/>
        <v>0.25909381916078028</v>
      </c>
      <c r="D951" s="39">
        <f t="shared" si="188"/>
        <v>0.51543360599713872</v>
      </c>
      <c r="E951" s="39">
        <f t="shared" si="188"/>
        <v>0.74026318647819744</v>
      </c>
      <c r="F951" s="39">
        <f t="shared" si="188"/>
        <v>0.8845623709980579</v>
      </c>
      <c r="G951" s="39">
        <f t="shared" si="188"/>
        <v>0.95681845712110247</v>
      </c>
      <c r="H951" s="39">
        <f t="shared" si="188"/>
        <v>0.98620873011525723</v>
      </c>
      <c r="I951" s="39">
        <f t="shared" si="188"/>
        <v>0.99619185177412439</v>
      </c>
      <c r="J951" s="39">
        <f t="shared" si="188"/>
        <v>0.99908112144839911</v>
      </c>
      <c r="K951" s="39">
        <f t="shared" si="188"/>
        <v>0.99980450423189193</v>
      </c>
      <c r="L951" s="39">
        <f t="shared" si="189"/>
        <v>0.99996304840324179</v>
      </c>
      <c r="M951" s="39">
        <f t="shared" si="189"/>
        <v>0.99999375527957468</v>
      </c>
      <c r="N951" s="39">
        <f t="shared" si="189"/>
        <v>0.99999905132458067</v>
      </c>
      <c r="O951" s="39">
        <f t="shared" si="189"/>
        <v>0.99999986985338907</v>
      </c>
      <c r="P951" s="39">
        <f t="shared" si="189"/>
        <v>0.99999998381375865</v>
      </c>
      <c r="Q951" s="39">
        <f t="shared" si="189"/>
        <v>0.99999999816898755</v>
      </c>
      <c r="R951" s="39">
        <f t="shared" si="189"/>
        <v>0.99999999981107668</v>
      </c>
      <c r="S951" s="39">
        <f t="shared" si="189"/>
        <v>0.99999999998217792</v>
      </c>
      <c r="T951" s="39">
        <f t="shared" si="189"/>
        <v>0.99999999999845979</v>
      </c>
      <c r="U951" s="39">
        <f t="shared" si="189"/>
        <v>0.99999999999987788</v>
      </c>
      <c r="V951" s="39">
        <f t="shared" si="189"/>
        <v>0.99999999999999112</v>
      </c>
      <c r="W951" s="37">
        <v>5.1999999999999998E-2</v>
      </c>
    </row>
    <row r="952" spans="2:23" x14ac:dyDescent="0.25">
      <c r="B952" s="39">
        <f t="shared" si="188"/>
        <v>7.280560310789079E-2</v>
      </c>
      <c r="C952" s="39">
        <f t="shared" si="188"/>
        <v>0.26952306631899375</v>
      </c>
      <c r="D952" s="39">
        <f t="shared" si="188"/>
        <v>0.52903196025449584</v>
      </c>
      <c r="E952" s="39">
        <f t="shared" si="188"/>
        <v>0.7517962320398387</v>
      </c>
      <c r="F952" s="39">
        <f t="shared" si="188"/>
        <v>0.89171683224418086</v>
      </c>
      <c r="G952" s="39">
        <f t="shared" si="188"/>
        <v>0.96027947356804844</v>
      </c>
      <c r="H952" s="39">
        <f t="shared" si="188"/>
        <v>0.9875680870302842</v>
      </c>
      <c r="I952" s="39">
        <f t="shared" si="188"/>
        <v>0.9966374788294502</v>
      </c>
      <c r="J952" s="39">
        <f t="shared" si="188"/>
        <v>0.99920552497851411</v>
      </c>
      <c r="K952" s="39">
        <f t="shared" si="188"/>
        <v>0.9998345307571983</v>
      </c>
      <c r="L952" s="39">
        <f t="shared" si="189"/>
        <v>0.99996938885491504</v>
      </c>
      <c r="M952" s="39">
        <f t="shared" si="189"/>
        <v>0.99999493768451331</v>
      </c>
      <c r="N952" s="39">
        <f t="shared" si="189"/>
        <v>0.99999924755057756</v>
      </c>
      <c r="O952" s="39">
        <f t="shared" si="189"/>
        <v>0.99999989901500141</v>
      </c>
      <c r="P952" s="39">
        <f t="shared" si="189"/>
        <v>0.99999998771484944</v>
      </c>
      <c r="Q952" s="39">
        <f t="shared" si="189"/>
        <v>0.99999999864079092</v>
      </c>
      <c r="R952" s="39">
        <f t="shared" si="189"/>
        <v>0.9999999998628506</v>
      </c>
      <c r="S952" s="39">
        <f t="shared" si="189"/>
        <v>0.99999999998734868</v>
      </c>
      <c r="T952" s="39">
        <f t="shared" si="189"/>
        <v>0.99999999999893097</v>
      </c>
      <c r="U952" s="39">
        <f t="shared" si="189"/>
        <v>0.99999999999991718</v>
      </c>
      <c r="V952" s="39">
        <f t="shared" si="189"/>
        <v>0.99999999999999412</v>
      </c>
      <c r="W952" s="37">
        <v>5.0999999999999997E-2</v>
      </c>
    </row>
    <row r="953" spans="2:23" x14ac:dyDescent="0.25">
      <c r="B953" s="39">
        <f t="shared" ref="B953:K962" si="190">_xlfn.HYPGEOM.DIST(B$2,comau,tongtheN*$W953,tongtheN,TRUE)</f>
        <v>7.6223759686561782E-2</v>
      </c>
      <c r="C953" s="39">
        <f t="shared" si="190"/>
        <v>0.27847585835737254</v>
      </c>
      <c r="D953" s="39">
        <f t="shared" si="190"/>
        <v>0.54047579052461747</v>
      </c>
      <c r="E953" s="39">
        <f t="shared" si="190"/>
        <v>0.76131050955156687</v>
      </c>
      <c r="F953" s="39">
        <f t="shared" si="190"/>
        <v>0.89750208696252443</v>
      </c>
      <c r="G953" s="39">
        <f t="shared" si="190"/>
        <v>0.96302249820526975</v>
      </c>
      <c r="H953" s="39">
        <f t="shared" si="190"/>
        <v>0.98862394755407812</v>
      </c>
      <c r="I953" s="39">
        <f t="shared" si="190"/>
        <v>0.99697668041726906</v>
      </c>
      <c r="J953" s="39">
        <f t="shared" si="190"/>
        <v>0.99929831436983474</v>
      </c>
      <c r="K953" s="39">
        <f t="shared" si="190"/>
        <v>0.99985647475585493</v>
      </c>
      <c r="L953" s="39">
        <f t="shared" ref="L953:V962" si="191">_xlfn.HYPGEOM.DIST(L$2,comau,tongtheN*$W953,tongtheN,TRUE)</f>
        <v>0.99997392870463497</v>
      </c>
      <c r="M953" s="39">
        <f t="shared" si="191"/>
        <v>0.9999957670832601</v>
      </c>
      <c r="N953" s="39">
        <f t="shared" si="191"/>
        <v>0.99999938238306829</v>
      </c>
      <c r="O953" s="39">
        <f t="shared" si="191"/>
        <v>0.99999991864205806</v>
      </c>
      <c r="P953" s="39">
        <f t="shared" si="191"/>
        <v>0.99999999028642816</v>
      </c>
      <c r="Q953" s="39">
        <f t="shared" si="191"/>
        <v>0.99999999894537639</v>
      </c>
      <c r="R953" s="39">
        <f t="shared" si="191"/>
        <v>0.99999999989558142</v>
      </c>
      <c r="S953" s="39">
        <f t="shared" si="191"/>
        <v>0.99999999999054956</v>
      </c>
      <c r="T953" s="39">
        <f t="shared" si="191"/>
        <v>0.99999999999921663</v>
      </c>
      <c r="U953" s="39">
        <f t="shared" si="191"/>
        <v>0.99999999999994038</v>
      </c>
      <c r="V953" s="39">
        <f t="shared" si="191"/>
        <v>0.99999999999999589</v>
      </c>
      <c r="W953" s="37">
        <v>0.05</v>
      </c>
    </row>
    <row r="954" spans="2:23" x14ac:dyDescent="0.25">
      <c r="B954" s="39">
        <f t="shared" si="190"/>
        <v>8.0533566274704663E-2</v>
      </c>
      <c r="C954" s="39">
        <f t="shared" si="190"/>
        <v>0.28953840420463967</v>
      </c>
      <c r="D954" s="39">
        <f t="shared" si="190"/>
        <v>0.55433299506379241</v>
      </c>
      <c r="E954" s="39">
        <f t="shared" si="190"/>
        <v>0.77259974153095035</v>
      </c>
      <c r="F954" s="39">
        <f t="shared" si="190"/>
        <v>0.90422832166449729</v>
      </c>
      <c r="G954" s="39">
        <f t="shared" si="190"/>
        <v>0.96614725794361456</v>
      </c>
      <c r="H954" s="39">
        <f t="shared" si="190"/>
        <v>0.9898023866894522</v>
      </c>
      <c r="I954" s="39">
        <f t="shared" si="190"/>
        <v>0.9973475731336372</v>
      </c>
      <c r="J954" s="39">
        <f t="shared" si="190"/>
        <v>0.99939770708819797</v>
      </c>
      <c r="K954" s="39">
        <f t="shared" si="190"/>
        <v>0.99987950049931695</v>
      </c>
      <c r="L954" s="39">
        <f t="shared" si="191"/>
        <v>0.99997859483321361</v>
      </c>
      <c r="M954" s="39">
        <f t="shared" si="191"/>
        <v>0.99999660205437835</v>
      </c>
      <c r="N954" s="39">
        <f t="shared" si="191"/>
        <v>0.99999951532771425</v>
      </c>
      <c r="O954" s="39">
        <f t="shared" si="191"/>
        <v>0.99999993759492378</v>
      </c>
      <c r="P954" s="39">
        <f t="shared" si="191"/>
        <v>0.99999999271828488</v>
      </c>
      <c r="Q954" s="39">
        <f t="shared" si="191"/>
        <v>0.99999999922743588</v>
      </c>
      <c r="R954" s="39">
        <f t="shared" si="191"/>
        <v>0.99999999992526101</v>
      </c>
      <c r="S954" s="39">
        <f t="shared" si="191"/>
        <v>0.9999999999933914</v>
      </c>
      <c r="T954" s="39">
        <f t="shared" si="191"/>
        <v>0.99999999999946487</v>
      </c>
      <c r="U954" s="39">
        <f t="shared" si="191"/>
        <v>0.99999999999996025</v>
      </c>
      <c r="V954" s="39">
        <f t="shared" si="191"/>
        <v>0.99999999999999734</v>
      </c>
      <c r="W954" s="37">
        <v>4.9000000000000002E-2</v>
      </c>
    </row>
    <row r="955" spans="2:23" x14ac:dyDescent="0.25">
      <c r="B955" s="39">
        <f t="shared" si="190"/>
        <v>8.5081913691553768E-2</v>
      </c>
      <c r="C955" s="39">
        <f t="shared" si="190"/>
        <v>0.30095439189406192</v>
      </c>
      <c r="D955" s="39">
        <f t="shared" si="190"/>
        <v>0.56831483709431807</v>
      </c>
      <c r="E955" s="39">
        <f t="shared" si="190"/>
        <v>0.78373630222167101</v>
      </c>
      <c r="F955" s="39">
        <f t="shared" si="190"/>
        <v>0.91071502415520023</v>
      </c>
      <c r="G955" s="39">
        <f t="shared" si="190"/>
        <v>0.96909304248451555</v>
      </c>
      <c r="H955" s="39">
        <f t="shared" si="190"/>
        <v>0.99088828904115289</v>
      </c>
      <c r="I955" s="39">
        <f t="shared" si="190"/>
        <v>0.99768161264322164</v>
      </c>
      <c r="J955" s="39">
        <f t="shared" si="190"/>
        <v>0.99948519265848812</v>
      </c>
      <c r="K955" s="39">
        <f t="shared" si="190"/>
        <v>0.99989930637351654</v>
      </c>
      <c r="L955" s="39">
        <f t="shared" si="191"/>
        <v>0.99998251677803962</v>
      </c>
      <c r="M955" s="39">
        <f t="shared" si="191"/>
        <v>0.99999728777362062</v>
      </c>
      <c r="N955" s="39">
        <f t="shared" si="191"/>
        <v>0.99999962199746351</v>
      </c>
      <c r="O955" s="39">
        <f t="shared" si="191"/>
        <v>0.99999995245106543</v>
      </c>
      <c r="P955" s="39">
        <f t="shared" si="191"/>
        <v>0.9999999945803496</v>
      </c>
      <c r="Q955" s="39">
        <f t="shared" si="191"/>
        <v>0.99999999943838991</v>
      </c>
      <c r="R955" s="39">
        <f t="shared" si="191"/>
        <v>0.999999999946941</v>
      </c>
      <c r="S955" s="39">
        <f t="shared" si="191"/>
        <v>0.99999999999541878</v>
      </c>
      <c r="T955" s="39">
        <f t="shared" si="191"/>
        <v>0.99999999999963773</v>
      </c>
      <c r="U955" s="39">
        <f t="shared" si="191"/>
        <v>0.99999999999997369</v>
      </c>
      <c r="V955" s="39">
        <f t="shared" si="191"/>
        <v>0.99999999999999822</v>
      </c>
      <c r="W955" s="37">
        <v>4.8000000000000001E-2</v>
      </c>
    </row>
    <row r="956" spans="2:23" x14ac:dyDescent="0.25">
      <c r="B956" s="39">
        <f t="shared" si="190"/>
        <v>8.9881720815891797E-2</v>
      </c>
      <c r="C956" s="39">
        <f t="shared" si="190"/>
        <v>0.31272896250818516</v>
      </c>
      <c r="D956" s="39">
        <f t="shared" si="190"/>
        <v>0.58240849728105704</v>
      </c>
      <c r="E956" s="39">
        <f t="shared" si="190"/>
        <v>0.79470624743822116</v>
      </c>
      <c r="F956" s="39">
        <f t="shared" si="190"/>
        <v>0.91695865505212792</v>
      </c>
      <c r="G956" s="39">
        <f t="shared" si="190"/>
        <v>0.9718634250856667</v>
      </c>
      <c r="H956" s="39">
        <f t="shared" si="190"/>
        <v>0.99188603617587912</v>
      </c>
      <c r="I956" s="39">
        <f t="shared" si="190"/>
        <v>0.99798144856217552</v>
      </c>
      <c r="J956" s="39">
        <f t="shared" si="190"/>
        <v>0.99956190111804089</v>
      </c>
      <c r="K956" s="39">
        <f t="shared" si="190"/>
        <v>0.99991626874289041</v>
      </c>
      <c r="L956" s="39">
        <f t="shared" si="191"/>
        <v>0.99998579730822812</v>
      </c>
      <c r="M956" s="39">
        <f t="shared" si="191"/>
        <v>0.99999784792200219</v>
      </c>
      <c r="N956" s="39">
        <f t="shared" si="191"/>
        <v>0.9999997070869846</v>
      </c>
      <c r="O956" s="39">
        <f t="shared" si="191"/>
        <v>0.99999996402237445</v>
      </c>
      <c r="P956" s="39">
        <f t="shared" si="191"/>
        <v>0.99999999599639189</v>
      </c>
      <c r="Q956" s="39">
        <f t="shared" si="191"/>
        <v>0.99999999959500629</v>
      </c>
      <c r="R956" s="39">
        <f t="shared" si="191"/>
        <v>0.99999999996265321</v>
      </c>
      <c r="S956" s="39">
        <f t="shared" si="191"/>
        <v>0.99999999999685296</v>
      </c>
      <c r="T956" s="39">
        <f t="shared" si="191"/>
        <v>0.99999999999975719</v>
      </c>
      <c r="U956" s="39">
        <f t="shared" si="191"/>
        <v>0.99999999999998279</v>
      </c>
      <c r="V956" s="39">
        <f t="shared" si="191"/>
        <v>0.99999999999999889</v>
      </c>
      <c r="W956" s="37">
        <v>4.7E-2</v>
      </c>
    </row>
    <row r="957" spans="2:23" x14ac:dyDescent="0.25">
      <c r="B957" s="39">
        <f t="shared" si="190"/>
        <v>9.4083440015713893E-2</v>
      </c>
      <c r="C957" s="39">
        <f t="shared" si="190"/>
        <v>0.32281840886125646</v>
      </c>
      <c r="D957" s="39">
        <f t="shared" si="190"/>
        <v>0.59422875164110756</v>
      </c>
      <c r="E957" s="39">
        <f t="shared" si="190"/>
        <v>0.80371054225329008</v>
      </c>
      <c r="F957" s="39">
        <f t="shared" si="190"/>
        <v>0.92197382712393039</v>
      </c>
      <c r="G957" s="39">
        <f t="shared" si="190"/>
        <v>0.97404089709668096</v>
      </c>
      <c r="H957" s="39">
        <f t="shared" si="190"/>
        <v>0.99265332357639935</v>
      </c>
      <c r="I957" s="39">
        <f t="shared" si="190"/>
        <v>0.99820703147760559</v>
      </c>
      <c r="J957" s="39">
        <f t="shared" si="190"/>
        <v>0.9996183571935664</v>
      </c>
      <c r="K957" s="39">
        <f t="shared" si="190"/>
        <v>0.99992847994463674</v>
      </c>
      <c r="L957" s="39">
        <f t="shared" si="191"/>
        <v>0.9999881071363429</v>
      </c>
      <c r="M957" s="39">
        <f t="shared" si="191"/>
        <v>0.99999823363243678</v>
      </c>
      <c r="N957" s="39">
        <f t="shared" si="191"/>
        <v>0.99999976438184635</v>
      </c>
      <c r="O957" s="39">
        <f t="shared" si="191"/>
        <v>0.99999997164073751</v>
      </c>
      <c r="P957" s="39">
        <f t="shared" si="191"/>
        <v>0.99999999690788399</v>
      </c>
      <c r="Q957" s="39">
        <f t="shared" si="191"/>
        <v>0.99999999969355913</v>
      </c>
      <c r="R957" s="39">
        <f t="shared" si="191"/>
        <v>0.99999999997231781</v>
      </c>
      <c r="S957" s="39">
        <f t="shared" si="191"/>
        <v>0.99999999999771516</v>
      </c>
      <c r="T957" s="39">
        <f t="shared" si="191"/>
        <v>0.99999999999982736</v>
      </c>
      <c r="U957" s="39">
        <f t="shared" si="191"/>
        <v>0.99999999999998801</v>
      </c>
      <c r="V957" s="39">
        <f t="shared" si="191"/>
        <v>0.99999999999999922</v>
      </c>
      <c r="W957" s="37">
        <v>4.5999999999999999E-2</v>
      </c>
    </row>
    <row r="958" spans="2:23" x14ac:dyDescent="0.25">
      <c r="B958" s="39">
        <f t="shared" si="190"/>
        <v>9.9380105280648057E-2</v>
      </c>
      <c r="C958" s="39">
        <f t="shared" si="190"/>
        <v>0.33526213669274346</v>
      </c>
      <c r="D958" s="39">
        <f t="shared" si="190"/>
        <v>0.60849107577206418</v>
      </c>
      <c r="E958" s="39">
        <f t="shared" si="190"/>
        <v>0.81433889502713352</v>
      </c>
      <c r="F958" s="39">
        <f t="shared" si="190"/>
        <v>0.92776447486213032</v>
      </c>
      <c r="G958" s="39">
        <f t="shared" si="190"/>
        <v>0.97650008114288178</v>
      </c>
      <c r="H958" s="39">
        <f t="shared" si="190"/>
        <v>0.99350087403151599</v>
      </c>
      <c r="I958" s="39">
        <f t="shared" si="190"/>
        <v>0.99845073087192704</v>
      </c>
      <c r="J958" s="39">
        <f t="shared" si="190"/>
        <v>0.99967800180188071</v>
      </c>
      <c r="K958" s="39">
        <f t="shared" si="190"/>
        <v>0.99994109538703546</v>
      </c>
      <c r="L958" s="39">
        <f t="shared" si="191"/>
        <v>0.99999044047848717</v>
      </c>
      <c r="M958" s="39">
        <f t="shared" si="191"/>
        <v>0.9999986145980172</v>
      </c>
      <c r="N958" s="39">
        <f t="shared" si="191"/>
        <v>0.99999981970874363</v>
      </c>
      <c r="O958" s="39">
        <f t="shared" si="191"/>
        <v>0.99999997883272762</v>
      </c>
      <c r="P958" s="39">
        <f t="shared" si="191"/>
        <v>0.99999999774904169</v>
      </c>
      <c r="Q958" s="39">
        <f t="shared" si="191"/>
        <v>0.9999999997824589</v>
      </c>
      <c r="R958" s="39">
        <f t="shared" si="191"/>
        <v>0.99999999998083888</v>
      </c>
      <c r="S958" s="39">
        <f t="shared" si="191"/>
        <v>0.99999999999845812</v>
      </c>
      <c r="T958" s="39">
        <f t="shared" si="191"/>
        <v>0.99999999999988642</v>
      </c>
      <c r="U958" s="39">
        <f t="shared" si="191"/>
        <v>0.99999999999999234</v>
      </c>
      <c r="V958" s="39">
        <f t="shared" si="191"/>
        <v>0.99999999999999956</v>
      </c>
      <c r="W958" s="37">
        <v>4.4999999999999998E-2</v>
      </c>
    </row>
    <row r="959" spans="2:23" x14ac:dyDescent="0.25">
      <c r="B959" s="39">
        <f t="shared" si="190"/>
        <v>0.10496866879636038</v>
      </c>
      <c r="C959" s="39">
        <f t="shared" si="190"/>
        <v>0.3480762594726618</v>
      </c>
      <c r="D959" s="39">
        <f t="shared" si="190"/>
        <v>0.6228238825434077</v>
      </c>
      <c r="E959" s="39">
        <f t="shared" si="190"/>
        <v>0.82476137417080742</v>
      </c>
      <c r="F959" s="39">
        <f t="shared" si="190"/>
        <v>0.93330508536119872</v>
      </c>
      <c r="G959" s="39">
        <f t="shared" si="190"/>
        <v>0.97879574280630455</v>
      </c>
      <c r="H959" s="39">
        <f t="shared" si="190"/>
        <v>0.9942727179019506</v>
      </c>
      <c r="I959" s="39">
        <f t="shared" si="190"/>
        <v>0.99866721485407417</v>
      </c>
      <c r="J959" s="39">
        <f t="shared" si="190"/>
        <v>0.99972968031301457</v>
      </c>
      <c r="K959" s="39">
        <f t="shared" si="190"/>
        <v>0.99995175566488337</v>
      </c>
      <c r="L959" s="39">
        <f t="shared" si="191"/>
        <v>0.9999923632653237</v>
      </c>
      <c r="M959" s="39">
        <f t="shared" si="191"/>
        <v>0.99999892071276331</v>
      </c>
      <c r="N959" s="39">
        <f t="shared" si="191"/>
        <v>0.99999986305378485</v>
      </c>
      <c r="O959" s="39">
        <f t="shared" si="191"/>
        <v>0.99999998432579906</v>
      </c>
      <c r="P959" s="39">
        <f t="shared" si="191"/>
        <v>0.99999999837531617</v>
      </c>
      <c r="Q959" s="39">
        <f t="shared" si="191"/>
        <v>0.99999999984697485</v>
      </c>
      <c r="R959" s="39">
        <f t="shared" si="191"/>
        <v>0.99999999998686573</v>
      </c>
      <c r="S959" s="39">
        <f t="shared" si="191"/>
        <v>0.99999999999897027</v>
      </c>
      <c r="T959" s="39">
        <f t="shared" si="191"/>
        <v>0.99999999999992606</v>
      </c>
      <c r="U959" s="39">
        <f t="shared" si="191"/>
        <v>0.99999999999999512</v>
      </c>
      <c r="V959" s="39">
        <f t="shared" si="191"/>
        <v>0.99999999999999967</v>
      </c>
      <c r="W959" s="37">
        <v>4.3999999999999997E-2</v>
      </c>
    </row>
    <row r="960" spans="2:23" x14ac:dyDescent="0.25">
      <c r="B960" s="39">
        <f t="shared" si="190"/>
        <v>0.11086487110571784</v>
      </c>
      <c r="C960" s="39">
        <f t="shared" si="190"/>
        <v>0.36126376615978073</v>
      </c>
      <c r="D960" s="39">
        <f t="shared" si="190"/>
        <v>0.63721076570098312</v>
      </c>
      <c r="E960" s="39">
        <f t="shared" si="190"/>
        <v>0.83496437414732905</v>
      </c>
      <c r="F960" s="39">
        <f t="shared" si="190"/>
        <v>0.93859434954774501</v>
      </c>
      <c r="G960" s="39">
        <f t="shared" si="190"/>
        <v>0.98093264870804642</v>
      </c>
      <c r="H960" s="39">
        <f t="shared" si="190"/>
        <v>0.99497321384160153</v>
      </c>
      <c r="I960" s="39">
        <f t="shared" si="190"/>
        <v>0.99885875464947815</v>
      </c>
      <c r="J960" s="39">
        <f t="shared" si="190"/>
        <v>0.99977425193571756</v>
      </c>
      <c r="K960" s="39">
        <f t="shared" si="190"/>
        <v>0.99996071735571745</v>
      </c>
      <c r="L960" s="39">
        <f t="shared" si="191"/>
        <v>0.99999393863686326</v>
      </c>
      <c r="M960" s="39">
        <f t="shared" si="191"/>
        <v>0.99999916512538367</v>
      </c>
      <c r="N960" s="39">
        <f t="shared" si="191"/>
        <v>0.99999989677654177</v>
      </c>
      <c r="O960" s="39">
        <f t="shared" si="191"/>
        <v>0.99999998848969229</v>
      </c>
      <c r="P960" s="39">
        <f t="shared" si="191"/>
        <v>0.99999999883780988</v>
      </c>
      <c r="Q960" s="39">
        <f t="shared" si="191"/>
        <v>0.99999999989338584</v>
      </c>
      <c r="R960" s="39">
        <f t="shared" si="191"/>
        <v>0.99999999999108868</v>
      </c>
      <c r="S960" s="39">
        <f t="shared" si="191"/>
        <v>0.99999999999931966</v>
      </c>
      <c r="T960" s="39">
        <f t="shared" si="191"/>
        <v>0.99999999999995248</v>
      </c>
      <c r="U960" s="39">
        <f t="shared" si="191"/>
        <v>0.999999999999997</v>
      </c>
      <c r="V960" s="39">
        <f t="shared" si="191"/>
        <v>0.99999999999999978</v>
      </c>
      <c r="W960" s="37">
        <v>4.2999999999999997E-2</v>
      </c>
    </row>
    <row r="961" spans="2:23" x14ac:dyDescent="0.25">
      <c r="B961" s="39">
        <f t="shared" si="190"/>
        <v>0.1160253039212093</v>
      </c>
      <c r="C961" s="39">
        <f t="shared" si="190"/>
        <v>0.3725402276278848</v>
      </c>
      <c r="D961" s="39">
        <f t="shared" si="190"/>
        <v>0.64922863958003396</v>
      </c>
      <c r="E961" s="39">
        <f t="shared" si="190"/>
        <v>0.84328955316839016</v>
      </c>
      <c r="F961" s="39">
        <f t="shared" si="190"/>
        <v>0.94280956057973109</v>
      </c>
      <c r="G961" s="39">
        <f t="shared" si="190"/>
        <v>0.98259575890506823</v>
      </c>
      <c r="H961" s="39">
        <f t="shared" si="190"/>
        <v>0.99550557407908924</v>
      </c>
      <c r="I961" s="39">
        <f t="shared" si="190"/>
        <v>0.99900088137622456</v>
      </c>
      <c r="J961" s="39">
        <f t="shared" si="190"/>
        <v>0.99980654014076731</v>
      </c>
      <c r="K961" s="39">
        <f t="shared" si="190"/>
        <v>0.99996705453063794</v>
      </c>
      <c r="L961" s="39">
        <f t="shared" si="191"/>
        <v>0.99999502596380885</v>
      </c>
      <c r="M961" s="39">
        <f t="shared" si="191"/>
        <v>0.99999932976066574</v>
      </c>
      <c r="N961" s="39">
        <f t="shared" si="191"/>
        <v>0.9999999189429214</v>
      </c>
      <c r="O961" s="39">
        <f t="shared" si="191"/>
        <v>0.99999999116019811</v>
      </c>
      <c r="P961" s="39">
        <f t="shared" si="191"/>
        <v>0.99999999912719184</v>
      </c>
      <c r="Q961" s="39">
        <f t="shared" si="191"/>
        <v>0.99999999992171329</v>
      </c>
      <c r="R961" s="39">
        <f t="shared" si="191"/>
        <v>0.99999999999360278</v>
      </c>
      <c r="S961" s="39">
        <f t="shared" si="191"/>
        <v>0.9999999999995226</v>
      </c>
      <c r="T961" s="39">
        <f t="shared" si="191"/>
        <v>0.99999999999996736</v>
      </c>
      <c r="U961" s="39">
        <f t="shared" si="191"/>
        <v>0.999999999999998</v>
      </c>
      <c r="V961" s="39">
        <f t="shared" si="191"/>
        <v>0.99999999999999989</v>
      </c>
      <c r="W961" s="37">
        <v>4.2000000000000003E-2</v>
      </c>
    </row>
    <row r="962" spans="2:23" x14ac:dyDescent="0.25">
      <c r="B962" s="39">
        <f t="shared" si="190"/>
        <v>0.12252917705997343</v>
      </c>
      <c r="C962" s="39">
        <f t="shared" si="190"/>
        <v>0.38641753064779744</v>
      </c>
      <c r="D962" s="39">
        <f t="shared" si="190"/>
        <v>0.663668843746683</v>
      </c>
      <c r="E962" s="39">
        <f t="shared" si="190"/>
        <v>0.85305561919682504</v>
      </c>
      <c r="F962" s="39">
        <f t="shared" si="190"/>
        <v>0.94763672909989449</v>
      </c>
      <c r="G962" s="39">
        <f t="shared" si="190"/>
        <v>0.9844548799255578</v>
      </c>
      <c r="H962" s="39">
        <f t="shared" si="190"/>
        <v>0.99608643468585345</v>
      </c>
      <c r="I962" s="39">
        <f t="shared" si="190"/>
        <v>0.99915223320582203</v>
      </c>
      <c r="J962" s="39">
        <f t="shared" si="190"/>
        <v>0.99984009590237077</v>
      </c>
      <c r="K962" s="39">
        <f t="shared" si="190"/>
        <v>0.99997348134234298</v>
      </c>
      <c r="L962" s="39">
        <f t="shared" si="191"/>
        <v>0.99999610193800303</v>
      </c>
      <c r="M962" s="39">
        <f t="shared" si="191"/>
        <v>0.9999994887146102</v>
      </c>
      <c r="N962" s="39">
        <f t="shared" si="191"/>
        <v>0.99999993982215019</v>
      </c>
      <c r="O962" s="39">
        <f t="shared" si="191"/>
        <v>0.99999999361405267</v>
      </c>
      <c r="P962" s="39">
        <f t="shared" si="191"/>
        <v>0.99999999938656581</v>
      </c>
      <c r="Q962" s="39">
        <f t="shared" si="191"/>
        <v>0.99999999994647748</v>
      </c>
      <c r="R962" s="39">
        <f t="shared" si="191"/>
        <v>0.99999999999574618</v>
      </c>
      <c r="S962" s="39">
        <f t="shared" si="191"/>
        <v>0.99999999999969125</v>
      </c>
      <c r="T962" s="39">
        <f t="shared" si="191"/>
        <v>0.99999999999997946</v>
      </c>
      <c r="U962" s="39">
        <f t="shared" si="191"/>
        <v>0.99999999999999878</v>
      </c>
      <c r="V962" s="39">
        <f t="shared" si="191"/>
        <v>0.99999999999999989</v>
      </c>
      <c r="W962" s="37">
        <v>4.1000000000000002E-2</v>
      </c>
    </row>
    <row r="963" spans="2:23" x14ac:dyDescent="0.25">
      <c r="B963" s="39">
        <f t="shared" ref="B963:K972" si="192">_xlfn.HYPGEOM.DIST(B$2,comau,tongtheN*$W963,tongtheN,TRUE)</f>
        <v>0.12938993915837887</v>
      </c>
      <c r="C963" s="39">
        <f t="shared" si="192"/>
        <v>0.40067240047494318</v>
      </c>
      <c r="D963" s="39">
        <f t="shared" si="192"/>
        <v>0.67811138137479432</v>
      </c>
      <c r="E963" s="39">
        <f t="shared" si="192"/>
        <v>0.86256507233937585</v>
      </c>
      <c r="F963" s="39">
        <f t="shared" si="192"/>
        <v>0.9522123221982095</v>
      </c>
      <c r="G963" s="39">
        <f t="shared" si="192"/>
        <v>0.98617015821688092</v>
      </c>
      <c r="H963" s="39">
        <f t="shared" si="192"/>
        <v>0.99660801764884954</v>
      </c>
      <c r="I963" s="39">
        <f t="shared" si="192"/>
        <v>0.99928448934438985</v>
      </c>
      <c r="J963" s="39">
        <f t="shared" si="192"/>
        <v>0.9998686273425812</v>
      </c>
      <c r="K963" s="39">
        <f t="shared" si="192"/>
        <v>0.99997879791715361</v>
      </c>
      <c r="L963" s="39">
        <f t="shared" ref="L963:V972" si="193">_xlfn.HYPGEOM.DIST(L$2,comau,tongtheN*$W963,tongtheN,TRUE)</f>
        <v>0.99999696784027337</v>
      </c>
      <c r="M963" s="39">
        <f t="shared" si="193"/>
        <v>0.99999961314300245</v>
      </c>
      <c r="N963" s="39">
        <f t="shared" si="193"/>
        <v>0.99999995571836942</v>
      </c>
      <c r="O963" s="39">
        <f t="shared" si="193"/>
        <v>0.99999999543086082</v>
      </c>
      <c r="P963" s="39">
        <f t="shared" si="193"/>
        <v>0.99999999957329688</v>
      </c>
      <c r="Q963" s="39">
        <f t="shared" si="193"/>
        <v>0.99999999996381128</v>
      </c>
      <c r="R963" s="39">
        <f t="shared" si="193"/>
        <v>0.99999999999720479</v>
      </c>
      <c r="S963" s="39">
        <f t="shared" si="193"/>
        <v>0.99999999999980294</v>
      </c>
      <c r="T963" s="39">
        <f t="shared" si="193"/>
        <v>0.99999999999998723</v>
      </c>
      <c r="U963" s="39">
        <f t="shared" si="193"/>
        <v>0.99999999999999922</v>
      </c>
      <c r="V963" s="39">
        <f t="shared" si="193"/>
        <v>1</v>
      </c>
      <c r="W963" s="37">
        <v>0.04</v>
      </c>
    </row>
    <row r="964" spans="2:23" x14ac:dyDescent="0.25">
      <c r="B964" s="39">
        <f t="shared" si="192"/>
        <v>0.13662675286295103</v>
      </c>
      <c r="C964" s="39">
        <f t="shared" si="192"/>
        <v>0.41530452231570086</v>
      </c>
      <c r="D964" s="39">
        <f t="shared" si="192"/>
        <v>0.69253613072886477</v>
      </c>
      <c r="E964" s="39">
        <f t="shared" si="192"/>
        <v>0.87180550503863385</v>
      </c>
      <c r="F964" s="39">
        <f t="shared" si="192"/>
        <v>0.95653753047345225</v>
      </c>
      <c r="G964" s="39">
        <f t="shared" si="192"/>
        <v>0.98774728834061742</v>
      </c>
      <c r="H964" s="39">
        <f t="shared" si="192"/>
        <v>0.99707444032329906</v>
      </c>
      <c r="I964" s="39">
        <f t="shared" si="192"/>
        <v>0.99939950183263881</v>
      </c>
      <c r="J964" s="39">
        <f t="shared" si="192"/>
        <v>0.99989275276351475</v>
      </c>
      <c r="K964" s="39">
        <f t="shared" si="192"/>
        <v>0.9999831686460976</v>
      </c>
      <c r="L964" s="39">
        <f t="shared" si="193"/>
        <v>0.99999765984618794</v>
      </c>
      <c r="M964" s="39">
        <f t="shared" si="193"/>
        <v>0.99999970979863906</v>
      </c>
      <c r="N964" s="39">
        <f t="shared" si="193"/>
        <v>0.99999996771931965</v>
      </c>
      <c r="O964" s="39">
        <f t="shared" si="193"/>
        <v>0.99999999676374296</v>
      </c>
      <c r="P964" s="39">
        <f t="shared" si="193"/>
        <v>0.99999999970640563</v>
      </c>
      <c r="Q964" s="39">
        <f t="shared" si="193"/>
        <v>0.99999999997581568</v>
      </c>
      <c r="R964" s="39">
        <f t="shared" si="193"/>
        <v>0.9999999999981859</v>
      </c>
      <c r="S964" s="39">
        <f t="shared" si="193"/>
        <v>0.99999999999987577</v>
      </c>
      <c r="T964" s="39">
        <f t="shared" si="193"/>
        <v>0.99999999999999223</v>
      </c>
      <c r="U964" s="39">
        <f t="shared" si="193"/>
        <v>0.99999999999999956</v>
      </c>
      <c r="V964" s="39">
        <f t="shared" si="193"/>
        <v>1</v>
      </c>
      <c r="W964" s="37">
        <v>3.9E-2</v>
      </c>
    </row>
    <row r="965" spans="2:23" x14ac:dyDescent="0.25">
      <c r="B965" s="39">
        <f t="shared" si="192"/>
        <v>0.14295921210146134</v>
      </c>
      <c r="C965" s="39">
        <f t="shared" si="192"/>
        <v>0.42778515324247351</v>
      </c>
      <c r="D965" s="39">
        <f t="shared" si="192"/>
        <v>0.70452798599381872</v>
      </c>
      <c r="E965" s="39">
        <f t="shared" si="192"/>
        <v>0.8792917392336641</v>
      </c>
      <c r="F965" s="39">
        <f t="shared" si="192"/>
        <v>0.95995193303666981</v>
      </c>
      <c r="G965" s="39">
        <f t="shared" si="192"/>
        <v>0.98896027182618718</v>
      </c>
      <c r="H965" s="39">
        <f t="shared" si="192"/>
        <v>0.99742389366897488</v>
      </c>
      <c r="I965" s="39">
        <f t="shared" si="192"/>
        <v>0.99948343212020319</v>
      </c>
      <c r="J965" s="39">
        <f t="shared" si="192"/>
        <v>0.99990989842316058</v>
      </c>
      <c r="K965" s="39">
        <f t="shared" si="192"/>
        <v>0.99998619332740823</v>
      </c>
      <c r="L965" s="39">
        <f t="shared" si="193"/>
        <v>0.99999812609989813</v>
      </c>
      <c r="M965" s="39">
        <f t="shared" si="193"/>
        <v>0.99999977319526545</v>
      </c>
      <c r="N965" s="39">
        <f t="shared" si="193"/>
        <v>0.99999997538093244</v>
      </c>
      <c r="O965" s="39">
        <f t="shared" si="193"/>
        <v>0.99999999759187674</v>
      </c>
      <c r="P965" s="39">
        <f t="shared" si="193"/>
        <v>0.99999999978688003</v>
      </c>
      <c r="Q965" s="39">
        <f t="shared" si="193"/>
        <v>0.9999999999828767</v>
      </c>
      <c r="R965" s="39">
        <f t="shared" si="193"/>
        <v>0.99999999999874734</v>
      </c>
      <c r="S965" s="39">
        <f t="shared" si="193"/>
        <v>0.9999999999999164</v>
      </c>
      <c r="T965" s="39">
        <f t="shared" si="193"/>
        <v>0.99999999999999489</v>
      </c>
      <c r="U965" s="39">
        <f t="shared" si="193"/>
        <v>0.99999999999999967</v>
      </c>
      <c r="V965" s="39">
        <f t="shared" si="193"/>
        <v>1</v>
      </c>
      <c r="W965" s="37">
        <v>3.7999999999999999E-2</v>
      </c>
    </row>
    <row r="966" spans="2:23" x14ac:dyDescent="0.25">
      <c r="B966" s="39">
        <f t="shared" si="192"/>
        <v>0.15093859882867164</v>
      </c>
      <c r="C966" s="39">
        <f t="shared" si="192"/>
        <v>0.44310437082528281</v>
      </c>
      <c r="D966" s="39">
        <f t="shared" si="192"/>
        <v>0.71886468697109251</v>
      </c>
      <c r="E966" s="39">
        <f t="shared" si="192"/>
        <v>0.88800836925820326</v>
      </c>
      <c r="F966" s="39">
        <f t="shared" si="192"/>
        <v>0.96382345300814798</v>
      </c>
      <c r="G966" s="39">
        <f t="shared" si="192"/>
        <v>0.99029952330135429</v>
      </c>
      <c r="H966" s="39">
        <f t="shared" si="192"/>
        <v>0.99779955410894494</v>
      </c>
      <c r="I966" s="39">
        <f t="shared" si="192"/>
        <v>0.99957127007002844</v>
      </c>
      <c r="J966" s="39">
        <f t="shared" si="192"/>
        <v>0.99992736600357535</v>
      </c>
      <c r="K966" s="39">
        <f t="shared" si="192"/>
        <v>0.99998919270226128</v>
      </c>
      <c r="L966" s="39">
        <f t="shared" si="193"/>
        <v>0.99999857609017295</v>
      </c>
      <c r="M966" s="39">
        <f t="shared" si="193"/>
        <v>0.99999983273863979</v>
      </c>
      <c r="N966" s="39">
        <f t="shared" si="193"/>
        <v>0.99999998238306542</v>
      </c>
      <c r="O966" s="39">
        <f t="shared" si="193"/>
        <v>0.99999999832826958</v>
      </c>
      <c r="P966" s="39">
        <f t="shared" si="193"/>
        <v>0.9999999998564979</v>
      </c>
      <c r="Q966" s="39">
        <f t="shared" si="193"/>
        <v>0.99999999998881872</v>
      </c>
      <c r="R966" s="39">
        <f t="shared" si="193"/>
        <v>0.99999999999920697</v>
      </c>
      <c r="S966" s="39">
        <f t="shared" si="193"/>
        <v>0.99999999999994871</v>
      </c>
      <c r="T966" s="39">
        <f t="shared" si="193"/>
        <v>0.999999999999997</v>
      </c>
      <c r="U966" s="39">
        <f t="shared" si="193"/>
        <v>0.99999999999999989</v>
      </c>
      <c r="V966" s="39">
        <f t="shared" si="193"/>
        <v>1</v>
      </c>
      <c r="W966" s="37">
        <v>3.6999999999999998E-2</v>
      </c>
    </row>
    <row r="967" spans="2:23" x14ac:dyDescent="0.25">
      <c r="B967" s="39">
        <f t="shared" si="192"/>
        <v>0.15935396965314463</v>
      </c>
      <c r="C967" s="39">
        <f t="shared" si="192"/>
        <v>0.45879361851117734</v>
      </c>
      <c r="D967" s="39">
        <f t="shared" si="192"/>
        <v>0.73312142896434329</v>
      </c>
      <c r="E967" s="39">
        <f t="shared" si="192"/>
        <v>0.89642364643918648</v>
      </c>
      <c r="F967" s="39">
        <f t="shared" si="192"/>
        <v>0.96745166590701426</v>
      </c>
      <c r="G967" s="39">
        <f t="shared" si="192"/>
        <v>0.99151769079056196</v>
      </c>
      <c r="H967" s="39">
        <f t="shared" si="192"/>
        <v>0.99813115491147153</v>
      </c>
      <c r="I967" s="39">
        <f t="shared" si="192"/>
        <v>0.99964650484373041</v>
      </c>
      <c r="J967" s="39">
        <f t="shared" si="192"/>
        <v>0.99994188130378081</v>
      </c>
      <c r="K967" s="39">
        <f t="shared" si="192"/>
        <v>0.99999161050475383</v>
      </c>
      <c r="L967" s="39">
        <f t="shared" si="193"/>
        <v>0.99999892791736023</v>
      </c>
      <c r="M967" s="39">
        <f t="shared" si="193"/>
        <v>0.99999987788624456</v>
      </c>
      <c r="N967" s="39">
        <f t="shared" si="193"/>
        <v>0.99999998753114017</v>
      </c>
      <c r="O967" s="39">
        <f t="shared" si="193"/>
        <v>0.99999999885316748</v>
      </c>
      <c r="P967" s="39">
        <f t="shared" si="193"/>
        <v>0.99999999990460109</v>
      </c>
      <c r="Q967" s="39">
        <f t="shared" si="193"/>
        <v>0.99999999999279821</v>
      </c>
      <c r="R967" s="39">
        <f t="shared" si="193"/>
        <v>0.99999999999950517</v>
      </c>
      <c r="S967" s="39">
        <f t="shared" si="193"/>
        <v>0.99999999999996902</v>
      </c>
      <c r="T967" s="39">
        <f t="shared" si="193"/>
        <v>0.99999999999999822</v>
      </c>
      <c r="U967" s="39">
        <f t="shared" si="193"/>
        <v>0.99999999999999989</v>
      </c>
      <c r="V967" s="39">
        <f t="shared" si="193"/>
        <v>1</v>
      </c>
      <c r="W967" s="37">
        <v>3.5999999999999997E-2</v>
      </c>
    </row>
    <row r="968" spans="2:23" x14ac:dyDescent="0.25">
      <c r="B968" s="39">
        <f t="shared" si="192"/>
        <v>0.16822863419326742</v>
      </c>
      <c r="C968" s="39">
        <f t="shared" si="192"/>
        <v>0.47484774439318383</v>
      </c>
      <c r="D968" s="39">
        <f t="shared" si="192"/>
        <v>0.74727451501504882</v>
      </c>
      <c r="E968" s="39">
        <f t="shared" si="192"/>
        <v>0.90452738623695239</v>
      </c>
      <c r="F968" s="39">
        <f t="shared" si="192"/>
        <v>0.97084038331829348</v>
      </c>
      <c r="G968" s="39">
        <f t="shared" si="192"/>
        <v>0.99262104223642011</v>
      </c>
      <c r="H968" s="39">
        <f t="shared" si="192"/>
        <v>0.99842237737134421</v>
      </c>
      <c r="I968" s="39">
        <f t="shared" si="192"/>
        <v>0.99971056203639719</v>
      </c>
      <c r="J968" s="39">
        <f t="shared" si="192"/>
        <v>0.99995386117776364</v>
      </c>
      <c r="K968" s="39">
        <f t="shared" si="192"/>
        <v>0.99999354452196088</v>
      </c>
      <c r="L968" s="39">
        <f t="shared" si="193"/>
        <v>0.9999992006379399</v>
      </c>
      <c r="M968" s="39">
        <f t="shared" si="193"/>
        <v>0.99999991179464587</v>
      </c>
      <c r="N968" s="39">
        <f t="shared" si="193"/>
        <v>0.99999999127686601</v>
      </c>
      <c r="O968" s="39">
        <f t="shared" si="193"/>
        <v>0.99999999922309646</v>
      </c>
      <c r="P968" s="39">
        <f t="shared" si="193"/>
        <v>0.9999999999374336</v>
      </c>
      <c r="Q968" s="39">
        <f t="shared" si="193"/>
        <v>0.99999999999542821</v>
      </c>
      <c r="R968" s="39">
        <f t="shared" si="193"/>
        <v>0.99999999999969602</v>
      </c>
      <c r="S968" s="39">
        <f t="shared" si="193"/>
        <v>0.99999999999998157</v>
      </c>
      <c r="T968" s="39">
        <f t="shared" si="193"/>
        <v>0.999999999999999</v>
      </c>
      <c r="U968" s="39">
        <f t="shared" si="193"/>
        <v>1</v>
      </c>
      <c r="V968" s="39">
        <f t="shared" si="193"/>
        <v>1</v>
      </c>
      <c r="W968" s="37">
        <v>3.5000000000000003E-2</v>
      </c>
    </row>
    <row r="969" spans="2:23" x14ac:dyDescent="0.25">
      <c r="B969" s="39">
        <f t="shared" si="192"/>
        <v>0.17758712098700899</v>
      </c>
      <c r="C969" s="39">
        <f t="shared" si="192"/>
        <v>0.49126002490428017</v>
      </c>
      <c r="D969" s="39">
        <f t="shared" si="192"/>
        <v>0.76129938594735003</v>
      </c>
      <c r="E969" s="39">
        <f t="shared" si="192"/>
        <v>0.91231016952232302</v>
      </c>
      <c r="F969" s="39">
        <f t="shared" si="192"/>
        <v>0.97399409632752654</v>
      </c>
      <c r="G969" s="39">
        <f t="shared" si="192"/>
        <v>0.99361592764217244</v>
      </c>
      <c r="H969" s="39">
        <f t="shared" si="192"/>
        <v>0.99867676196314437</v>
      </c>
      <c r="I969" s="39">
        <f t="shared" si="192"/>
        <v>0.99976475891814165</v>
      </c>
      <c r="J969" s="39">
        <f t="shared" si="192"/>
        <v>0.99996367712386347</v>
      </c>
      <c r="K969" s="39">
        <f t="shared" si="192"/>
        <v>0.99999507894866935</v>
      </c>
      <c r="L969" s="39">
        <f t="shared" si="193"/>
        <v>0.99999941011734306</v>
      </c>
      <c r="M969" s="39">
        <f t="shared" si="193"/>
        <v>0.99999993700618384</v>
      </c>
      <c r="N969" s="39">
        <f t="shared" si="193"/>
        <v>0.99999999397228878</v>
      </c>
      <c r="O969" s="39">
        <f t="shared" si="193"/>
        <v>0.99999999948069163</v>
      </c>
      <c r="P969" s="39">
        <f t="shared" si="193"/>
        <v>0.99999999995955324</v>
      </c>
      <c r="Q969" s="39">
        <f t="shared" si="193"/>
        <v>0.99999999999714229</v>
      </c>
      <c r="R969" s="39">
        <f t="shared" si="193"/>
        <v>0.99999999999981626</v>
      </c>
      <c r="S969" s="39">
        <f t="shared" si="193"/>
        <v>0.99999999999998923</v>
      </c>
      <c r="T969" s="39">
        <f t="shared" si="193"/>
        <v>0.99999999999999944</v>
      </c>
      <c r="U969" s="39">
        <f t="shared" si="193"/>
        <v>1</v>
      </c>
      <c r="V969" s="39">
        <f t="shared" si="193"/>
        <v>1</v>
      </c>
      <c r="W969" s="37">
        <v>3.4000000000000002E-2</v>
      </c>
    </row>
    <row r="970" spans="2:23" x14ac:dyDescent="0.25">
      <c r="B970" s="39">
        <f t="shared" si="192"/>
        <v>0.18577402689408101</v>
      </c>
      <c r="C970" s="39">
        <f t="shared" si="192"/>
        <v>0.50520448037711585</v>
      </c>
      <c r="D970" s="39">
        <f t="shared" si="192"/>
        <v>0.77287055255467529</v>
      </c>
      <c r="E970" s="39">
        <f t="shared" si="192"/>
        <v>0.91854443442731859</v>
      </c>
      <c r="F970" s="39">
        <f t="shared" si="192"/>
        <v>0.97644637671108581</v>
      </c>
      <c r="G970" s="39">
        <f t="shared" si="192"/>
        <v>0.99436676080151487</v>
      </c>
      <c r="H970" s="39">
        <f t="shared" si="192"/>
        <v>0.99886305970304667</v>
      </c>
      <c r="I970" s="39">
        <f t="shared" si="192"/>
        <v>0.99980326777461215</v>
      </c>
      <c r="J970" s="39">
        <f t="shared" si="192"/>
        <v>0.99997044278625236</v>
      </c>
      <c r="K970" s="39">
        <f t="shared" si="192"/>
        <v>0.99999610468935851</v>
      </c>
      <c r="L970" s="39">
        <f t="shared" si="193"/>
        <v>0.99999954590697593</v>
      </c>
      <c r="M970" s="39">
        <f t="shared" si="193"/>
        <v>0.99999995285067056</v>
      </c>
      <c r="N970" s="39">
        <f t="shared" si="193"/>
        <v>0.99999999561430752</v>
      </c>
      <c r="O970" s="39">
        <f t="shared" si="193"/>
        <v>0.99999999963277408</v>
      </c>
      <c r="P970" s="39">
        <f t="shared" si="193"/>
        <v>0.99999999997220734</v>
      </c>
      <c r="Q970" s="39">
        <f t="shared" si="193"/>
        <v>0.99999999999809219</v>
      </c>
      <c r="R970" s="39">
        <f t="shared" si="193"/>
        <v>0.99999999999988087</v>
      </c>
      <c r="S970" s="39">
        <f t="shared" si="193"/>
        <v>0.99999999999999323</v>
      </c>
      <c r="T970" s="39">
        <f t="shared" si="193"/>
        <v>0.99999999999999967</v>
      </c>
      <c r="U970" s="39">
        <f t="shared" si="193"/>
        <v>1</v>
      </c>
      <c r="V970" s="39">
        <f t="shared" si="193"/>
        <v>1</v>
      </c>
      <c r="W970" s="37">
        <v>3.3000000000000002E-2</v>
      </c>
    </row>
    <row r="971" spans="2:23" x14ac:dyDescent="0.25">
      <c r="B971" s="39">
        <f t="shared" si="192"/>
        <v>0.19608752437778759</v>
      </c>
      <c r="C971" s="39">
        <f t="shared" si="192"/>
        <v>0.52225010334644528</v>
      </c>
      <c r="D971" s="39">
        <f t="shared" si="192"/>
        <v>0.7865939071797744</v>
      </c>
      <c r="E971" s="39">
        <f t="shared" si="192"/>
        <v>0.92571719594945723</v>
      </c>
      <c r="F971" s="39">
        <f t="shared" si="192"/>
        <v>0.97918312554666054</v>
      </c>
      <c r="G971" s="39">
        <f t="shared" si="192"/>
        <v>0.99517943619037663</v>
      </c>
      <c r="H971" s="39">
        <f t="shared" si="192"/>
        <v>0.99905859931161733</v>
      </c>
      <c r="I971" s="39">
        <f t="shared" si="192"/>
        <v>0.99984245868790567</v>
      </c>
      <c r="J971" s="39">
        <f t="shared" si="192"/>
        <v>0.99997711817041124</v>
      </c>
      <c r="K971" s="39">
        <f t="shared" si="192"/>
        <v>0.99999708573163737</v>
      </c>
      <c r="L971" s="39">
        <f t="shared" si="193"/>
        <v>0.99999967178311389</v>
      </c>
      <c r="M971" s="39">
        <f t="shared" si="193"/>
        <v>0.9999999670845573</v>
      </c>
      <c r="N971" s="39">
        <f t="shared" si="193"/>
        <v>0.99999999704363995</v>
      </c>
      <c r="O971" s="39">
        <f t="shared" si="193"/>
        <v>0.99999999976103215</v>
      </c>
      <c r="P971" s="39">
        <f t="shared" si="193"/>
        <v>0.99999999998254507</v>
      </c>
      <c r="Q971" s="39">
        <f t="shared" si="193"/>
        <v>0.99999999999884392</v>
      </c>
      <c r="R971" s="39">
        <f t="shared" si="193"/>
        <v>0.99999999999993039</v>
      </c>
      <c r="S971" s="39">
        <f t="shared" si="193"/>
        <v>0.99999999999999623</v>
      </c>
      <c r="T971" s="39">
        <f t="shared" si="193"/>
        <v>0.99999999999999978</v>
      </c>
      <c r="U971" s="39">
        <f t="shared" si="193"/>
        <v>1</v>
      </c>
      <c r="V971" s="39">
        <f t="shared" si="193"/>
        <v>1</v>
      </c>
      <c r="W971" s="37">
        <v>3.2000000000000001E-2</v>
      </c>
    </row>
    <row r="972" spans="2:23" x14ac:dyDescent="0.25">
      <c r="B972" s="39">
        <f t="shared" si="192"/>
        <v>0.2069615188450053</v>
      </c>
      <c r="C972" s="39">
        <f t="shared" si="192"/>
        <v>0.53962496795472981</v>
      </c>
      <c r="D972" s="39">
        <f t="shared" si="192"/>
        <v>0.80011522564059501</v>
      </c>
      <c r="E972" s="39">
        <f t="shared" si="192"/>
        <v>0.93254717466449755</v>
      </c>
      <c r="F972" s="39">
        <f t="shared" si="192"/>
        <v>0.98170118101475012</v>
      </c>
      <c r="G972" s="39">
        <f t="shared" si="192"/>
        <v>0.99590181869124983</v>
      </c>
      <c r="H972" s="39">
        <f t="shared" si="192"/>
        <v>0.99922648981814588</v>
      </c>
      <c r="I972" s="39">
        <f t="shared" si="192"/>
        <v>0.99987495534966186</v>
      </c>
      <c r="J972" s="39">
        <f t="shared" si="192"/>
        <v>0.99998246272369762</v>
      </c>
      <c r="K972" s="39">
        <f t="shared" si="192"/>
        <v>0.99999784400113712</v>
      </c>
      <c r="L972" s="39">
        <f t="shared" si="193"/>
        <v>0.99999976569012694</v>
      </c>
      <c r="M972" s="39">
        <f t="shared" si="193"/>
        <v>0.99999997733196466</v>
      </c>
      <c r="N972" s="39">
        <f t="shared" si="193"/>
        <v>0.99999999803647222</v>
      </c>
      <c r="O972" s="39">
        <f t="shared" si="193"/>
        <v>0.99999999984697208</v>
      </c>
      <c r="P972" s="39">
        <f t="shared" si="193"/>
        <v>0.99999999998922562</v>
      </c>
      <c r="Q972" s="39">
        <f t="shared" si="193"/>
        <v>0.99999999999931233</v>
      </c>
      <c r="R972" s="39">
        <f t="shared" si="193"/>
        <v>0.99999999999996014</v>
      </c>
      <c r="S972" s="39">
        <f t="shared" si="193"/>
        <v>0.99999999999999789</v>
      </c>
      <c r="T972" s="39">
        <f t="shared" si="193"/>
        <v>0.99999999999999989</v>
      </c>
      <c r="U972" s="39">
        <f t="shared" si="193"/>
        <v>1</v>
      </c>
      <c r="V972" s="39">
        <f t="shared" si="193"/>
        <v>1</v>
      </c>
      <c r="W972" s="37">
        <v>3.1E-2</v>
      </c>
    </row>
    <row r="973" spans="2:23" x14ac:dyDescent="0.25">
      <c r="B973" s="39">
        <f t="shared" ref="B973:K982" si="194">_xlfn.HYPGEOM.DIST(B$2,comau,tongtheN*$W973,tongtheN,TRUE)</f>
        <v>0.21842581649096357</v>
      </c>
      <c r="C973" s="39">
        <f t="shared" si="194"/>
        <v>0.55731486967918031</v>
      </c>
      <c r="D973" s="39">
        <f t="shared" si="194"/>
        <v>0.81340716555436687</v>
      </c>
      <c r="E973" s="39">
        <f t="shared" si="194"/>
        <v>0.93902863440567574</v>
      </c>
      <c r="F973" s="39">
        <f t="shared" si="194"/>
        <v>0.98400750778675872</v>
      </c>
      <c r="G973" s="39">
        <f t="shared" si="194"/>
        <v>0.99654029067801564</v>
      </c>
      <c r="H973" s="39">
        <f t="shared" si="194"/>
        <v>0.99936965451566873</v>
      </c>
      <c r="I973" s="39">
        <f t="shared" si="194"/>
        <v>0.99990168534413759</v>
      </c>
      <c r="J973" s="39">
        <f t="shared" si="194"/>
        <v>0.99998670243260579</v>
      </c>
      <c r="K973" s="39">
        <f t="shared" si="194"/>
        <v>0.99999842399839711</v>
      </c>
      <c r="L973" s="39">
        <f t="shared" ref="L973:V982" si="195">_xlfn.HYPGEOM.DIST(L$2,comau,tongtheN*$W973,tongtheN,TRUE)</f>
        <v>0.9999998349354321</v>
      </c>
      <c r="M973" s="39">
        <f t="shared" si="195"/>
        <v>0.99999998461491724</v>
      </c>
      <c r="N973" s="39">
        <f t="shared" si="195"/>
        <v>0.99999999871642797</v>
      </c>
      <c r="O973" s="39">
        <f t="shared" si="195"/>
        <v>0.99999999990367694</v>
      </c>
      <c r="P973" s="39">
        <f t="shared" si="195"/>
        <v>0.99999999999347156</v>
      </c>
      <c r="Q973" s="39">
        <f t="shared" si="195"/>
        <v>0.99999999999959899</v>
      </c>
      <c r="R973" s="39">
        <f t="shared" si="195"/>
        <v>0.99999999999997757</v>
      </c>
      <c r="S973" s="39">
        <f t="shared" si="195"/>
        <v>0.99999999999999889</v>
      </c>
      <c r="T973" s="39">
        <f t="shared" si="195"/>
        <v>1</v>
      </c>
      <c r="U973" s="39">
        <f t="shared" si="195"/>
        <v>1</v>
      </c>
      <c r="V973" s="39">
        <f t="shared" si="195"/>
        <v>1</v>
      </c>
      <c r="W973" s="37">
        <v>0.03</v>
      </c>
    </row>
    <row r="974" spans="2:23" x14ac:dyDescent="0.25">
      <c r="B974" s="39">
        <f t="shared" si="194"/>
        <v>0.22845289766744345</v>
      </c>
      <c r="C974" s="39">
        <f t="shared" si="194"/>
        <v>0.57228521481292882</v>
      </c>
      <c r="D974" s="39">
        <f t="shared" si="194"/>
        <v>0.82428846473736272</v>
      </c>
      <c r="E974" s="39">
        <f t="shared" si="194"/>
        <v>0.94416028091763449</v>
      </c>
      <c r="F974" s="39">
        <f t="shared" si="194"/>
        <v>0.98577314162370255</v>
      </c>
      <c r="G974" s="39">
        <f t="shared" si="194"/>
        <v>0.99701281127694819</v>
      </c>
      <c r="H974" s="39">
        <f t="shared" si="194"/>
        <v>0.99947205828373609</v>
      </c>
      <c r="I974" s="39">
        <f t="shared" si="194"/>
        <v>0.99992016018702545</v>
      </c>
      <c r="J974" s="39">
        <f t="shared" si="194"/>
        <v>0.99998953329896589</v>
      </c>
      <c r="K974" s="39">
        <f t="shared" si="194"/>
        <v>0.99999879803061809</v>
      </c>
      <c r="L974" s="39">
        <f t="shared" si="195"/>
        <v>0.99999987805458146</v>
      </c>
      <c r="M974" s="39">
        <f t="shared" si="195"/>
        <v>0.99999998899295839</v>
      </c>
      <c r="N974" s="39">
        <f t="shared" si="195"/>
        <v>0.99999999911092152</v>
      </c>
      <c r="O974" s="39">
        <f t="shared" si="195"/>
        <v>0.99999999993542077</v>
      </c>
      <c r="P974" s="39">
        <f t="shared" si="195"/>
        <v>0.99999999999576439</v>
      </c>
      <c r="Q974" s="39">
        <f t="shared" si="195"/>
        <v>0.99999999999974831</v>
      </c>
      <c r="R974" s="39">
        <f t="shared" si="195"/>
        <v>0.99999999999998646</v>
      </c>
      <c r="S974" s="39">
        <f t="shared" si="195"/>
        <v>0.99999999999999933</v>
      </c>
      <c r="T974" s="39">
        <f t="shared" si="195"/>
        <v>1</v>
      </c>
      <c r="U974" s="39">
        <f t="shared" si="195"/>
        <v>1</v>
      </c>
      <c r="V974" s="39">
        <f t="shared" si="195"/>
        <v>1</v>
      </c>
      <c r="W974" s="37">
        <v>2.9000000000000001E-2</v>
      </c>
    </row>
    <row r="975" spans="2:23" x14ac:dyDescent="0.25">
      <c r="B975" s="39">
        <f t="shared" si="194"/>
        <v>0.2410820304977738</v>
      </c>
      <c r="C975" s="39">
        <f t="shared" si="194"/>
        <v>0.59050773188543626</v>
      </c>
      <c r="D975" s="39">
        <f t="shared" si="194"/>
        <v>0.83708716472785494</v>
      </c>
      <c r="E975" s="39">
        <f t="shared" si="194"/>
        <v>0.94999178624533398</v>
      </c>
      <c r="F975" s="39">
        <f t="shared" si="194"/>
        <v>0.98771131653995337</v>
      </c>
      <c r="G975" s="39">
        <f t="shared" si="194"/>
        <v>0.99751377957657594</v>
      </c>
      <c r="H975" s="39">
        <f t="shared" si="194"/>
        <v>0.99957689915794823</v>
      </c>
      <c r="I975" s="39">
        <f t="shared" si="194"/>
        <v>0.99993842216783924</v>
      </c>
      <c r="J975" s="39">
        <f t="shared" si="194"/>
        <v>0.99999223455256092</v>
      </c>
      <c r="K975" s="39">
        <f t="shared" si="194"/>
        <v>0.99999914250701816</v>
      </c>
      <c r="L975" s="39">
        <f t="shared" si="195"/>
        <v>0.99999991637673191</v>
      </c>
      <c r="M975" s="39">
        <f t="shared" si="195"/>
        <v>0.99999999274711737</v>
      </c>
      <c r="N975" s="39">
        <f t="shared" si="195"/>
        <v>0.99999999943724549</v>
      </c>
      <c r="O975" s="39">
        <f t="shared" si="195"/>
        <v>0.99999999996074673</v>
      </c>
      <c r="P975" s="39">
        <f t="shared" si="195"/>
        <v>0.99999999999752842</v>
      </c>
      <c r="Q975" s="39">
        <f t="shared" si="195"/>
        <v>0.999999999999859</v>
      </c>
      <c r="R975" s="39">
        <f t="shared" si="195"/>
        <v>0.99999999999999267</v>
      </c>
      <c r="S975" s="39">
        <f t="shared" si="195"/>
        <v>0.99999999999999967</v>
      </c>
      <c r="T975" s="39">
        <f t="shared" si="195"/>
        <v>1</v>
      </c>
      <c r="U975" s="39">
        <f t="shared" si="195"/>
        <v>1</v>
      </c>
      <c r="V975" s="39">
        <f t="shared" si="195"/>
        <v>1</v>
      </c>
      <c r="W975" s="37">
        <v>2.8000000000000001E-2</v>
      </c>
    </row>
    <row r="976" spans="2:23" x14ac:dyDescent="0.25">
      <c r="B976" s="39">
        <f t="shared" si="194"/>
        <v>0.25439460074885523</v>
      </c>
      <c r="C976" s="39">
        <f t="shared" si="194"/>
        <v>0.60899139136101865</v>
      </c>
      <c r="D976" s="39">
        <f t="shared" si="194"/>
        <v>0.84957648234819505</v>
      </c>
      <c r="E976" s="39">
        <f t="shared" si="194"/>
        <v>0.95546506608365156</v>
      </c>
      <c r="F976" s="39">
        <f t="shared" si="194"/>
        <v>0.98946057400231513</v>
      </c>
      <c r="G976" s="39">
        <f t="shared" si="194"/>
        <v>0.99794845315411373</v>
      </c>
      <c r="H976" s="39">
        <f t="shared" si="194"/>
        <v>0.99966433168884394</v>
      </c>
      <c r="I976" s="39">
        <f t="shared" si="194"/>
        <v>0.99995305659192102</v>
      </c>
      <c r="J976" s="39">
        <f t="shared" si="194"/>
        <v>0.99999431412028428</v>
      </c>
      <c r="K976" s="39">
        <f t="shared" si="194"/>
        <v>0.99999939721375719</v>
      </c>
      <c r="L976" s="39">
        <f t="shared" si="195"/>
        <v>0.99999994358469502</v>
      </c>
      <c r="M976" s="39">
        <f t="shared" si="195"/>
        <v>0.9999999953057892</v>
      </c>
      <c r="N976" s="39">
        <f t="shared" si="195"/>
        <v>0.9999999996506953</v>
      </c>
      <c r="O976" s="39">
        <f t="shared" si="195"/>
        <v>0.99999999997664124</v>
      </c>
      <c r="P976" s="39">
        <f t="shared" si="195"/>
        <v>0.99999999999859046</v>
      </c>
      <c r="Q976" s="39">
        <f t="shared" si="195"/>
        <v>0.99999999999992295</v>
      </c>
      <c r="R976" s="39">
        <f t="shared" si="195"/>
        <v>0.99999999999999623</v>
      </c>
      <c r="S976" s="39">
        <f t="shared" si="195"/>
        <v>0.99999999999999978</v>
      </c>
      <c r="T976" s="39">
        <f t="shared" si="195"/>
        <v>1</v>
      </c>
      <c r="U976" s="39">
        <f t="shared" si="195"/>
        <v>1</v>
      </c>
      <c r="V976" s="39">
        <f t="shared" si="195"/>
        <v>1</v>
      </c>
      <c r="W976" s="37">
        <v>2.7E-2</v>
      </c>
    </row>
    <row r="977" spans="2:23" x14ac:dyDescent="0.25">
      <c r="B977" s="39">
        <f t="shared" si="194"/>
        <v>0.26842679870083397</v>
      </c>
      <c r="C977" s="39">
        <f t="shared" si="194"/>
        <v>0.62771168018146817</v>
      </c>
      <c r="D977" s="39">
        <f t="shared" si="194"/>
        <v>0.86172766370020004</v>
      </c>
      <c r="E977" s="39">
        <f t="shared" si="194"/>
        <v>0.9605792429451816</v>
      </c>
      <c r="F977" s="39">
        <f t="shared" si="194"/>
        <v>0.99102993143409623</v>
      </c>
      <c r="G977" s="39">
        <f t="shared" si="194"/>
        <v>0.9983227893235419</v>
      </c>
      <c r="H977" s="39">
        <f t="shared" si="194"/>
        <v>0.9997365905298965</v>
      </c>
      <c r="I977" s="39">
        <f t="shared" si="194"/>
        <v>0.99996466039940679</v>
      </c>
      <c r="J977" s="39">
        <f t="shared" si="194"/>
        <v>0.99999589569958691</v>
      </c>
      <c r="K977" s="39">
        <f t="shared" si="194"/>
        <v>0.99999958296681313</v>
      </c>
      <c r="L977" s="39">
        <f t="shared" si="195"/>
        <v>0.99999996260652391</v>
      </c>
      <c r="M977" s="39">
        <f t="shared" si="195"/>
        <v>0.99999999702019271</v>
      </c>
      <c r="N977" s="39">
        <f t="shared" si="195"/>
        <v>0.99999999978772558</v>
      </c>
      <c r="O977" s="39">
        <f t="shared" si="195"/>
        <v>0.99999999998641509</v>
      </c>
      <c r="P977" s="39">
        <f t="shared" si="195"/>
        <v>0.99999999999921574</v>
      </c>
      <c r="Q977" s="39">
        <f t="shared" si="195"/>
        <v>0.99999999999995903</v>
      </c>
      <c r="R977" s="39">
        <f t="shared" si="195"/>
        <v>0.999999999999998</v>
      </c>
      <c r="S977" s="39">
        <f t="shared" si="195"/>
        <v>0.99999999999999989</v>
      </c>
      <c r="T977" s="39">
        <f t="shared" si="195"/>
        <v>1</v>
      </c>
      <c r="U977" s="39">
        <f t="shared" si="195"/>
        <v>1</v>
      </c>
      <c r="V977" s="39">
        <f t="shared" si="195"/>
        <v>1</v>
      </c>
      <c r="W977" s="37">
        <v>2.5999999999999999E-2</v>
      </c>
    </row>
    <row r="978" spans="2:23" x14ac:dyDescent="0.25">
      <c r="B978" s="39">
        <f t="shared" si="194"/>
        <v>0.28069741588244468</v>
      </c>
      <c r="C978" s="39">
        <f t="shared" si="194"/>
        <v>0.64347275143326188</v>
      </c>
      <c r="D978" s="39">
        <f t="shared" si="194"/>
        <v>0.87157457987947162</v>
      </c>
      <c r="E978" s="39">
        <f t="shared" si="194"/>
        <v>0.96456710710534477</v>
      </c>
      <c r="F978" s="39">
        <f t="shared" si="194"/>
        <v>0.9922071088063612</v>
      </c>
      <c r="G978" s="39">
        <f t="shared" si="194"/>
        <v>0.99859281682266776</v>
      </c>
      <c r="H978" s="39">
        <f t="shared" si="194"/>
        <v>0.99978670143654857</v>
      </c>
      <c r="I978" s="39">
        <f t="shared" si="194"/>
        <v>0.99997239439424435</v>
      </c>
      <c r="J978" s="39">
        <f t="shared" si="194"/>
        <v>0.99999690849458911</v>
      </c>
      <c r="K978" s="39">
        <f t="shared" si="194"/>
        <v>0.99999969721700399</v>
      </c>
      <c r="L978" s="39">
        <f t="shared" si="195"/>
        <v>0.99999997384027572</v>
      </c>
      <c r="M978" s="39">
        <f t="shared" si="195"/>
        <v>0.99999999799203632</v>
      </c>
      <c r="N978" s="39">
        <f t="shared" si="195"/>
        <v>0.99999999986226185</v>
      </c>
      <c r="O978" s="39">
        <f t="shared" si="195"/>
        <v>0.99999999999151479</v>
      </c>
      <c r="P978" s="39">
        <f t="shared" si="195"/>
        <v>0.9999999999995286</v>
      </c>
      <c r="Q978" s="39">
        <f t="shared" si="195"/>
        <v>0.99999999999997635</v>
      </c>
      <c r="R978" s="39">
        <f t="shared" si="195"/>
        <v>0.99999999999999889</v>
      </c>
      <c r="S978" s="39">
        <f t="shared" si="195"/>
        <v>1</v>
      </c>
      <c r="T978" s="39">
        <f t="shared" si="195"/>
        <v>1</v>
      </c>
      <c r="U978" s="39">
        <f t="shared" si="195"/>
        <v>1</v>
      </c>
      <c r="V978" s="39">
        <f t="shared" si="195"/>
        <v>1</v>
      </c>
      <c r="W978" s="37">
        <v>2.5000000000000001E-2</v>
      </c>
    </row>
    <row r="979" spans="2:23" x14ac:dyDescent="0.25">
      <c r="B979" s="39">
        <f t="shared" si="194"/>
        <v>0.29614921156067214</v>
      </c>
      <c r="C979" s="39">
        <f t="shared" si="194"/>
        <v>0.66255221671911524</v>
      </c>
      <c r="D979" s="39">
        <f t="shared" si="194"/>
        <v>0.88303118531257396</v>
      </c>
      <c r="E979" s="39">
        <f t="shared" si="194"/>
        <v>0.96902549175806008</v>
      </c>
      <c r="F979" s="39">
        <f t="shared" si="194"/>
        <v>0.99347145387260349</v>
      </c>
      <c r="G979" s="39">
        <f t="shared" si="194"/>
        <v>0.99887137899261946</v>
      </c>
      <c r="H979" s="39">
        <f t="shared" si="194"/>
        <v>0.99983634232246821</v>
      </c>
      <c r="I979" s="39">
        <f t="shared" si="194"/>
        <v>0.99997974978440018</v>
      </c>
      <c r="J979" s="39">
        <f t="shared" si="194"/>
        <v>0.99999783301848555</v>
      </c>
      <c r="K979" s="39">
        <f t="shared" si="194"/>
        <v>0.99999979729697175</v>
      </c>
      <c r="L979" s="39">
        <f t="shared" si="195"/>
        <v>0.99999998328101958</v>
      </c>
      <c r="M979" s="39">
        <f t="shared" si="195"/>
        <v>0.99999999877540302</v>
      </c>
      <c r="N979" s="39">
        <f t="shared" si="195"/>
        <v>0.99999999991987454</v>
      </c>
      <c r="O979" s="39">
        <f t="shared" si="195"/>
        <v>0.99999999999529376</v>
      </c>
      <c r="P979" s="39">
        <f t="shared" si="195"/>
        <v>0.99999999999975087</v>
      </c>
      <c r="Q979" s="39">
        <f t="shared" si="195"/>
        <v>0.99999999999998812</v>
      </c>
      <c r="R979" s="39">
        <f t="shared" si="195"/>
        <v>0.99999999999999944</v>
      </c>
      <c r="S979" s="39">
        <f t="shared" si="195"/>
        <v>1</v>
      </c>
      <c r="T979" s="39">
        <f t="shared" si="195"/>
        <v>1</v>
      </c>
      <c r="U979" s="39">
        <f t="shared" si="195"/>
        <v>1</v>
      </c>
      <c r="V979" s="39">
        <f t="shared" si="195"/>
        <v>1</v>
      </c>
      <c r="W979" s="37">
        <v>2.4E-2</v>
      </c>
    </row>
    <row r="980" spans="2:23" x14ac:dyDescent="0.25">
      <c r="B980" s="39">
        <f t="shared" si="194"/>
        <v>0.3124336713904769</v>
      </c>
      <c r="C980" s="39">
        <f t="shared" si="194"/>
        <v>0.68178030065380213</v>
      </c>
      <c r="D980" s="39">
        <f t="shared" si="194"/>
        <v>0.8940686256216821</v>
      </c>
      <c r="E980" s="39">
        <f t="shared" si="194"/>
        <v>0.97313034736442006</v>
      </c>
      <c r="F980" s="39">
        <f t="shared" si="194"/>
        <v>0.99458358845492389</v>
      </c>
      <c r="G980" s="39">
        <f t="shared" si="194"/>
        <v>0.99910539563376366</v>
      </c>
      <c r="H980" s="39">
        <f t="shared" si="194"/>
        <v>0.9998761582210659</v>
      </c>
      <c r="I980" s="39">
        <f t="shared" si="194"/>
        <v>0.99998538061669007</v>
      </c>
      <c r="J980" s="39">
        <f t="shared" si="194"/>
        <v>0.99999850830847181</v>
      </c>
      <c r="K980" s="39">
        <f t="shared" si="194"/>
        <v>0.99999986702026655</v>
      </c>
      <c r="L980" s="39">
        <f t="shared" si="195"/>
        <v>0.99999998955216174</v>
      </c>
      <c r="M980" s="39">
        <f t="shared" si="195"/>
        <v>0.99999999927138294</v>
      </c>
      <c r="N980" s="39">
        <f t="shared" si="195"/>
        <v>0.99999999995462996</v>
      </c>
      <c r="O980" s="39">
        <f t="shared" si="195"/>
        <v>0.99999999999746503</v>
      </c>
      <c r="P980" s="39">
        <f t="shared" si="195"/>
        <v>0.99999999999987244</v>
      </c>
      <c r="Q980" s="39">
        <f t="shared" si="195"/>
        <v>0.99999999999999423</v>
      </c>
      <c r="R980" s="39">
        <f t="shared" si="195"/>
        <v>0.99999999999999978</v>
      </c>
      <c r="S980" s="39">
        <f t="shared" si="195"/>
        <v>1</v>
      </c>
      <c r="T980" s="39">
        <f t="shared" si="195"/>
        <v>1</v>
      </c>
      <c r="U980" s="39">
        <f t="shared" si="195"/>
        <v>1</v>
      </c>
      <c r="V980" s="39">
        <f t="shared" si="195"/>
        <v>1</v>
      </c>
      <c r="W980" s="37">
        <v>2.3E-2</v>
      </c>
    </row>
    <row r="981" spans="2:23" x14ac:dyDescent="0.25">
      <c r="B981" s="39">
        <f t="shared" si="194"/>
        <v>0.32959470206675967</v>
      </c>
      <c r="C981" s="39">
        <f t="shared" si="194"/>
        <v>0.7011185208215609</v>
      </c>
      <c r="D981" s="39">
        <f t="shared" si="194"/>
        <v>0.90465907447747851</v>
      </c>
      <c r="E981" s="39">
        <f t="shared" si="194"/>
        <v>0.97688666497172649</v>
      </c>
      <c r="F981" s="39">
        <f t="shared" si="194"/>
        <v>0.995553854735999</v>
      </c>
      <c r="G981" s="39">
        <f t="shared" si="194"/>
        <v>0.99929997556407335</v>
      </c>
      <c r="H981" s="39">
        <f t="shared" si="194"/>
        <v>0.99990769895547083</v>
      </c>
      <c r="I981" s="39">
        <f t="shared" si="194"/>
        <v>0.99998962872711838</v>
      </c>
      <c r="J981" s="39">
        <f t="shared" si="194"/>
        <v>0.99999899333222741</v>
      </c>
      <c r="K981" s="39">
        <f t="shared" si="194"/>
        <v>0.99999991467864158</v>
      </c>
      <c r="L981" s="39">
        <f t="shared" si="195"/>
        <v>0.99999999363003045</v>
      </c>
      <c r="M981" s="39">
        <f t="shared" si="195"/>
        <v>0.99999999957808028</v>
      </c>
      <c r="N981" s="39">
        <f t="shared" si="195"/>
        <v>0.99999999997505951</v>
      </c>
      <c r="O981" s="39">
        <f t="shared" si="195"/>
        <v>0.99999999999867784</v>
      </c>
      <c r="P981" s="39">
        <f t="shared" si="195"/>
        <v>0.99999999999993683</v>
      </c>
      <c r="Q981" s="39">
        <f t="shared" si="195"/>
        <v>0.99999999999999722</v>
      </c>
      <c r="R981" s="39">
        <f t="shared" si="195"/>
        <v>0.99999999999999989</v>
      </c>
      <c r="S981" s="39">
        <f t="shared" si="195"/>
        <v>1</v>
      </c>
      <c r="T981" s="39">
        <f t="shared" si="195"/>
        <v>1</v>
      </c>
      <c r="U981" s="39">
        <f t="shared" si="195"/>
        <v>1</v>
      </c>
      <c r="V981" s="39">
        <f t="shared" si="195"/>
        <v>1</v>
      </c>
      <c r="W981" s="37">
        <v>2.1999999999999999E-2</v>
      </c>
    </row>
    <row r="982" spans="2:23" x14ac:dyDescent="0.25">
      <c r="B982" s="39">
        <f t="shared" si="194"/>
        <v>0.34459840325664332</v>
      </c>
      <c r="C982" s="39">
        <f t="shared" si="194"/>
        <v>0.71728705890603417</v>
      </c>
      <c r="D982" s="39">
        <f t="shared" si="194"/>
        <v>0.91312345704887732</v>
      </c>
      <c r="E982" s="39">
        <f t="shared" si="194"/>
        <v>0.97975542668146731</v>
      </c>
      <c r="F982" s="39">
        <f t="shared" si="194"/>
        <v>0.99626163105802379</v>
      </c>
      <c r="G982" s="39">
        <f t="shared" si="194"/>
        <v>0.9994354928641912</v>
      </c>
      <c r="H982" s="39">
        <f t="shared" si="194"/>
        <v>0.9999286630323222</v>
      </c>
      <c r="I982" s="39">
        <f t="shared" si="194"/>
        <v>0.99999232224280032</v>
      </c>
      <c r="J982" s="39">
        <f t="shared" si="194"/>
        <v>0.99999928656724602</v>
      </c>
      <c r="K982" s="39">
        <f t="shared" si="194"/>
        <v>0.9999999421403315</v>
      </c>
      <c r="L982" s="39">
        <f t="shared" si="195"/>
        <v>0.99999999586854149</v>
      </c>
      <c r="M982" s="39">
        <f t="shared" si="195"/>
        <v>0.99999999973839504</v>
      </c>
      <c r="N982" s="39">
        <f t="shared" si="195"/>
        <v>0.99999999998522338</v>
      </c>
      <c r="O982" s="39">
        <f t="shared" si="195"/>
        <v>0.99999999999925182</v>
      </c>
      <c r="P982" s="39">
        <f t="shared" si="195"/>
        <v>0.99999999999996592</v>
      </c>
      <c r="Q982" s="39">
        <f t="shared" si="195"/>
        <v>0.99999999999999856</v>
      </c>
      <c r="R982" s="39">
        <f t="shared" si="195"/>
        <v>1</v>
      </c>
      <c r="S982" s="39">
        <f t="shared" si="195"/>
        <v>1</v>
      </c>
      <c r="T982" s="39">
        <f t="shared" si="195"/>
        <v>1</v>
      </c>
      <c r="U982" s="39">
        <f t="shared" si="195"/>
        <v>1</v>
      </c>
      <c r="V982" s="39">
        <f t="shared" si="195"/>
        <v>1</v>
      </c>
      <c r="W982" s="37">
        <v>2.1000000000000001E-2</v>
      </c>
    </row>
    <row r="983" spans="2:23" x14ac:dyDescent="0.25">
      <c r="B983" s="39">
        <f t="shared" ref="B983:K992" si="196">_xlfn.HYPGEOM.DIST(B$2,comau,tongtheN*$W983,tongtheN,TRUE)</f>
        <v>0.3634881099014452</v>
      </c>
      <c r="C983" s="39">
        <f t="shared" si="196"/>
        <v>0.73671250846096403</v>
      </c>
      <c r="D983" s="39">
        <f t="shared" si="196"/>
        <v>0.92282494287923533</v>
      </c>
      <c r="E983" s="39">
        <f t="shared" si="196"/>
        <v>0.98289121946406843</v>
      </c>
      <c r="F983" s="39">
        <f t="shared" si="196"/>
        <v>0.99699923659518397</v>
      </c>
      <c r="G983" s="39">
        <f t="shared" si="196"/>
        <v>0.99957009796104679</v>
      </c>
      <c r="H983" s="39">
        <f t="shared" si="196"/>
        <v>0.99994850306842176</v>
      </c>
      <c r="I983" s="39">
        <f t="shared" si="196"/>
        <v>0.99999475022440187</v>
      </c>
      <c r="J983" s="39">
        <f t="shared" si="196"/>
        <v>0.99999953825258925</v>
      </c>
      <c r="K983" s="39">
        <f t="shared" si="196"/>
        <v>0.99999996457606899</v>
      </c>
      <c r="L983" s="39">
        <f t="shared" ref="L983:V992" si="197">_xlfn.HYPGEOM.DIST(L$2,comau,tongtheN*$W983,tongtheN,TRUE)</f>
        <v>0.99999999760872804</v>
      </c>
      <c r="M983" s="39">
        <f t="shared" si="197"/>
        <v>0.9999999998569401</v>
      </c>
      <c r="N983" s="39">
        <f t="shared" si="197"/>
        <v>0.99999999999236977</v>
      </c>
      <c r="O983" s="39">
        <f t="shared" si="197"/>
        <v>0.9999999999996354</v>
      </c>
      <c r="P983" s="39">
        <f t="shared" si="197"/>
        <v>0.99999999999998435</v>
      </c>
      <c r="Q983" s="39">
        <f t="shared" si="197"/>
        <v>0.99999999999999944</v>
      </c>
      <c r="R983" s="39">
        <f t="shared" si="197"/>
        <v>1</v>
      </c>
      <c r="S983" s="39">
        <f t="shared" si="197"/>
        <v>1</v>
      </c>
      <c r="T983" s="39">
        <f t="shared" si="197"/>
        <v>1</v>
      </c>
      <c r="U983" s="39">
        <f t="shared" si="197"/>
        <v>1</v>
      </c>
      <c r="V983" s="39">
        <f t="shared" si="197"/>
        <v>1</v>
      </c>
      <c r="W983" s="37">
        <v>0.02</v>
      </c>
    </row>
    <row r="984" spans="2:23" x14ac:dyDescent="0.25">
      <c r="B984" s="39">
        <f t="shared" si="196"/>
        <v>0.38339147004375312</v>
      </c>
      <c r="C984" s="39">
        <f t="shared" si="196"/>
        <v>0.75611417995071906</v>
      </c>
      <c r="D984" s="39">
        <f t="shared" si="196"/>
        <v>0.9320057958618716</v>
      </c>
      <c r="E984" s="39">
        <f t="shared" si="196"/>
        <v>0.98570166719566144</v>
      </c>
      <c r="F984" s="39">
        <f t="shared" si="196"/>
        <v>0.9976250417269924</v>
      </c>
      <c r="G984" s="39">
        <f t="shared" si="196"/>
        <v>0.99967815755538203</v>
      </c>
      <c r="H984" s="39">
        <f t="shared" si="196"/>
        <v>0.99996356663507258</v>
      </c>
      <c r="I984" s="39">
        <f t="shared" si="196"/>
        <v>0.99999649286328662</v>
      </c>
      <c r="J984" s="39">
        <f t="shared" si="196"/>
        <v>0.9999997089339473</v>
      </c>
      <c r="K984" s="39">
        <f t="shared" si="196"/>
        <v>0.99999997894486725</v>
      </c>
      <c r="L984" s="39">
        <f t="shared" si="197"/>
        <v>0.99999999866071354</v>
      </c>
      <c r="M984" s="39">
        <f t="shared" si="197"/>
        <v>0.99999999992454991</v>
      </c>
      <c r="N984" s="39">
        <f t="shared" si="197"/>
        <v>0.99999999999621303</v>
      </c>
      <c r="O984" s="39">
        <f t="shared" si="197"/>
        <v>0.9999999999998298</v>
      </c>
      <c r="P984" s="39">
        <f t="shared" si="197"/>
        <v>0.99999999999999312</v>
      </c>
      <c r="Q984" s="39">
        <f t="shared" si="197"/>
        <v>0.99999999999999978</v>
      </c>
      <c r="R984" s="39">
        <f t="shared" si="197"/>
        <v>1</v>
      </c>
      <c r="S984" s="39">
        <f t="shared" si="197"/>
        <v>1</v>
      </c>
      <c r="T984" s="39">
        <f t="shared" si="197"/>
        <v>1</v>
      </c>
      <c r="U984" s="39">
        <f t="shared" si="197"/>
        <v>1</v>
      </c>
      <c r="V984" s="39">
        <f t="shared" si="197"/>
        <v>1</v>
      </c>
      <c r="W984" s="37">
        <v>1.9E-2</v>
      </c>
    </row>
    <row r="985" spans="2:23" x14ac:dyDescent="0.25">
      <c r="B985" s="39">
        <f t="shared" si="196"/>
        <v>0.40436170992328435</v>
      </c>
      <c r="C985" s="39">
        <f t="shared" si="196"/>
        <v>0.77543491129622022</v>
      </c>
      <c r="D985" s="39">
        <f t="shared" si="196"/>
        <v>0.94064280907476361</v>
      </c>
      <c r="E985" s="39">
        <f t="shared" si="196"/>
        <v>0.98819819967150868</v>
      </c>
      <c r="F985" s="39">
        <f t="shared" si="196"/>
        <v>0.99814968390145975</v>
      </c>
      <c r="G985" s="39">
        <f t="shared" si="196"/>
        <v>0.99976361051054807</v>
      </c>
      <c r="H985" s="39">
        <f t="shared" si="196"/>
        <v>0.99997479727531213</v>
      </c>
      <c r="I985" s="39">
        <f t="shared" si="196"/>
        <v>0.99999771710219543</v>
      </c>
      <c r="J985" s="39">
        <f t="shared" si="196"/>
        <v>0.99999982185938918</v>
      </c>
      <c r="K985" s="39">
        <f t="shared" si="196"/>
        <v>0.99999998789302313</v>
      </c>
      <c r="L985" s="39">
        <f t="shared" si="197"/>
        <v>0.999999999277005</v>
      </c>
      <c r="M985" s="39">
        <f t="shared" si="197"/>
        <v>0.99999999996178901</v>
      </c>
      <c r="N985" s="39">
        <f t="shared" si="197"/>
        <v>0.9999999999982021</v>
      </c>
      <c r="O985" s="39">
        <f t="shared" si="197"/>
        <v>0.99999999999992428</v>
      </c>
      <c r="P985" s="39">
        <f t="shared" si="197"/>
        <v>0.99999999999999711</v>
      </c>
      <c r="Q985" s="39">
        <f t="shared" si="197"/>
        <v>0.99999999999999989</v>
      </c>
      <c r="R985" s="39">
        <f t="shared" si="197"/>
        <v>1</v>
      </c>
      <c r="S985" s="39">
        <f t="shared" si="197"/>
        <v>1</v>
      </c>
      <c r="T985" s="39">
        <f t="shared" si="197"/>
        <v>1</v>
      </c>
      <c r="U985" s="39">
        <f t="shared" si="197"/>
        <v>1</v>
      </c>
      <c r="V985" s="39">
        <f t="shared" si="197"/>
        <v>1</v>
      </c>
      <c r="W985" s="37">
        <v>1.7999999999999999E-2</v>
      </c>
    </row>
    <row r="986" spans="2:23" x14ac:dyDescent="0.25">
      <c r="B986" s="39">
        <f t="shared" si="196"/>
        <v>0.42645478944906307</v>
      </c>
      <c r="C986" s="39">
        <f t="shared" si="196"/>
        <v>0.79461173655265094</v>
      </c>
      <c r="D986" s="39">
        <f t="shared" si="196"/>
        <v>0.94871480464085833</v>
      </c>
      <c r="E986" s="39">
        <f t="shared" si="196"/>
        <v>0.99039392625902123</v>
      </c>
      <c r="F986" s="39">
        <f t="shared" si="196"/>
        <v>0.99858367716228769</v>
      </c>
      <c r="G986" s="39">
        <f t="shared" si="196"/>
        <v>0.99983005760925225</v>
      </c>
      <c r="H986" s="39">
        <f t="shared" si="196"/>
        <v>0.99998300132406737</v>
      </c>
      <c r="I986" s="39">
        <f t="shared" si="196"/>
        <v>0.99999855676590144</v>
      </c>
      <c r="J986" s="39">
        <f t="shared" si="196"/>
        <v>0.99999989453389915</v>
      </c>
      <c r="K986" s="39">
        <f t="shared" si="196"/>
        <v>0.99999999329316713</v>
      </c>
      <c r="L986" s="39">
        <f t="shared" si="197"/>
        <v>0.99999999962555453</v>
      </c>
      <c r="M986" s="39">
        <f t="shared" si="197"/>
        <v>0.99999999998151345</v>
      </c>
      <c r="N986" s="39">
        <f t="shared" si="197"/>
        <v>0.99999999999918809</v>
      </c>
      <c r="O986" s="39">
        <f t="shared" si="197"/>
        <v>0.99999999999996814</v>
      </c>
      <c r="P986" s="39">
        <f t="shared" si="197"/>
        <v>0.99999999999999889</v>
      </c>
      <c r="Q986" s="39">
        <f t="shared" si="197"/>
        <v>1</v>
      </c>
      <c r="R986" s="39">
        <f t="shared" si="197"/>
        <v>1</v>
      </c>
      <c r="S986" s="39">
        <f t="shared" si="197"/>
        <v>1</v>
      </c>
      <c r="T986" s="39">
        <f t="shared" si="197"/>
        <v>1</v>
      </c>
      <c r="U986" s="39">
        <f t="shared" si="197"/>
        <v>1</v>
      </c>
      <c r="V986" s="39">
        <f t="shared" si="197"/>
        <v>1</v>
      </c>
      <c r="W986" s="37">
        <v>1.7000000000000001E-2</v>
      </c>
    </row>
    <row r="987" spans="2:23" x14ac:dyDescent="0.25">
      <c r="B987" s="39">
        <f t="shared" si="196"/>
        <v>0.44576576774158705</v>
      </c>
      <c r="C987" s="39">
        <f t="shared" si="196"/>
        <v>0.81043276607189096</v>
      </c>
      <c r="D987" s="39">
        <f t="shared" si="196"/>
        <v>0.95499625696403401</v>
      </c>
      <c r="E987" s="39">
        <f t="shared" si="196"/>
        <v>0.99200451063242268</v>
      </c>
      <c r="F987" s="39">
        <f t="shared" si="196"/>
        <v>0.99888353325483958</v>
      </c>
      <c r="G987" s="39">
        <f t="shared" si="196"/>
        <v>0.99987327143061866</v>
      </c>
      <c r="H987" s="39">
        <f t="shared" si="196"/>
        <v>0.99998801985984676</v>
      </c>
      <c r="I987" s="39">
        <f t="shared" si="196"/>
        <v>0.99999903952982616</v>
      </c>
      <c r="J987" s="39">
        <f t="shared" si="196"/>
        <v>0.99999993377702368</v>
      </c>
      <c r="K987" s="39">
        <f t="shared" si="196"/>
        <v>0.99999999602971434</v>
      </c>
      <c r="L987" s="39">
        <f t="shared" si="197"/>
        <v>0.99999999979118293</v>
      </c>
      <c r="M987" s="39">
        <f t="shared" si="197"/>
        <v>0.99999999999029554</v>
      </c>
      <c r="N987" s="39">
        <f t="shared" si="197"/>
        <v>0.9999999999995991</v>
      </c>
      <c r="O987" s="39">
        <f t="shared" si="197"/>
        <v>0.99999999999998523</v>
      </c>
      <c r="P987" s="39">
        <f t="shared" si="197"/>
        <v>0.99999999999999956</v>
      </c>
      <c r="Q987" s="39">
        <f t="shared" si="197"/>
        <v>1</v>
      </c>
      <c r="R987" s="39">
        <f t="shared" si="197"/>
        <v>1</v>
      </c>
      <c r="S987" s="39">
        <f t="shared" si="197"/>
        <v>1</v>
      </c>
      <c r="T987" s="39">
        <f t="shared" si="197"/>
        <v>1</v>
      </c>
      <c r="U987" s="39">
        <f t="shared" si="197"/>
        <v>1</v>
      </c>
      <c r="V987" s="39">
        <f t="shared" si="197"/>
        <v>1</v>
      </c>
      <c r="W987" s="37">
        <v>1.6E-2</v>
      </c>
    </row>
    <row r="988" spans="2:23" x14ac:dyDescent="0.25">
      <c r="B988" s="39">
        <f t="shared" si="196"/>
        <v>0.47007235402147318</v>
      </c>
      <c r="C988" s="39">
        <f t="shared" si="196"/>
        <v>0.82916120147081285</v>
      </c>
      <c r="D988" s="39">
        <f t="shared" si="196"/>
        <v>0.96198580623337948</v>
      </c>
      <c r="E988" s="39">
        <f t="shared" si="196"/>
        <v>0.99368821589434375</v>
      </c>
      <c r="F988" s="39">
        <f t="shared" si="196"/>
        <v>0.99917787765248567</v>
      </c>
      <c r="G988" s="39">
        <f t="shared" si="196"/>
        <v>0.9999130810663579</v>
      </c>
      <c r="H988" s="39">
        <f t="shared" si="196"/>
        <v>0.9999923561948505</v>
      </c>
      <c r="I988" s="39">
        <f t="shared" si="196"/>
        <v>0.99999943056301621</v>
      </c>
      <c r="J988" s="39">
        <f t="shared" si="196"/>
        <v>0.99999996355690945</v>
      </c>
      <c r="K988" s="39">
        <f t="shared" si="196"/>
        <v>0.9999999979741131</v>
      </c>
      <c r="L988" s="39">
        <f t="shared" si="197"/>
        <v>0.99999999990130561</v>
      </c>
      <c r="M988" s="39">
        <f t="shared" si="197"/>
        <v>0.99999999999575595</v>
      </c>
      <c r="N988" s="39">
        <f t="shared" si="197"/>
        <v>0.99999999999983791</v>
      </c>
      <c r="O988" s="39">
        <f t="shared" si="197"/>
        <v>0.99999999999999445</v>
      </c>
      <c r="P988" s="39">
        <f t="shared" si="197"/>
        <v>0.99999999999999978</v>
      </c>
      <c r="Q988" s="39">
        <f t="shared" si="197"/>
        <v>1</v>
      </c>
      <c r="R988" s="39">
        <f t="shared" si="197"/>
        <v>1</v>
      </c>
      <c r="S988" s="39">
        <f t="shared" si="197"/>
        <v>1</v>
      </c>
      <c r="T988" s="39">
        <f t="shared" si="197"/>
        <v>1</v>
      </c>
      <c r="U988" s="39">
        <f t="shared" si="197"/>
        <v>1</v>
      </c>
      <c r="V988" s="39">
        <f t="shared" si="197"/>
        <v>1</v>
      </c>
      <c r="W988" s="37">
        <v>1.4999999999999999E-2</v>
      </c>
    </row>
    <row r="989" spans="2:23" x14ac:dyDescent="0.25">
      <c r="B989" s="39">
        <f t="shared" si="196"/>
        <v>0.49567640653654027</v>
      </c>
      <c r="C989" s="39">
        <f t="shared" si="196"/>
        <v>0.84753188588812156</v>
      </c>
      <c r="D989" s="39">
        <f t="shared" si="196"/>
        <v>0.96836515066544315</v>
      </c>
      <c r="E989" s="39">
        <f t="shared" si="196"/>
        <v>0.99511695383061927</v>
      </c>
      <c r="F989" s="39">
        <f t="shared" si="196"/>
        <v>0.9994099112470245</v>
      </c>
      <c r="G989" s="39">
        <f t="shared" si="196"/>
        <v>0.99994221055994359</v>
      </c>
      <c r="H989" s="39">
        <f t="shared" si="196"/>
        <v>0.99999529892226935</v>
      </c>
      <c r="I989" s="39">
        <f t="shared" si="196"/>
        <v>0.99999967645684351</v>
      </c>
      <c r="J989" s="39">
        <f t="shared" si="196"/>
        <v>0.99999998089412256</v>
      </c>
      <c r="K989" s="39">
        <f t="shared" si="196"/>
        <v>0.99999999902116954</v>
      </c>
      <c r="L989" s="39">
        <f t="shared" si="197"/>
        <v>0.99999999995610633</v>
      </c>
      <c r="M989" s="39">
        <f t="shared" si="197"/>
        <v>0.99999999999826472</v>
      </c>
      <c r="N989" s="39">
        <f t="shared" si="197"/>
        <v>0.99999999999993916</v>
      </c>
      <c r="O989" s="39">
        <f t="shared" si="197"/>
        <v>0.99999999999999811</v>
      </c>
      <c r="P989" s="39">
        <f t="shared" si="197"/>
        <v>1</v>
      </c>
      <c r="Q989" s="39">
        <f t="shared" si="197"/>
        <v>1</v>
      </c>
      <c r="R989" s="39">
        <f t="shared" si="197"/>
        <v>1</v>
      </c>
      <c r="S989" s="39">
        <f t="shared" si="197"/>
        <v>1</v>
      </c>
      <c r="T989" s="39">
        <f t="shared" si="197"/>
        <v>1</v>
      </c>
      <c r="U989" s="39">
        <f t="shared" si="197"/>
        <v>1</v>
      </c>
      <c r="V989" s="39">
        <f t="shared" si="197"/>
        <v>1</v>
      </c>
      <c r="W989" s="37">
        <v>1.4E-2</v>
      </c>
    </row>
    <row r="990" spans="2:23" x14ac:dyDescent="0.25">
      <c r="B990" s="39">
        <f t="shared" si="196"/>
        <v>0.5226456960835496</v>
      </c>
      <c r="C990" s="39">
        <f t="shared" si="196"/>
        <v>0.86545531769481188</v>
      </c>
      <c r="D990" s="39">
        <f t="shared" si="196"/>
        <v>0.97412511710135963</v>
      </c>
      <c r="E990" s="39">
        <f t="shared" si="196"/>
        <v>0.99630970135022434</v>
      </c>
      <c r="F990" s="39">
        <f t="shared" si="196"/>
        <v>0.99958884546957505</v>
      </c>
      <c r="G990" s="39">
        <f t="shared" si="196"/>
        <v>0.99996294091915194</v>
      </c>
      <c r="H990" s="39">
        <f t="shared" si="196"/>
        <v>0.9999972296891052</v>
      </c>
      <c r="I990" s="39">
        <f t="shared" si="196"/>
        <v>0.99999982504946594</v>
      </c>
      <c r="J990" s="39">
        <f t="shared" si="196"/>
        <v>0.9999999905335577</v>
      </c>
      <c r="K990" s="39">
        <f t="shared" si="196"/>
        <v>0.99999999955623431</v>
      </c>
      <c r="L990" s="39">
        <f t="shared" si="197"/>
        <v>0.99999999998181721</v>
      </c>
      <c r="M990" s="39">
        <f t="shared" si="197"/>
        <v>0.99999999999934408</v>
      </c>
      <c r="N990" s="39">
        <f t="shared" si="197"/>
        <v>0.99999999999997902</v>
      </c>
      <c r="O990" s="39">
        <f t="shared" si="197"/>
        <v>0.99999999999999944</v>
      </c>
      <c r="P990" s="39">
        <f t="shared" si="197"/>
        <v>1</v>
      </c>
      <c r="Q990" s="39">
        <f t="shared" si="197"/>
        <v>1</v>
      </c>
      <c r="R990" s="39">
        <f t="shared" si="197"/>
        <v>1</v>
      </c>
      <c r="S990" s="39">
        <f t="shared" si="197"/>
        <v>1</v>
      </c>
      <c r="T990" s="39">
        <f t="shared" si="197"/>
        <v>1</v>
      </c>
      <c r="U990" s="39">
        <f t="shared" si="197"/>
        <v>1</v>
      </c>
      <c r="V990" s="39">
        <f t="shared" si="197"/>
        <v>1</v>
      </c>
      <c r="W990" s="37">
        <v>1.2999999999999999E-2</v>
      </c>
    </row>
    <row r="991" spans="2:23" x14ac:dyDescent="0.25">
      <c r="B991" s="39">
        <f t="shared" si="196"/>
        <v>0.54621427663342903</v>
      </c>
      <c r="C991" s="39">
        <f t="shared" si="196"/>
        <v>0.87997964227022063</v>
      </c>
      <c r="D991" s="39">
        <f t="shared" si="196"/>
        <v>0.97844840429446278</v>
      </c>
      <c r="E991" s="39">
        <f t="shared" si="196"/>
        <v>0.99713794269566458</v>
      </c>
      <c r="F991" s="39">
        <f t="shared" si="196"/>
        <v>0.99970365999609512</v>
      </c>
      <c r="G991" s="39">
        <f t="shared" si="196"/>
        <v>0.99997521733160966</v>
      </c>
      <c r="H991" s="39">
        <f t="shared" si="196"/>
        <v>0.99999828360679055</v>
      </c>
      <c r="I991" s="39">
        <f t="shared" si="196"/>
        <v>0.99999989971524272</v>
      </c>
      <c r="J991" s="39">
        <f t="shared" si="196"/>
        <v>0.9999999949864512</v>
      </c>
      <c r="K991" s="39">
        <f t="shared" si="196"/>
        <v>0.99999999978315046</v>
      </c>
      <c r="L991" s="39">
        <f t="shared" si="197"/>
        <v>0.99999999999181322</v>
      </c>
      <c r="M991" s="39">
        <f t="shared" si="197"/>
        <v>0.99999999999972833</v>
      </c>
      <c r="N991" s="39">
        <f t="shared" si="197"/>
        <v>0.99999999999999201</v>
      </c>
      <c r="O991" s="39">
        <f t="shared" si="197"/>
        <v>0.99999999999999978</v>
      </c>
      <c r="P991" s="39">
        <f t="shared" si="197"/>
        <v>1</v>
      </c>
      <c r="Q991" s="39">
        <f t="shared" si="197"/>
        <v>1</v>
      </c>
      <c r="R991" s="39">
        <f t="shared" si="197"/>
        <v>1</v>
      </c>
      <c r="S991" s="39">
        <f t="shared" si="197"/>
        <v>1</v>
      </c>
      <c r="T991" s="39">
        <f t="shared" si="197"/>
        <v>1</v>
      </c>
      <c r="U991" s="39">
        <f t="shared" si="197"/>
        <v>1</v>
      </c>
      <c r="V991" s="39">
        <f t="shared" si="197"/>
        <v>1</v>
      </c>
      <c r="W991" s="37">
        <v>1.2E-2</v>
      </c>
    </row>
    <row r="992" spans="2:23" x14ac:dyDescent="0.25">
      <c r="B992" s="39">
        <f t="shared" si="196"/>
        <v>0.57587412646286973</v>
      </c>
      <c r="C992" s="39">
        <f t="shared" si="196"/>
        <v>0.89682308229408669</v>
      </c>
      <c r="D992" s="39">
        <f t="shared" si="196"/>
        <v>0.98306427527261464</v>
      </c>
      <c r="E992" s="39">
        <f t="shared" si="196"/>
        <v>0.99795132945497111</v>
      </c>
      <c r="F992" s="39">
        <f t="shared" si="196"/>
        <v>0.99980727520184309</v>
      </c>
      <c r="G992" s="39">
        <f t="shared" si="196"/>
        <v>0.99998538824134131</v>
      </c>
      <c r="H992" s="39">
        <f t="shared" si="196"/>
        <v>0.99999908440046836</v>
      </c>
      <c r="I992" s="39">
        <f t="shared" si="196"/>
        <v>0.99999995169247191</v>
      </c>
      <c r="J992" s="39">
        <f t="shared" si="196"/>
        <v>0.99999999782339488</v>
      </c>
      <c r="K992" s="39">
        <f t="shared" si="196"/>
        <v>0.99999999991531541</v>
      </c>
      <c r="L992" s="39">
        <f t="shared" si="197"/>
        <v>0.99999999999712974</v>
      </c>
      <c r="M992" s="39">
        <f t="shared" si="197"/>
        <v>0.99999999999991462</v>
      </c>
      <c r="N992" s="39">
        <f t="shared" si="197"/>
        <v>0.99999999999999778</v>
      </c>
      <c r="O992" s="39">
        <f t="shared" si="197"/>
        <v>1</v>
      </c>
      <c r="P992" s="39">
        <f t="shared" si="197"/>
        <v>1</v>
      </c>
      <c r="Q992" s="39">
        <f t="shared" si="197"/>
        <v>1</v>
      </c>
      <c r="R992" s="39">
        <f t="shared" si="197"/>
        <v>1</v>
      </c>
      <c r="S992" s="39">
        <f t="shared" si="197"/>
        <v>1</v>
      </c>
      <c r="T992" s="39">
        <f t="shared" si="197"/>
        <v>1</v>
      </c>
      <c r="U992" s="39">
        <f t="shared" si="197"/>
        <v>1</v>
      </c>
      <c r="V992" s="39">
        <f t="shared" si="197"/>
        <v>1</v>
      </c>
      <c r="W992" s="37">
        <v>1.0999999999999999E-2</v>
      </c>
    </row>
    <row r="993" spans="2:23" x14ac:dyDescent="0.25">
      <c r="B993" s="39">
        <f t="shared" ref="B993:K1002" si="198">_xlfn.HYPGEOM.DIST(B$2,comau,tongtheN*$W993,tongtheN,TRUE)</f>
        <v>0.60711061302546543</v>
      </c>
      <c r="C993" s="39">
        <f t="shared" si="198"/>
        <v>0.91291924630976662</v>
      </c>
      <c r="D993" s="39">
        <f t="shared" si="198"/>
        <v>0.98706122278371278</v>
      </c>
      <c r="E993" s="39">
        <f t="shared" si="198"/>
        <v>0.99858859721782456</v>
      </c>
      <c r="F993" s="39">
        <f t="shared" si="198"/>
        <v>0.99988061613293566</v>
      </c>
      <c r="G993" s="39">
        <f t="shared" si="198"/>
        <v>0.99999188219139701</v>
      </c>
      <c r="H993" s="39">
        <f t="shared" si="198"/>
        <v>0.99999954487244935</v>
      </c>
      <c r="I993" s="39">
        <f t="shared" si="198"/>
        <v>0.99999997856535394</v>
      </c>
      <c r="J993" s="39">
        <f t="shared" si="198"/>
        <v>0.9999999991399291</v>
      </c>
      <c r="K993" s="39">
        <f t="shared" si="198"/>
        <v>0.99999999997027145</v>
      </c>
      <c r="L993" s="39">
        <f t="shared" ref="L993:V1002" si="199">_xlfn.HYPGEOM.DIST(L$2,comau,tongtheN*$W993,tongtheN,TRUE)</f>
        <v>0.99999999999910705</v>
      </c>
      <c r="M993" s="39">
        <f t="shared" si="199"/>
        <v>0.99999999999997657</v>
      </c>
      <c r="N993" s="39">
        <f t="shared" si="199"/>
        <v>0.99999999999999944</v>
      </c>
      <c r="O993" s="39">
        <f t="shared" si="199"/>
        <v>1</v>
      </c>
      <c r="P993" s="39">
        <f t="shared" si="199"/>
        <v>1</v>
      </c>
      <c r="Q993" s="39">
        <f t="shared" si="199"/>
        <v>1</v>
      </c>
      <c r="R993" s="39">
        <f t="shared" si="199"/>
        <v>1</v>
      </c>
      <c r="S993" s="39">
        <f t="shared" si="199"/>
        <v>1</v>
      </c>
      <c r="T993" s="39">
        <f t="shared" si="199"/>
        <v>1</v>
      </c>
      <c r="U993" s="39">
        <f t="shared" si="199"/>
        <v>1</v>
      </c>
      <c r="V993" s="39">
        <f t="shared" si="199"/>
        <v>1</v>
      </c>
      <c r="W993" s="37">
        <v>0.01</v>
      </c>
    </row>
    <row r="994" spans="2:23" x14ac:dyDescent="0.25">
      <c r="B994" s="39">
        <f t="shared" si="198"/>
        <v>0.64000574705768221</v>
      </c>
      <c r="C994" s="39">
        <f t="shared" si="198"/>
        <v>0.92814392767157494</v>
      </c>
      <c r="D994" s="39">
        <f t="shared" si="198"/>
        <v>0.99045094819267265</v>
      </c>
      <c r="E994" s="39">
        <f t="shared" si="198"/>
        <v>0.99907232201698271</v>
      </c>
      <c r="F994" s="39">
        <f t="shared" si="198"/>
        <v>0.99993035180997913</v>
      </c>
      <c r="G994" s="39">
        <f t="shared" si="198"/>
        <v>0.99999580912869679</v>
      </c>
      <c r="H994" s="39">
        <f t="shared" si="198"/>
        <v>0.99999979268399009</v>
      </c>
      <c r="I994" s="39">
        <f t="shared" si="198"/>
        <v>0.99999999141010443</v>
      </c>
      <c r="J994" s="39">
        <f t="shared" si="198"/>
        <v>0.99999999969765974</v>
      </c>
      <c r="K994" s="39">
        <f t="shared" si="198"/>
        <v>0.99999999999086076</v>
      </c>
      <c r="L994" s="39">
        <f t="shared" si="199"/>
        <v>0.99999999999976064</v>
      </c>
      <c r="M994" s="39">
        <f t="shared" si="199"/>
        <v>0.99999999999999456</v>
      </c>
      <c r="N994" s="39">
        <f t="shared" si="199"/>
        <v>0.99999999999999989</v>
      </c>
      <c r="O994" s="39">
        <f t="shared" si="199"/>
        <v>1</v>
      </c>
      <c r="P994" s="39">
        <f t="shared" si="199"/>
        <v>1</v>
      </c>
      <c r="Q994" s="39">
        <f t="shared" si="199"/>
        <v>1</v>
      </c>
      <c r="R994" s="39">
        <f t="shared" si="199"/>
        <v>1</v>
      </c>
      <c r="S994" s="39">
        <f t="shared" si="199"/>
        <v>1</v>
      </c>
      <c r="T994" s="39">
        <f t="shared" si="199"/>
        <v>1</v>
      </c>
      <c r="U994" s="39">
        <f t="shared" si="199"/>
        <v>1</v>
      </c>
      <c r="V994" s="39">
        <f t="shared" si="199"/>
        <v>1</v>
      </c>
      <c r="W994" s="37">
        <v>8.9999999999999993E-3</v>
      </c>
    </row>
    <row r="995" spans="2:23" x14ac:dyDescent="0.25">
      <c r="B995" s="39">
        <f t="shared" si="198"/>
        <v>0.66874742791895969</v>
      </c>
      <c r="C995" s="39">
        <f t="shared" si="198"/>
        <v>0.94006848704995338</v>
      </c>
      <c r="D995" s="39">
        <f t="shared" si="198"/>
        <v>0.99282535965875773</v>
      </c>
      <c r="E995" s="39">
        <f t="shared" si="198"/>
        <v>0.99937461698843477</v>
      </c>
      <c r="F995" s="39">
        <f t="shared" si="198"/>
        <v>0.99995801125250727</v>
      </c>
      <c r="G995" s="39">
        <f t="shared" si="198"/>
        <v>0.99999774746679204</v>
      </c>
      <c r="H995" s="39">
        <f t="shared" si="198"/>
        <v>0.99999990095390745</v>
      </c>
      <c r="I995" s="39">
        <f t="shared" si="198"/>
        <v>0.99999999636327996</v>
      </c>
      <c r="J995" s="39">
        <f t="shared" si="198"/>
        <v>0.99999999988692156</v>
      </c>
      <c r="K995" s="39">
        <f t="shared" si="198"/>
        <v>0.99999999999699007</v>
      </c>
      <c r="L995" s="39">
        <f t="shared" si="199"/>
        <v>0.99999999999993083</v>
      </c>
      <c r="M995" s="39">
        <f t="shared" si="199"/>
        <v>0.99999999999999867</v>
      </c>
      <c r="N995" s="39">
        <f t="shared" si="199"/>
        <v>1</v>
      </c>
      <c r="O995" s="39">
        <f t="shared" si="199"/>
        <v>1</v>
      </c>
      <c r="P995" s="39">
        <f t="shared" si="199"/>
        <v>1</v>
      </c>
      <c r="Q995" s="39">
        <f t="shared" si="199"/>
        <v>1</v>
      </c>
      <c r="R995" s="39">
        <f t="shared" si="199"/>
        <v>1</v>
      </c>
      <c r="S995" s="39">
        <f t="shared" si="199"/>
        <v>1</v>
      </c>
      <c r="T995" s="39">
        <f t="shared" si="199"/>
        <v>1</v>
      </c>
      <c r="U995" s="39">
        <f t="shared" si="199"/>
        <v>1</v>
      </c>
      <c r="V995" s="39">
        <f t="shared" si="199"/>
        <v>1</v>
      </c>
      <c r="W995" s="37">
        <v>8.0000000000000002E-3</v>
      </c>
    </row>
    <row r="996" spans="2:23" x14ac:dyDescent="0.25">
      <c r="B996" s="39">
        <f t="shared" si="198"/>
        <v>0.70491040623794399</v>
      </c>
      <c r="C996" s="39">
        <f t="shared" si="198"/>
        <v>0.95333698112356191</v>
      </c>
      <c r="D996" s="39">
        <f t="shared" si="198"/>
        <v>0.99515720527846119</v>
      </c>
      <c r="E996" s="39">
        <f t="shared" si="198"/>
        <v>0.9996361019291885</v>
      </c>
      <c r="F996" s="39">
        <f t="shared" si="198"/>
        <v>0.99997903963945689</v>
      </c>
      <c r="G996" s="39">
        <f t="shared" si="198"/>
        <v>0.99999903981019833</v>
      </c>
      <c r="H996" s="39">
        <f t="shared" si="198"/>
        <v>0.99999996411386383</v>
      </c>
      <c r="I996" s="39">
        <f t="shared" si="198"/>
        <v>0.99999999888536484</v>
      </c>
      <c r="J996" s="39">
        <f t="shared" si="198"/>
        <v>0.99999999997082689</v>
      </c>
      <c r="K996" s="39">
        <f t="shared" si="198"/>
        <v>0.99999999999934974</v>
      </c>
      <c r="L996" s="39">
        <f t="shared" si="199"/>
        <v>0.99999999999998757</v>
      </c>
      <c r="M996" s="39">
        <f t="shared" si="199"/>
        <v>0.99999999999999978</v>
      </c>
      <c r="N996" s="39">
        <f t="shared" si="199"/>
        <v>1</v>
      </c>
      <c r="O996" s="39">
        <f t="shared" si="199"/>
        <v>1</v>
      </c>
      <c r="P996" s="39">
        <f t="shared" si="199"/>
        <v>1</v>
      </c>
      <c r="Q996" s="39">
        <f t="shared" si="199"/>
        <v>1</v>
      </c>
      <c r="R996" s="39">
        <f t="shared" si="199"/>
        <v>1</v>
      </c>
      <c r="S996" s="39">
        <f t="shared" si="199"/>
        <v>1</v>
      </c>
      <c r="T996" s="39">
        <f t="shared" si="199"/>
        <v>1</v>
      </c>
      <c r="U996" s="39">
        <f t="shared" si="199"/>
        <v>1</v>
      </c>
      <c r="V996" s="39">
        <f t="shared" si="199"/>
        <v>1</v>
      </c>
      <c r="W996" s="37">
        <v>7.0000000000000001E-3</v>
      </c>
    </row>
    <row r="997" spans="2:23" x14ac:dyDescent="0.25">
      <c r="B997" s="39">
        <f t="shared" si="198"/>
        <v>0.74298775061267375</v>
      </c>
      <c r="C997" s="39">
        <f t="shared" si="198"/>
        <v>0.96532170168493969</v>
      </c>
      <c r="D997" s="39">
        <f t="shared" si="198"/>
        <v>0.99695792122769344</v>
      </c>
      <c r="E997" s="39">
        <f t="shared" si="198"/>
        <v>0.99980813139941438</v>
      </c>
      <c r="F997" s="39">
        <f t="shared" si="198"/>
        <v>0.99999078253506701</v>
      </c>
      <c r="G997" s="39">
        <f t="shared" si="198"/>
        <v>0.9999996500308348</v>
      </c>
      <c r="H997" s="39">
        <f t="shared" si="198"/>
        <v>0.99999998922892308</v>
      </c>
      <c r="I997" s="39">
        <f t="shared" si="198"/>
        <v>0.99999999972634934</v>
      </c>
      <c r="J997" s="39">
        <f t="shared" si="198"/>
        <v>0.99999999999418321</v>
      </c>
      <c r="K997" s="39">
        <f t="shared" si="198"/>
        <v>0.99999999999989553</v>
      </c>
      <c r="L997" s="39">
        <f t="shared" si="199"/>
        <v>0.99999999999999845</v>
      </c>
      <c r="M997" s="39">
        <f t="shared" si="199"/>
        <v>1</v>
      </c>
      <c r="N997" s="39">
        <f t="shared" si="199"/>
        <v>1</v>
      </c>
      <c r="O997" s="39">
        <f t="shared" si="199"/>
        <v>1</v>
      </c>
      <c r="P997" s="39">
        <f t="shared" si="199"/>
        <v>1</v>
      </c>
      <c r="Q997" s="39">
        <f t="shared" si="199"/>
        <v>1</v>
      </c>
      <c r="R997" s="39">
        <f t="shared" si="199"/>
        <v>1</v>
      </c>
      <c r="S997" s="39">
        <f t="shared" si="199"/>
        <v>1</v>
      </c>
      <c r="T997" s="39">
        <f t="shared" si="199"/>
        <v>1</v>
      </c>
      <c r="U997" s="39">
        <f t="shared" si="199"/>
        <v>1</v>
      </c>
      <c r="V997" s="39">
        <f t="shared" si="199"/>
        <v>1</v>
      </c>
      <c r="W997" s="37">
        <v>6.0000000000000001E-3</v>
      </c>
    </row>
    <row r="998" spans="2:23" x14ac:dyDescent="0.25">
      <c r="B998" s="39">
        <f t="shared" si="198"/>
        <v>0.78307862733837874</v>
      </c>
      <c r="C998" s="39">
        <f t="shared" si="198"/>
        <v>0.97585339053052333</v>
      </c>
      <c r="D998" s="39">
        <f t="shared" si="198"/>
        <v>0.99827260745239466</v>
      </c>
      <c r="E998" s="39">
        <f t="shared" si="198"/>
        <v>0.99991198067079834</v>
      </c>
      <c r="F998" s="39">
        <f t="shared" si="198"/>
        <v>0.99999661439362886</v>
      </c>
      <c r="G998" s="39">
        <f t="shared" si="198"/>
        <v>0.9999998980214625</v>
      </c>
      <c r="H998" s="39">
        <f t="shared" si="198"/>
        <v>0.99999999753407687</v>
      </c>
      <c r="I998" s="39">
        <f t="shared" si="198"/>
        <v>0.9999999999512863</v>
      </c>
      <c r="J998" s="39">
        <f t="shared" si="198"/>
        <v>0.99999999999920386</v>
      </c>
      <c r="K998" s="39">
        <f t="shared" si="198"/>
        <v>0.99999999999998912</v>
      </c>
      <c r="L998" s="39">
        <f t="shared" si="199"/>
        <v>0.99999999999999989</v>
      </c>
      <c r="M998" s="39">
        <f t="shared" si="199"/>
        <v>1</v>
      </c>
      <c r="N998" s="39">
        <f t="shared" si="199"/>
        <v>1</v>
      </c>
      <c r="O998" s="39">
        <f t="shared" si="199"/>
        <v>1</v>
      </c>
      <c r="P998" s="39">
        <f t="shared" si="199"/>
        <v>1</v>
      </c>
      <c r="Q998" s="39">
        <f t="shared" si="199"/>
        <v>1</v>
      </c>
      <c r="R998" s="39">
        <f t="shared" si="199"/>
        <v>1</v>
      </c>
      <c r="S998" s="39">
        <f t="shared" si="199"/>
        <v>1</v>
      </c>
      <c r="T998" s="39">
        <f t="shared" si="199"/>
        <v>1</v>
      </c>
      <c r="U998" s="39">
        <f t="shared" si="199"/>
        <v>1</v>
      </c>
      <c r="V998" s="39">
        <f t="shared" si="199"/>
        <v>1</v>
      </c>
      <c r="W998" s="37">
        <v>5.0000000000000001E-3</v>
      </c>
    </row>
    <row r="999" spans="2:23" x14ac:dyDescent="0.25">
      <c r="B999" s="39">
        <f t="shared" si="198"/>
        <v>0.81810081806362822</v>
      </c>
      <c r="C999" s="39">
        <f t="shared" si="198"/>
        <v>0.98338822860002451</v>
      </c>
      <c r="D999" s="39">
        <f t="shared" si="198"/>
        <v>0.99903725622677986</v>
      </c>
      <c r="E999" s="39">
        <f t="shared" si="198"/>
        <v>0.9999606972669256</v>
      </c>
      <c r="F999" s="39">
        <f t="shared" si="198"/>
        <v>0.99999880238447336</v>
      </c>
      <c r="G999" s="39">
        <f t="shared" si="198"/>
        <v>0.99999997176202726</v>
      </c>
      <c r="H999" s="39">
        <f t="shared" si="198"/>
        <v>0.99999999947239582</v>
      </c>
      <c r="I999" s="39">
        <f t="shared" si="198"/>
        <v>0.9999999999920608</v>
      </c>
      <c r="J999" s="39">
        <f t="shared" si="198"/>
        <v>0.99999999999990274</v>
      </c>
      <c r="K999" s="39">
        <f t="shared" si="198"/>
        <v>0.999999999999999</v>
      </c>
      <c r="L999" s="39">
        <f t="shared" si="199"/>
        <v>1</v>
      </c>
      <c r="M999" s="39">
        <f t="shared" si="199"/>
        <v>1</v>
      </c>
      <c r="N999" s="39">
        <f t="shared" si="199"/>
        <v>1</v>
      </c>
      <c r="O999" s="39">
        <f t="shared" si="199"/>
        <v>1</v>
      </c>
      <c r="P999" s="39">
        <f t="shared" si="199"/>
        <v>1</v>
      </c>
      <c r="Q999" s="39">
        <f t="shared" si="199"/>
        <v>1</v>
      </c>
      <c r="R999" s="39">
        <f t="shared" si="199"/>
        <v>1</v>
      </c>
      <c r="S999" s="39">
        <f t="shared" si="199"/>
        <v>1</v>
      </c>
      <c r="T999" s="39">
        <f t="shared" si="199"/>
        <v>1</v>
      </c>
      <c r="U999" s="39">
        <f t="shared" si="199"/>
        <v>1</v>
      </c>
      <c r="V999" s="39">
        <f t="shared" si="199"/>
        <v>1</v>
      </c>
      <c r="W999" s="37">
        <v>4.0000000000000001E-3</v>
      </c>
    </row>
    <row r="1000" spans="2:23" x14ac:dyDescent="0.25">
      <c r="B1000" s="39">
        <f t="shared" si="198"/>
        <v>0.86215757417573646</v>
      </c>
      <c r="C1000" s="39">
        <f t="shared" si="198"/>
        <v>0.99077005891588588</v>
      </c>
      <c r="D1000" s="39">
        <f t="shared" si="198"/>
        <v>0.9996165397051715</v>
      </c>
      <c r="E1000" s="39">
        <f t="shared" si="198"/>
        <v>0.99998902310682558</v>
      </c>
      <c r="F1000" s="39">
        <f t="shared" si="198"/>
        <v>0.99999977096151282</v>
      </c>
      <c r="G1000" s="39">
        <f t="shared" si="198"/>
        <v>0.99999999639880166</v>
      </c>
      <c r="H1000" s="39">
        <f t="shared" si="198"/>
        <v>0.99999999995646538</v>
      </c>
      <c r="I1000" s="39">
        <f t="shared" si="198"/>
        <v>0.99999999999959066</v>
      </c>
      <c r="J1000" s="39">
        <f t="shared" si="198"/>
        <v>0.999999999999997</v>
      </c>
      <c r="K1000" s="39">
        <f t="shared" si="198"/>
        <v>1</v>
      </c>
      <c r="L1000" s="39">
        <f t="shared" si="199"/>
        <v>1</v>
      </c>
      <c r="M1000" s="39">
        <f t="shared" si="199"/>
        <v>1</v>
      </c>
      <c r="N1000" s="39">
        <f t="shared" si="199"/>
        <v>1</v>
      </c>
      <c r="O1000" s="39">
        <f t="shared" si="199"/>
        <v>1</v>
      </c>
      <c r="P1000" s="39">
        <f t="shared" si="199"/>
        <v>1</v>
      </c>
      <c r="Q1000" s="39">
        <f t="shared" si="199"/>
        <v>1</v>
      </c>
      <c r="R1000" s="39">
        <f t="shared" si="199"/>
        <v>1</v>
      </c>
      <c r="S1000" s="39">
        <f t="shared" si="199"/>
        <v>1</v>
      </c>
      <c r="T1000" s="39">
        <f t="shared" si="199"/>
        <v>1</v>
      </c>
      <c r="U1000" s="39">
        <f t="shared" si="199"/>
        <v>1</v>
      </c>
      <c r="V1000" s="39">
        <f t="shared" si="199"/>
        <v>1</v>
      </c>
      <c r="W1000" s="37">
        <v>3.0000000000000001E-3</v>
      </c>
    </row>
    <row r="1001" spans="2:23" x14ac:dyDescent="0.25">
      <c r="B1001" s="39">
        <f t="shared" si="198"/>
        <v>0.90853695399328782</v>
      </c>
      <c r="C1001" s="39">
        <f t="shared" si="198"/>
        <v>0.99614132368057873</v>
      </c>
      <c r="D1001" s="39">
        <f t="shared" si="198"/>
        <v>0.99990347452604522</v>
      </c>
      <c r="E1001" s="39">
        <f t="shared" si="198"/>
        <v>0.99999841839596237</v>
      </c>
      <c r="F1001" s="39">
        <f t="shared" si="198"/>
        <v>0.99999998221649367</v>
      </c>
      <c r="G1001" s="39">
        <f t="shared" si="198"/>
        <v>0.99999999986015908</v>
      </c>
      <c r="H1001" s="39">
        <f t="shared" si="198"/>
        <v>0.99999999999923161</v>
      </c>
      <c r="I1001" s="39">
        <f t="shared" si="198"/>
        <v>0.99999999999999711</v>
      </c>
      <c r="J1001" s="39">
        <f t="shared" si="198"/>
        <v>1</v>
      </c>
      <c r="K1001" s="39">
        <f t="shared" si="198"/>
        <v>1</v>
      </c>
      <c r="L1001" s="39">
        <f t="shared" si="199"/>
        <v>1</v>
      </c>
      <c r="M1001" s="39">
        <f t="shared" si="199"/>
        <v>1</v>
      </c>
      <c r="N1001" s="39">
        <f t="shared" si="199"/>
        <v>1</v>
      </c>
      <c r="O1001" s="39">
        <f t="shared" si="199"/>
        <v>1</v>
      </c>
      <c r="P1001" s="39">
        <f t="shared" si="199"/>
        <v>1</v>
      </c>
      <c r="Q1001" s="39">
        <f t="shared" si="199"/>
        <v>1</v>
      </c>
      <c r="R1001" s="39">
        <f t="shared" si="199"/>
        <v>1</v>
      </c>
      <c r="S1001" s="39">
        <f t="shared" si="199"/>
        <v>1</v>
      </c>
      <c r="T1001" s="39">
        <f t="shared" si="199"/>
        <v>1</v>
      </c>
      <c r="U1001" s="39">
        <f t="shared" si="199"/>
        <v>1</v>
      </c>
      <c r="V1001" s="39">
        <f t="shared" si="199"/>
        <v>1</v>
      </c>
      <c r="W1001" s="37">
        <v>2E-3</v>
      </c>
    </row>
    <row r="1002" spans="2:23" x14ac:dyDescent="0.25">
      <c r="B1002" s="39">
        <f t="shared" si="198"/>
        <v>0.95735877644063316</v>
      </c>
      <c r="C1002" s="39">
        <f t="shared" si="198"/>
        <v>0.99927465982244745</v>
      </c>
      <c r="D1002" s="39">
        <f t="shared" si="198"/>
        <v>0.9999939308032596</v>
      </c>
      <c r="E1002" s="39">
        <f t="shared" si="198"/>
        <v>0.99999997509721594</v>
      </c>
      <c r="F1002" s="39">
        <f t="shared" si="198"/>
        <v>0.99999999995996902</v>
      </c>
      <c r="G1002" s="39">
        <f t="shared" si="198"/>
        <v>1</v>
      </c>
      <c r="H1002" s="39">
        <f t="shared" si="198"/>
        <v>1</v>
      </c>
      <c r="I1002" s="39">
        <f t="shared" si="198"/>
        <v>1</v>
      </c>
      <c r="J1002" s="39">
        <f t="shared" si="198"/>
        <v>1</v>
      </c>
      <c r="K1002" s="39">
        <f t="shared" si="198"/>
        <v>1</v>
      </c>
      <c r="L1002" s="39">
        <f t="shared" si="199"/>
        <v>1</v>
      </c>
      <c r="M1002" s="39">
        <f t="shared" si="199"/>
        <v>1</v>
      </c>
      <c r="N1002" s="39">
        <f t="shared" si="199"/>
        <v>1</v>
      </c>
      <c r="O1002" s="39">
        <f t="shared" si="199"/>
        <v>1</v>
      </c>
      <c r="P1002" s="39">
        <f t="shared" si="199"/>
        <v>1</v>
      </c>
      <c r="Q1002" s="39">
        <f t="shared" si="199"/>
        <v>1</v>
      </c>
      <c r="R1002" s="39">
        <f t="shared" si="199"/>
        <v>1</v>
      </c>
      <c r="S1002" s="39">
        <f t="shared" si="199"/>
        <v>1</v>
      </c>
      <c r="T1002" s="39">
        <f t="shared" si="199"/>
        <v>1</v>
      </c>
      <c r="U1002" s="39">
        <f t="shared" si="199"/>
        <v>1</v>
      </c>
      <c r="V1002" s="39">
        <f t="shared" si="199"/>
        <v>1</v>
      </c>
      <c r="W1002" s="37">
        <v>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Bieu tong hop</vt:lpstr>
      <vt:lpstr>Kiem toan chi tiet</vt:lpstr>
      <vt:lpstr>Bang tinh pU</vt:lpstr>
      <vt:lpstr>beta</vt:lpstr>
      <vt:lpstr>betabegin</vt:lpstr>
      <vt:lpstr>comau</vt:lpstr>
      <vt:lpstr>khoangcach</vt:lpstr>
      <vt:lpstr>'Bieu tong hop'!Print_Area</vt:lpstr>
      <vt:lpstr>'Kiem toan chi tiet'!Print_Area</vt:lpstr>
      <vt:lpstr>sosaisot</vt:lpstr>
      <vt:lpstr>tongtheN</vt:lpstr>
      <vt:lpstr>tongtheP</vt:lpstr>
      <vt:lpstr>tongthePe</vt:lpstr>
      <vt:lpstr>xuatphat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Tài Võ Mạnh</dc:creator>
  <cp:lastModifiedBy>Võ Mạnh Tài</cp:lastModifiedBy>
  <cp:lastPrinted>2013-05-26T15:38:01Z</cp:lastPrinted>
  <dcterms:created xsi:type="dcterms:W3CDTF">2006-09-16T00:00:00Z</dcterms:created>
  <dcterms:modified xsi:type="dcterms:W3CDTF">2013-05-28T03:34:54Z</dcterms:modified>
</cp:coreProperties>
</file>